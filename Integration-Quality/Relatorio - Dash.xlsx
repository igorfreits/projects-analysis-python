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B540EA2A-1597-4F3B-B955-1578B51448E3}" xr6:coauthVersionLast="47" xr6:coauthVersionMax="47" xr10:uidLastSave="{00000000-0000-0000-0000-000000000000}"/>
  <bookViews>
    <workbookView xWindow="-28920" yWindow="0" windowWidth="29040" windowHeight="157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BASE'!$A$1:$AQ$2062</definedName>
  </definedNames>
  <calcPr calcId="191029"/>
  <pivotCaches>
    <pivotCache cacheId="41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4" i="2"/>
  <c r="C3" i="2"/>
  <c r="C2" i="2"/>
  <c r="C8" i="2"/>
  <c r="C5" i="2"/>
  <c r="C7" i="2"/>
  <c r="C6" i="2"/>
  <c r="C9" i="2" l="1"/>
  <c r="E9" i="2" s="1"/>
  <c r="E4" i="2" l="1"/>
  <c r="E3" i="2"/>
  <c r="E2" i="2"/>
  <c r="E8" i="2"/>
  <c r="E5" i="2"/>
  <c r="E7" i="2"/>
  <c r="E6" i="2"/>
</calcChain>
</file>

<file path=xl/sharedStrings.xml><?xml version="1.0" encoding="utf-8"?>
<sst xmlns="http://schemas.openxmlformats.org/spreadsheetml/2006/main" count="18469" uniqueCount="2139">
  <si>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</si>
  <si>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</si>
  <si>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</si>
  <si>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</si>
  <si>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</si>
  <si>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</si>
  <si>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</si>
  <si>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</si>
  <si>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</si>
  <si>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</si>
  <si>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</si>
  <si>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</si>
  <si>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</si>
  <si>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</si>
  <si>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</si>
  <si>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</si>
  <si>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</si>
  <si>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</si>
  <si>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</si>
  <si>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</si>
  <si>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</si>
  <si>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</si>
  <si>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</si>
  <si>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</si>
  <si>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Central de Emissão</t>
  </si>
  <si>
    <t>16 a 23 dias</t>
  </si>
  <si>
    <t>Duplicidade de Contabilização</t>
  </si>
  <si>
    <t>Edição não Permitida</t>
  </si>
  <si>
    <t>Dados Gerenciais</t>
  </si>
  <si>
    <t>Central de Emissão Total</t>
  </si>
  <si>
    <t>Resolvidos em D-2</t>
  </si>
  <si>
    <t>Suporte Benner</t>
  </si>
  <si>
    <t>Suporte Benner Total</t>
  </si>
  <si>
    <t>Ofensores - OBT x Produto</t>
  </si>
  <si>
    <t>Operações - FCM</t>
  </si>
  <si>
    <t>Contagem de Serviço</t>
  </si>
  <si>
    <t>Operações - FCM Total</t>
  </si>
  <si>
    <t>Conciliação aérea</t>
  </si>
  <si>
    <t>Conciliação aérea Total</t>
  </si>
  <si>
    <t>KONTRIP</t>
  </si>
  <si>
    <t>ZUPPER</t>
  </si>
  <si>
    <t>Analise de ofensores por OBT</t>
  </si>
  <si>
    <t>Contagem de TIPO DE ERRO</t>
  </si>
  <si>
    <t>Sistema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</si>
  <si>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</si>
  <si>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</si>
  <si>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</si>
  <si>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</si>
  <si>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</si>
  <si>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Bilhete duplicado</t>
  </si>
  <si>
    <t>FCM-OPE-SAO-PVI-SHELL</t>
  </si>
  <si>
    <t>Falta informação nos trechos</t>
  </si>
  <si>
    <t>KON-OPE-SAO-PVI-BIOLAB</t>
  </si>
  <si>
    <t>Mais de um campo não preenchido</t>
  </si>
  <si>
    <t>FCM-OPE-SAO-PVI-BTC-CONCUR</t>
  </si>
  <si>
    <t>Duplicidade de RLOC</t>
  </si>
  <si>
    <t>FCM-OPE-SAO-PVI-BASF</t>
  </si>
  <si>
    <t>Não identificado</t>
  </si>
  <si>
    <t>KON-OPE-RIO-PVI-CASAS BAHIA</t>
  </si>
  <si>
    <t>Centro de custo</t>
  </si>
  <si>
    <t>FCM-OPE-SAO-PVI-BOSCH</t>
  </si>
  <si>
    <t>Pagamento não permitido para cobrança</t>
  </si>
  <si>
    <t>KON-OPE-SAO-PVI-BTC-ARGO</t>
  </si>
  <si>
    <t>Contrato de fornecedor</t>
  </si>
  <si>
    <t>KON-OPE-SAO-PVI-CCR</t>
  </si>
  <si>
    <t>Forma de Pagamento indevida</t>
  </si>
  <si>
    <t>KON-OPE-RIO-PVI-RENNER</t>
  </si>
  <si>
    <t>Falta de informação Gerencial</t>
  </si>
  <si>
    <t>KON-OPE-SAO-PVI-BRASKEM</t>
  </si>
  <si>
    <t>Empenho/departamento</t>
  </si>
  <si>
    <t>KON-OPE-SAO-PVI-BERNOULLI</t>
  </si>
  <si>
    <t>Tarifa máxima</t>
  </si>
  <si>
    <t>KON-OPE-SAO-PVI-KPMG</t>
  </si>
  <si>
    <t>Conciliação de Cartão</t>
  </si>
  <si>
    <t>FCM-OPE-SAO-PVI-BTC</t>
  </si>
  <si>
    <t>Tarifa mínima</t>
  </si>
  <si>
    <t>FCM-OPE-SAO-PVI-BTC-CONCUR-HONEYWELL</t>
  </si>
  <si>
    <t>Matrícula</t>
  </si>
  <si>
    <t>KON-OPE-RIO-PVI-UOL</t>
  </si>
  <si>
    <t>KON-OPE-SAO-PVI-ACHE</t>
  </si>
  <si>
    <t>KON-OPE-RIO-POS-TAESA</t>
  </si>
  <si>
    <t>KON-OPE-RIO-POS-OCEANPACT</t>
  </si>
  <si>
    <t>FCM-OPE-POA-PVI-ATENTO</t>
  </si>
  <si>
    <t>KON-OPE-RIO-PVI-BTC</t>
  </si>
  <si>
    <t>FCM-OPE-SAO-PVI-DIAGEO</t>
  </si>
  <si>
    <t>KON-OPE-RIO-PVI-BTC-PETRORECONCAVO</t>
  </si>
  <si>
    <t>Contagem AGING por RESPONSÁVEL - AGING  ALTERAÇÃO</t>
  </si>
  <si>
    <t>KON-OPE-SAO-PVI-MOVER</t>
  </si>
  <si>
    <t>KON-OPE-SAO-PVI-HYPERA</t>
  </si>
  <si>
    <t>Operações - KONTRIP</t>
  </si>
  <si>
    <t>Operações - CORP</t>
  </si>
  <si>
    <t>-</t>
  </si>
  <si>
    <t>FCM-OPE-SAO-PVI-BAT</t>
  </si>
  <si>
    <t>FCM-OPE-SAO-PVI-JTI</t>
  </si>
  <si>
    <t>KON-OPE-SAO-PVI-ENERGISA</t>
  </si>
  <si>
    <t>FCM-OPE-SAO-PVI-ARCADIS</t>
  </si>
  <si>
    <t>FCM-OPE-SAO-PVI-BTC-CYTRIC-S&amp;P</t>
  </si>
  <si>
    <t>KON-OPE-RIO-PVI-ENAEX</t>
  </si>
  <si>
    <t>FCM-OPE-SAO-PVI-BTC-PRA/RPS</t>
  </si>
  <si>
    <t>FCM-OPE-SAO-PVI-MARS</t>
  </si>
  <si>
    <t>Contagem de RESPONSÁVEL por SERVIÇO</t>
  </si>
  <si>
    <t>KON-OPE-SAO-POS-CLARO</t>
  </si>
  <si>
    <t>FCM-OPE-SAO-PVI-BTC-CONCUR-SIBELCO</t>
  </si>
  <si>
    <t>FCM-OPE-SAO-PVI-BTC-CONCUR-CHANEL</t>
  </si>
  <si>
    <t>KON-OPE-SAO-PVI-MATTOS FILHO</t>
  </si>
  <si>
    <t>KON-OPE-RIO-PVI-BTC RJ</t>
  </si>
  <si>
    <t>KON-OPE-RIO-PVI-BTC-FALCON ACTIVE</t>
  </si>
  <si>
    <t>FCM-OPE-SAO-PVI-BTC-FM GLOBAL</t>
  </si>
  <si>
    <t>Todos os Produtos - Grupo Empresarial</t>
  </si>
  <si>
    <t>KON-OPE-SAO-PVI-BTC-ARGO-HTB</t>
  </si>
  <si>
    <t>Contagem de Grupo Empresarial</t>
  </si>
  <si>
    <t>KON-OPE-SAO-PVI-SAMSUNG</t>
  </si>
  <si>
    <t xml:space="preserve">FCM-OPE-SAO-PVI-BTC-CONCUR-IRON </t>
  </si>
  <si>
    <t>Grupo Shell</t>
  </si>
  <si>
    <t>FCM-OPE-SAO-PVI-BTC-LYONDELL BASELL</t>
  </si>
  <si>
    <t>Grupo Biolab</t>
  </si>
  <si>
    <t>Grupo Basf</t>
  </si>
  <si>
    <t>KON-OPE-RIO-PVI-BTC-CMOC</t>
  </si>
  <si>
    <t>Grupo Casas Bahia</t>
  </si>
  <si>
    <t>Grupo Bosch</t>
  </si>
  <si>
    <t>Grupo Ultra</t>
  </si>
  <si>
    <t>KON-OPE-SAO-PVI-ULTRA</t>
  </si>
  <si>
    <t>Grupo Motiva</t>
  </si>
  <si>
    <t>FCM-OPE-SAO-PVI-BTC-CONCUR-NIELSENIQ</t>
  </si>
  <si>
    <t>Grupo Lojas Renner</t>
  </si>
  <si>
    <t>Grupo Braskem</t>
  </si>
  <si>
    <t>KON-OPE-RIO-PVI-PATRIA</t>
  </si>
  <si>
    <t>Grupo Bernoulli Educacao</t>
  </si>
  <si>
    <t>FCM-OPE-SAO-PVI-ATOS</t>
  </si>
  <si>
    <t>Grupo Kpmg</t>
  </si>
  <si>
    <t>Grupo Stanley Black e Decker</t>
  </si>
  <si>
    <t>KON-OPE-POA-PVI-PEPSICO</t>
  </si>
  <si>
    <t>Grupo Kontrip</t>
  </si>
  <si>
    <t>POSTO CBO</t>
  </si>
  <si>
    <t>Grupo Honeywell</t>
  </si>
  <si>
    <t>HOT LINE - SAO PAULO</t>
  </si>
  <si>
    <t>Grupo Ocean Pact</t>
  </si>
  <si>
    <t>EMERGENCIAL</t>
  </si>
  <si>
    <t>Grupo Uol</t>
  </si>
  <si>
    <t>Grupo Taesa</t>
  </si>
  <si>
    <t>Grupo Ache</t>
  </si>
  <si>
    <t>Grupo Atento</t>
  </si>
  <si>
    <t>Grupo Adidas</t>
  </si>
  <si>
    <t>Grupo Livanova</t>
  </si>
  <si>
    <t>Grupo Elanco</t>
  </si>
  <si>
    <t>Grupo Sep</t>
  </si>
  <si>
    <t>Grupo Diageo</t>
  </si>
  <si>
    <t>Grupo Petroreconcavo</t>
  </si>
  <si>
    <t>Grupo Intercement</t>
  </si>
  <si>
    <t>Grupo Hypera</t>
  </si>
  <si>
    <t>Tarifa</t>
  </si>
  <si>
    <t>(Vários itens)</t>
  </si>
  <si>
    <t>Grupo British American Tobacco</t>
  </si>
  <si>
    <t>Tarifa - por aging</t>
  </si>
  <si>
    <t>Tarifa por Data de EMISSÃO</t>
  </si>
  <si>
    <t>Tarifa por Data de INCLUSÃO</t>
  </si>
  <si>
    <t>Grupo Epson</t>
  </si>
  <si>
    <t>Soma de Tarifa</t>
  </si>
  <si>
    <t>Grupo Ihs</t>
  </si>
  <si>
    <t>2025</t>
  </si>
  <si>
    <t>Grupo Jti</t>
  </si>
  <si>
    <t>Grupo Arcadis</t>
  </si>
  <si>
    <t>Grupo Energisa</t>
  </si>
  <si>
    <t>ago</t>
  </si>
  <si>
    <t>Grupo Zf</t>
  </si>
  <si>
    <t>set</t>
  </si>
  <si>
    <t>Grupo Claro Sa</t>
  </si>
  <si>
    <t>Grupo Mercurio York</t>
  </si>
  <si>
    <t>Grupo Enaex</t>
  </si>
  <si>
    <t>Grupo Mars</t>
  </si>
  <si>
    <t>Grupo Icon</t>
  </si>
  <si>
    <t>Grupo Hpe</t>
  </si>
  <si>
    <t>Grupo Ses</t>
  </si>
  <si>
    <t>Grupo Chanel</t>
  </si>
  <si>
    <t>Grupo Sibelco</t>
  </si>
  <si>
    <t>Grupo Mattos Filho</t>
  </si>
  <si>
    <t>Grupo Avenida</t>
  </si>
  <si>
    <t>Grupo Falcon Active</t>
  </si>
  <si>
    <t>Grupo Iron Mountain</t>
  </si>
  <si>
    <t>Grupo Htb</t>
  </si>
  <si>
    <t>Grupo Samsung</t>
  </si>
  <si>
    <t>Grupo Fm Global</t>
  </si>
  <si>
    <t>Grupo Glory</t>
  </si>
  <si>
    <t>Grupo Cmoc</t>
  </si>
  <si>
    <t>Grupo Lyondell Basell</t>
  </si>
  <si>
    <t>Grupo Atlas Copco</t>
  </si>
  <si>
    <t>Grupo Benner</t>
  </si>
  <si>
    <t>Grupo Baker Mckenzie</t>
  </si>
  <si>
    <t>Grupo Gtm</t>
  </si>
  <si>
    <t>Grupo Isdin</t>
  </si>
  <si>
    <t>Grupo Santista</t>
  </si>
  <si>
    <t>Grupo Amadeus</t>
  </si>
  <si>
    <t>Independente</t>
  </si>
  <si>
    <t>Grupo Cbo</t>
  </si>
  <si>
    <t>Grupo Syntegon</t>
  </si>
  <si>
    <t>Grupo Bosch Consierge</t>
  </si>
  <si>
    <t>Grupo Winity</t>
  </si>
  <si>
    <t>Grupo Verizon</t>
  </si>
  <si>
    <t>Grupo Unica</t>
  </si>
  <si>
    <t>Grupo Wallenius</t>
  </si>
  <si>
    <t>Grupo Pepsico</t>
  </si>
  <si>
    <t>Grupo Nielseniq</t>
  </si>
  <si>
    <t>Grupo Innomotics</t>
  </si>
  <si>
    <t>Grupo Atos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</si>
  <si>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</si>
  <si>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</si>
  <si>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</si>
  <si>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</si>
  <si>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</si>
  <si>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</si>
  <si>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</si>
  <si>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</si>
  <si>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</si>
  <si>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</si>
  <si>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</si>
  <si>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</si>
  <si>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</si>
  <si>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</si>
  <si>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</si>
  <si>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</si>
  <si>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</si>
  <si>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</si>
  <si>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</si>
  <si>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</si>
  <si>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</si>
  <si>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</si>
  <si>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</si>
  <si>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</si>
  <si>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</si>
  <si>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</si>
  <si>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</si>
  <si>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</si>
  <si>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</si>
  <si>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</si>
  <si>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</si>
  <si>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</si>
  <si>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</si>
  <si>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</si>
  <si>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</si>
  <si>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</si>
  <si>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</si>
  <si>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</si>
  <si>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</si>
  <si>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</si>
  <si>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</si>
  <si>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</si>
  <si>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</si>
  <si>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</si>
  <si>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</si>
  <si>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BB26886123-28997829-A(BB)</t>
  </si>
  <si>
    <t>Leonardo De Oliveira Lima</t>
  </si>
  <si>
    <t>WAGNER PAULINO</t>
  </si>
  <si>
    <t>OFF LINE</t>
  </si>
  <si>
    <t>Cartão de crédito</t>
  </si>
  <si>
    <t>N</t>
  </si>
  <si>
    <t>Brainfarma</t>
  </si>
  <si>
    <t>Reserva importada do sistema Gover. Id: 4592134</t>
  </si>
  <si>
    <t>Fornecedor não preenchido! (ACC01)</t>
  </si>
  <si>
    <t>Campo Fornecedor</t>
  </si>
  <si>
    <t>Sistêmico</t>
  </si>
  <si>
    <t>GRUPO KONTIK</t>
  </si>
  <si>
    <t>BB26955760-29073524-A(BB)</t>
  </si>
  <si>
    <t>Suelen Alves Azevedo</t>
  </si>
  <si>
    <t>Reserva importada do sistema Gover. Id: 4581282</t>
  </si>
  <si>
    <t>cotacao</t>
  </si>
  <si>
    <t>Anne Caroline Coutinho Furiati</t>
  </si>
  <si>
    <t>Leticia Jesus Vital</t>
  </si>
  <si>
    <t>Movida - Br - Es - Vitoria - Aeroporto Endereço: Avenida Roza Helena Schorling Albuquerque, 856 Ao L</t>
  </si>
  <si>
    <t>Invoice</t>
  </si>
  <si>
    <t>Faturado</t>
  </si>
  <si>
    <t>Hypera S.a.</t>
  </si>
  <si>
    <t>Reserva importada do sistema Gover. Id: 4592452</t>
  </si>
  <si>
    <t>Qualidade dos dados</t>
  </si>
  <si>
    <t>KONTIK BUSINESS TRAVEL</t>
  </si>
  <si>
    <t>THIAGO CEZA ROSA</t>
  </si>
  <si>
    <t>Gover</t>
  </si>
  <si>
    <t>ON LINE</t>
  </si>
  <si>
    <t>Reserva importada do sistema Gover. Id: 4591476</t>
  </si>
  <si>
    <t xml:space="preserve">Debora Malandrin Antão </t>
  </si>
  <si>
    <t>Reserva importada do sistema Gover. Id: 4588818</t>
  </si>
  <si>
    <t>Julio Henrique Festucci</t>
  </si>
  <si>
    <t>Reserva importada do sistema Gover. Id: 4592145</t>
  </si>
  <si>
    <t>NQOLTXC</t>
  </si>
  <si>
    <t>APARECIDA DE FARIAS/JESSICA</t>
  </si>
  <si>
    <t>Ernani Afranio dos Santos</t>
  </si>
  <si>
    <t>NQOLTX</t>
  </si>
  <si>
    <t>QOC</t>
  </si>
  <si>
    <t>Johnson Controls Hitachi Ar Condicionado do Brasil Ltda</t>
  </si>
  <si>
    <t>Reserva importada por HubTravel</t>
  </si>
  <si>
    <t>GKFPVXT</t>
  </si>
  <si>
    <t>BARREIRO JOVIDI/ANDRE RICARDO</t>
  </si>
  <si>
    <t>Valeria Domingues Cavalcante</t>
  </si>
  <si>
    <t>EMAIL</t>
  </si>
  <si>
    <t>HEJPXAT</t>
  </si>
  <si>
    <t>XAVIER BITTENCOURT/FABIO</t>
  </si>
  <si>
    <t>DLWGGGT</t>
  </si>
  <si>
    <t>LAGUNA CUNHA/FERNANDO LUIZ</t>
  </si>
  <si>
    <t>DMICDST</t>
  </si>
  <si>
    <t>PESSOA/FELIPE ROCHA</t>
  </si>
  <si>
    <t>Henrique Zanini Micheli</t>
  </si>
  <si>
    <t>Marcos de Oliveira Miklos</t>
  </si>
  <si>
    <t>Intercement Nacoes Unidas</t>
  </si>
  <si>
    <t>Reserva importada do sistema Gover. Id: 4588558</t>
  </si>
  <si>
    <t>MV2XSC04BNBR</t>
  </si>
  <si>
    <t>Vinicius Emanoel de Souza Ferreira</t>
  </si>
  <si>
    <t>Movida - Br - Mg - Mvd - Ipatinga Endereço: Avenida Pedro Linhares Gomes, 3900</t>
  </si>
  <si>
    <t>Reserva importada do sistema Gover. Id: 4595261</t>
  </si>
  <si>
    <t>Reserva importada do sistema Gover. Id: 4590452</t>
  </si>
  <si>
    <t>Jason Albuquerque Netto</t>
  </si>
  <si>
    <t>Reserva importada do sistema Gover. Id: 4586749</t>
  </si>
  <si>
    <t>Adriano Gamallo Gondim</t>
  </si>
  <si>
    <t>Reserva importada do sistema Gover. Id: 4588255</t>
  </si>
  <si>
    <t>Renato Labadia</t>
  </si>
  <si>
    <t>Reserva importada do sistema Gover. Id: 4593452</t>
  </si>
  <si>
    <t>CFC927</t>
  </si>
  <si>
    <t>Bruno de Oliveira e Silva</t>
  </si>
  <si>
    <t>Wilson Jose Araujo de Gusmao Junior</t>
  </si>
  <si>
    <t>National Car - Ar - Ex - Buenos Aires - Aeroparque Endereço: Av. Costanera Rafael Obligado S N</t>
  </si>
  <si>
    <t>Pagamento direto</t>
  </si>
  <si>
    <t>Zf do Brasil - Divisao Ma</t>
  </si>
  <si>
    <t>Reserva importada do sistema Gover. Id: 4585211</t>
  </si>
  <si>
    <t>BPRQLI</t>
  </si>
  <si>
    <t>Luis Augusto de Camargo Sotilo</t>
  </si>
  <si>
    <t>Zf do Brasil - Lemforder</t>
  </si>
  <si>
    <t>Reserva importada do sistema Gover. Id: 4595912</t>
  </si>
  <si>
    <t>CXTGZ8</t>
  </si>
  <si>
    <t>Marcel Santarosa Porteiro</t>
  </si>
  <si>
    <t>Zf do Brasil - Cvs-sumare</t>
  </si>
  <si>
    <t>Reserva importada do sistema Gover. Id: 4592707</t>
  </si>
  <si>
    <t>Allan Guilherme de Castro Netto</t>
  </si>
  <si>
    <t>Reserva importada do sistema Gover. Id: 4594901</t>
  </si>
  <si>
    <t>Osmar da Silva Lopes</t>
  </si>
  <si>
    <t>Zf do Brasil - Cvs-campinas</t>
  </si>
  <si>
    <t>Reserva importada do sistema Gover. Id: 4590802</t>
  </si>
  <si>
    <t>MV24KVTYAFBR</t>
  </si>
  <si>
    <t>Reserva importada do sistema Gover. Id: 4590799</t>
  </si>
  <si>
    <t>5K693U</t>
  </si>
  <si>
    <t>TMS</t>
  </si>
  <si>
    <t>JULIANA MOLARI</t>
  </si>
  <si>
    <t>ADRIANA MIRANDA COUTINHO</t>
  </si>
  <si>
    <t>Braskem - Camacari</t>
  </si>
  <si>
    <t>Reserva importada do Sistema TMS. OS: 11654</t>
  </si>
  <si>
    <t>5J9HVD</t>
  </si>
  <si>
    <t>ADEMILTON SANTOS</t>
  </si>
  <si>
    <t>Tms</t>
  </si>
  <si>
    <t>Reserva importada do Sistema TMS. OS: 11407</t>
  </si>
  <si>
    <t>5J6OKQ</t>
  </si>
  <si>
    <t>MARCELO DOMINGUEZ</t>
  </si>
  <si>
    <t>Reserva importada do Sistema TMS. OS: 11372</t>
  </si>
  <si>
    <t>5JGX7S</t>
  </si>
  <si>
    <t>FABIO SANTOS</t>
  </si>
  <si>
    <t>Reserva importada do Sistema TMS. OS: 11406</t>
  </si>
  <si>
    <t>5J6SUX</t>
  </si>
  <si>
    <t>BRUNO GODINHO</t>
  </si>
  <si>
    <t>Reserva importada do Sistema TMS. OS: 11405</t>
  </si>
  <si>
    <t>5KJ8E7</t>
  </si>
  <si>
    <t>LUCAS SCHMIDT</t>
  </si>
  <si>
    <t>Passo Fundo / PFB</t>
  </si>
  <si>
    <t>Reserva importada do Sistema TMS. OS: 11864</t>
  </si>
  <si>
    <t>5KKG67</t>
  </si>
  <si>
    <t>ANTONIO BARBOSA</t>
  </si>
  <si>
    <t>Brasília / BSB</t>
  </si>
  <si>
    <t>Reserva importada do Sistema TMS. OS: 11883</t>
  </si>
  <si>
    <t>5JYTDV</t>
  </si>
  <si>
    <t>LUCIANA PAULA</t>
  </si>
  <si>
    <t>Argo It</t>
  </si>
  <si>
    <t>Reserva importada do Sistema TMS. OS: 1078</t>
  </si>
  <si>
    <t>GEZSZNT</t>
  </si>
  <si>
    <t>BARREIRA/ARTHUR BRAMBILLA</t>
  </si>
  <si>
    <t>WS</t>
  </si>
  <si>
    <t>GEZSZN</t>
  </si>
  <si>
    <t>Wallenius</t>
  </si>
  <si>
    <t>HXRZIAT</t>
  </si>
  <si>
    <t>MACIEL SILVA/IRIS</t>
  </si>
  <si>
    <t>Paulo Roberto Mendes da Silva</t>
  </si>
  <si>
    <t>HXRZIA</t>
  </si>
  <si>
    <t>Iron Mountain</t>
  </si>
  <si>
    <t>EIUWMST</t>
  </si>
  <si>
    <t>DA LUZ/DIEGO</t>
  </si>
  <si>
    <t>EIUWMS</t>
  </si>
  <si>
    <t>OUENHUT</t>
  </si>
  <si>
    <t>SOUTO/MARCIO</t>
  </si>
  <si>
    <t>OUENHU</t>
  </si>
  <si>
    <t>5KJ1SJ</t>
  </si>
  <si>
    <t>STUART HOULE</t>
  </si>
  <si>
    <t>Fortaleza / FOR</t>
  </si>
  <si>
    <t>Petroreconcavo</t>
  </si>
  <si>
    <t>Reserva importada do Sistema TMS. OS: 17678</t>
  </si>
  <si>
    <t>YJQORJ</t>
  </si>
  <si>
    <t>Gustavo Adolfo Manzano Soares</t>
  </si>
  <si>
    <t>Fm Global - Servicos</t>
  </si>
  <si>
    <t>Cliente FEE no POS</t>
  </si>
  <si>
    <t>Reserva importada do sistema Gover. Id: 4596424</t>
  </si>
  <si>
    <t>Este cliente não possui permissão para usar este tipo de pagamento e recebimento para este produto.</t>
  </si>
  <si>
    <t>Forma PG. e REC.</t>
  </si>
  <si>
    <t>Felipe Selzer Raymann</t>
  </si>
  <si>
    <t>Karen Aparecida Ferreira</t>
  </si>
  <si>
    <t>Reserva importada do sistema Gover. Id: 4592242</t>
  </si>
  <si>
    <t>JHGFES</t>
  </si>
  <si>
    <t>Alexandre Marques Crisol</t>
  </si>
  <si>
    <t>Reserva importada do sistema Gover. Id: 4589450</t>
  </si>
  <si>
    <t>SBR00000609119</t>
  </si>
  <si>
    <t>Felipe Augusto Romualdo Dos Santos</t>
  </si>
  <si>
    <t>Reserva importada do sistema Gover. Id: 4595060</t>
  </si>
  <si>
    <t>PAULO MARGONARI ADAMO</t>
  </si>
  <si>
    <t>Lojas Avenida S.a.</t>
  </si>
  <si>
    <t>Reserva importada do sistema Gover. Id: 4590745</t>
  </si>
  <si>
    <t>CAMILA  RODRIGUES SANTORO</t>
  </si>
  <si>
    <t>Reserva importada do sistema Gover. Id: 4590746</t>
  </si>
  <si>
    <t>GUTIERRIS BENICIO IGNES</t>
  </si>
  <si>
    <t>Reserva importada do sistema Gover. Id: 4593293</t>
  </si>
  <si>
    <t>MV3024LSEUBR</t>
  </si>
  <si>
    <t>Renata Fernandes Vieira Camargo</t>
  </si>
  <si>
    <t>Movida - Br - Sp - Sao Paulo - Pinheiros Endereço: Avenida Reboucas, 3970 Pinheiros</t>
  </si>
  <si>
    <t>Unica Sp</t>
  </si>
  <si>
    <t>Reserva importada do sistema Gover. Id: 4590237</t>
  </si>
  <si>
    <t xml:space="preserve">Isabella Martinez Gasparetto </t>
  </si>
  <si>
    <t>Falcon Goiania</t>
  </si>
  <si>
    <t>Reserva importada do sistema Gover. Id: 4593353</t>
  </si>
  <si>
    <t>JULIA KHOURI PLUT</t>
  </si>
  <si>
    <t>Reserva importada do sistema Gover. Id: 4593347</t>
  </si>
  <si>
    <t>Jacques Alexandre Dos Santos Modesto</t>
  </si>
  <si>
    <t>Reserva importada do sistema Gover. Id: 4590344</t>
  </si>
  <si>
    <t>5K8K2P</t>
  </si>
  <si>
    <t>JOSE DA CONCEIÇÃO</t>
  </si>
  <si>
    <t>Sergio Henrique Mendes</t>
  </si>
  <si>
    <t>Htb Construcoes</t>
  </si>
  <si>
    <t>Reserva importada do Sistema TMS. OS: 46594</t>
  </si>
  <si>
    <t>5KNKWM</t>
  </si>
  <si>
    <t>FRANCISCO SILVA BARROS</t>
  </si>
  <si>
    <t>Reserva importada do Sistema TMS. OS: 46593</t>
  </si>
  <si>
    <t>5KAHP6</t>
  </si>
  <si>
    <t>ANTONIELLI DA SILVEIRA DE LIMA</t>
  </si>
  <si>
    <t>Cintya Cocco Figueiredo</t>
  </si>
  <si>
    <t>Tedesco</t>
  </si>
  <si>
    <t>Reserva importada do Sistema TMS. OS: 46687</t>
  </si>
  <si>
    <t>AYSR9F</t>
  </si>
  <si>
    <t>Patricia Rodrigues da Cunha Goto</t>
  </si>
  <si>
    <t>Budget - Us - Ca - San Francisco Intl Airport-SFO Endereço: 780 Mcdonnell Rd</t>
  </si>
  <si>
    <t>Santista Textil S/a</t>
  </si>
  <si>
    <t>Reserva importada do sistema Gover. Id: 4594063</t>
  </si>
  <si>
    <t>5K8TC7</t>
  </si>
  <si>
    <t>FERNANDO LIANI</t>
  </si>
  <si>
    <t>Kpmg</t>
  </si>
  <si>
    <t>Reserva importada do Sistema TMS. OS: 232669</t>
  </si>
  <si>
    <t>5KZLYH</t>
  </si>
  <si>
    <t>LORHANY ALMEIDA</t>
  </si>
  <si>
    <t>Robson Amaro Santos da Silva</t>
  </si>
  <si>
    <t>NITEROI TERMINAL BARCAS / RJ, Brasil</t>
  </si>
  <si>
    <t>Reserva importada do Sistema TMS. OS: 232555</t>
  </si>
  <si>
    <t>5J4DVV</t>
  </si>
  <si>
    <t>GLORIBERTH BUSCHBECK MELÉNDEZ</t>
  </si>
  <si>
    <t>Kpmg Assessores</t>
  </si>
  <si>
    <t>Reserva importada do Sistema TMS. OS: 230458</t>
  </si>
  <si>
    <t>5JT3V4</t>
  </si>
  <si>
    <t>5JHD4R</t>
  </si>
  <si>
    <t>5J8E44</t>
  </si>
  <si>
    <t>Chia Huang Chu</t>
  </si>
  <si>
    <t>Cmoc - Dom Domenico Rangoni</t>
  </si>
  <si>
    <t>Reserva importada do sistema Gover. Id: 4590713</t>
  </si>
  <si>
    <t>5KH07H</t>
  </si>
  <si>
    <t>KETULLE GODINHO</t>
  </si>
  <si>
    <t>Joao Pessoa / PB, Brasil (JPA)</t>
  </si>
  <si>
    <t>Kpmg Consultoria</t>
  </si>
  <si>
    <t>Reserva importada do Sistema TMS. OS: 232379</t>
  </si>
  <si>
    <t>GUILHERME DA SILVA</t>
  </si>
  <si>
    <t>Quantiq</t>
  </si>
  <si>
    <t>Reserva importada do sistema Gover. Id: 4589652</t>
  </si>
  <si>
    <t>YMVDVZC</t>
  </si>
  <si>
    <t>PAES/ALINE MISS</t>
  </si>
  <si>
    <t>Luciene Carvalho Santos</t>
  </si>
  <si>
    <t>DI1109251621</t>
  </si>
  <si>
    <t>CPQ</t>
  </si>
  <si>
    <t>Diageo Brasil</t>
  </si>
  <si>
    <t>AUXPJDC</t>
  </si>
  <si>
    <t>MADUREIRA/PAULA REGINA OLIVEIRA MISS</t>
  </si>
  <si>
    <t>DI1109251746</t>
  </si>
  <si>
    <t>SAO</t>
  </si>
  <si>
    <t>ERTDNPT</t>
  </si>
  <si>
    <t>DI SERIO/RICARDO MARTINI MR</t>
  </si>
  <si>
    <t>ERTDNP</t>
  </si>
  <si>
    <t>Ses Dth</t>
  </si>
  <si>
    <t>Centro de custo não preenchido! (ACC01) Empenho/departamento não preenchido! (ACC01) Matrícula não preenchida! (ACC01)</t>
  </si>
  <si>
    <t>EZLDLMC</t>
  </si>
  <si>
    <t>EZLDLM</t>
  </si>
  <si>
    <t>PER</t>
  </si>
  <si>
    <t>JKWUFLC</t>
  </si>
  <si>
    <t>JKWUFL</t>
  </si>
  <si>
    <t>DBO</t>
  </si>
  <si>
    <t>IUKTZVT</t>
  </si>
  <si>
    <t>DE OLIVEIRA TEBALDI/TIAGO MR</t>
  </si>
  <si>
    <t>IUKTZV</t>
  </si>
  <si>
    <t>New Skies</t>
  </si>
  <si>
    <t>IRUVNKT</t>
  </si>
  <si>
    <t>SANTOS/ELMO MR</t>
  </si>
  <si>
    <t>CT</t>
  </si>
  <si>
    <t>5K7ASF</t>
  </si>
  <si>
    <t>VINICIUS ROSA</t>
  </si>
  <si>
    <t>Loizy Lima de Oliveira</t>
  </si>
  <si>
    <t>Cbo</t>
  </si>
  <si>
    <t>Reserva importada do Sistema TMS. OS: 8555</t>
  </si>
  <si>
    <t>WQPXZLT</t>
  </si>
  <si>
    <t>DA SILVA/LUCIANA PINTO</t>
  </si>
  <si>
    <t>WQPXZL</t>
  </si>
  <si>
    <t>Bdb Ferramentas do Brasil Ltda</t>
  </si>
  <si>
    <t>LWZABNC</t>
  </si>
  <si>
    <t>LWZABN</t>
  </si>
  <si>
    <t>CLT</t>
  </si>
  <si>
    <t>OIKXQRC</t>
  </si>
  <si>
    <t>OIKXQR</t>
  </si>
  <si>
    <t>MIA</t>
  </si>
  <si>
    <t>WOHFAAC</t>
  </si>
  <si>
    <t>GONGORA/FABIO TEODORO</t>
  </si>
  <si>
    <t>WOHFAA</t>
  </si>
  <si>
    <t>SOD</t>
  </si>
  <si>
    <t>WQSJWQC</t>
  </si>
  <si>
    <t>WQSJWQ</t>
  </si>
  <si>
    <t>FCOEUB</t>
  </si>
  <si>
    <t>Felipe de Almeida Americo</t>
  </si>
  <si>
    <t>Bull Ltda</t>
  </si>
  <si>
    <t>Reserva importada do sistema Gover. Id: 4591912</t>
  </si>
  <si>
    <t>WKAALHT</t>
  </si>
  <si>
    <t>RESNIZKY/MARIA LUZ MS</t>
  </si>
  <si>
    <t>WKAALH</t>
  </si>
  <si>
    <t>Honeywell</t>
  </si>
  <si>
    <t>ITCCUNT</t>
  </si>
  <si>
    <t>MELLI/LEON MR</t>
  </si>
  <si>
    <t>ITCCUN</t>
  </si>
  <si>
    <t>HWRPYIT</t>
  </si>
  <si>
    <t>DA SILVA/ERICK CORREA</t>
  </si>
  <si>
    <t>HWRPYI</t>
  </si>
  <si>
    <t>YGLRNZT</t>
  </si>
  <si>
    <t>SANTACROCE/RENATO DE ANDRADE MR</t>
  </si>
  <si>
    <t>YGLRNZ</t>
  </si>
  <si>
    <t>HJRDPQT</t>
  </si>
  <si>
    <t>MARTINS/BRENDA MS</t>
  </si>
  <si>
    <t>HJRDPQ</t>
  </si>
  <si>
    <t>Essex Hornets Brazil Ltda.</t>
  </si>
  <si>
    <t>Sidney Souza</t>
  </si>
  <si>
    <t>Energisa Sul-sudeste - Distribuidora de Energia S.a.</t>
  </si>
  <si>
    <t>Reserva importada do sistema Gover. Id: 4592209</t>
  </si>
  <si>
    <t>Reserva importada do sistema Gover. Id: 4594004</t>
  </si>
  <si>
    <t xml:space="preserve"> Carlos Andre Soares Fonseca</t>
  </si>
  <si>
    <t>Energisa Solucoes S.a.</t>
  </si>
  <si>
    <t>Reserva importada do sistema Gover. Id: 4595046</t>
  </si>
  <si>
    <t>Luis Oliveira</t>
  </si>
  <si>
    <t>Energisa Biogas S.a</t>
  </si>
  <si>
    <t>Reserva importada do sistema Gover. Id: 4586093</t>
  </si>
  <si>
    <t>5IAZS8</t>
  </si>
  <si>
    <t>RICARDO PLACA OSCAR</t>
  </si>
  <si>
    <t>Ultragaz Comercializadora de Energia</t>
  </si>
  <si>
    <t>Reserva importada do Sistema TMS. OS: 78436</t>
  </si>
  <si>
    <t>5JMCLX</t>
  </si>
  <si>
    <t>CELSO MARQUES FILHO</t>
  </si>
  <si>
    <t>Ultragaz-matriz</t>
  </si>
  <si>
    <t>Reserva importada do Sistema TMS. OS: 79655</t>
  </si>
  <si>
    <t>5JADO2</t>
  </si>
  <si>
    <t>JULIANA CASSIA DOS SANTOS SOUZA</t>
  </si>
  <si>
    <t>Reserva importada do Sistema TMS. OS: 79654</t>
  </si>
  <si>
    <t>5IJ1PL</t>
  </si>
  <si>
    <t>DANILO HILGEMBERG</t>
  </si>
  <si>
    <t>Reserva importada do Sistema TMS. OS: 79159</t>
  </si>
  <si>
    <t>5IIA0L</t>
  </si>
  <si>
    <t>GEVERSON DA COSTA</t>
  </si>
  <si>
    <t>Reserva importada do Sistema TMS. OS: 79158</t>
  </si>
  <si>
    <t>5JYFUB</t>
  </si>
  <si>
    <t>FELIPE KUBIS</t>
  </si>
  <si>
    <t>Reserva importada do Sistema TMS. OS: 79375</t>
  </si>
  <si>
    <t>5K5S1Y</t>
  </si>
  <si>
    <t>CARINA MELO GOUVEIA</t>
  </si>
  <si>
    <t>Bahiana Distribuidora de Gas</t>
  </si>
  <si>
    <t>Reserva importada do Sistema TMS. OS: 80737</t>
  </si>
  <si>
    <t>5JKCTM</t>
  </si>
  <si>
    <t>ALEXANDRE NOVAES</t>
  </si>
  <si>
    <t>Mars Brasil - Mogi Mirim</t>
  </si>
  <si>
    <t>Reserva importada do Sistema TMS. OS: 8338</t>
  </si>
  <si>
    <t>5K09MJ</t>
  </si>
  <si>
    <t>TALITA CARAVANA</t>
  </si>
  <si>
    <t>Taubate / QHP</t>
  </si>
  <si>
    <t>Mars Brasil - Guararema</t>
  </si>
  <si>
    <t>Reserva importada do Sistema TMS. OS: 8610</t>
  </si>
  <si>
    <t>5IZI75</t>
  </si>
  <si>
    <t>LEANDRO DOS SANTOS</t>
  </si>
  <si>
    <t>Jessica Soares Teixeira</t>
  </si>
  <si>
    <t>Reserva importada do Sistema TMS. OS: 78784</t>
  </si>
  <si>
    <t>5I99QK</t>
  </si>
  <si>
    <t>WELLINGTON E SILVA</t>
  </si>
  <si>
    <t>Tamara Michels Behn</t>
  </si>
  <si>
    <t>Reserva importada do Sistema TMS. OS: 79107</t>
  </si>
  <si>
    <t>KCNZBL</t>
  </si>
  <si>
    <t>MAIARA Dias Duarte RODRIGUES</t>
  </si>
  <si>
    <t xml:space="preserve">SAON07 Endereço: </t>
  </si>
  <si>
    <t>Jti Distribuidora - Sao Paulo - Vila Nova Conceicao</t>
  </si>
  <si>
    <t>Reserva importada do sistema Gover. Id: 4590285</t>
  </si>
  <si>
    <t>YWNFTH</t>
  </si>
  <si>
    <t>FELIPE LISBOA</t>
  </si>
  <si>
    <t>Reserva importada do sistema Gover. Id: 4593119</t>
  </si>
  <si>
    <t>YXOXFD</t>
  </si>
  <si>
    <t>LUCIANO AUGUSTO DOS SANTOS CHAVES</t>
  </si>
  <si>
    <t>Reserva importada do sistema Gover. Id: 4593122</t>
  </si>
  <si>
    <t>ASAYIU</t>
  </si>
  <si>
    <t>RODRIGO FURLAN</t>
  </si>
  <si>
    <t>Reserva importada do sistema Gover. Id: 4593552</t>
  </si>
  <si>
    <t>OBYTQL</t>
  </si>
  <si>
    <t>EDUARDO RAFFI NIGOGHOSIAN</t>
  </si>
  <si>
    <t>Reserva importada do sistema Gover. Id: 4593553</t>
  </si>
  <si>
    <t>EGARRC</t>
  </si>
  <si>
    <t>Reserva importada do sistema Gover. Id: 4593559</t>
  </si>
  <si>
    <t>WZRBGJC</t>
  </si>
  <si>
    <t>SILVA PONTIN/PAULO JOSE</t>
  </si>
  <si>
    <t>WZRBGJ</t>
  </si>
  <si>
    <t>CUN</t>
  </si>
  <si>
    <t>Verizon Telecomunicacoes do Brasil Ltda</t>
  </si>
  <si>
    <t>Luiz Renato Costa Filho</t>
  </si>
  <si>
    <t>Samsung Eletronica da Amazonia</t>
  </si>
  <si>
    <t>Reserva importada do sistema Gover. Id: 4594848</t>
  </si>
  <si>
    <t>Jackson Pereira da Silva</t>
  </si>
  <si>
    <t>Reserva importada do sistema Gover. Id: 4594891</t>
  </si>
  <si>
    <t>5II8Z4</t>
  </si>
  <si>
    <t>HADSON SANTOS</t>
  </si>
  <si>
    <t>Reserva importada do Sistema TMS. OS: 78683</t>
  </si>
  <si>
    <t>YKFNODT</t>
  </si>
  <si>
    <t>ITUASSU/ANDRE LUIS MOURA MR</t>
  </si>
  <si>
    <t>Renata Rosenthal dos Santos</t>
  </si>
  <si>
    <t>YKFNOD</t>
  </si>
  <si>
    <t>I - Systems</t>
  </si>
  <si>
    <t>NYDGMOT</t>
  </si>
  <si>
    <t>ALMEIDA/RACHEL FERRARI MS</t>
  </si>
  <si>
    <t>NYDGMO</t>
  </si>
  <si>
    <t>Ihs Brasil Cessao de Infraestruturas S a</t>
  </si>
  <si>
    <t>MGRJUDT</t>
  </si>
  <si>
    <t>TEBERGA/RENATO BEDAQUE MR</t>
  </si>
  <si>
    <t>MGRJUD</t>
  </si>
  <si>
    <t>Basf Sa</t>
  </si>
  <si>
    <t>SZDSUTT</t>
  </si>
  <si>
    <t>CONESSA/DANIEL KAPOR MR</t>
  </si>
  <si>
    <t>183952124-23088</t>
  </si>
  <si>
    <t>ACC02</t>
  </si>
  <si>
    <t>ACC03</t>
  </si>
  <si>
    <t>ACC04</t>
  </si>
  <si>
    <t>ICDHNUT</t>
  </si>
  <si>
    <t>CARVALHO/LARISSA LOZANO TEIXEIRA DE MISS</t>
  </si>
  <si>
    <t>ICDHNU</t>
  </si>
  <si>
    <t>DIOJXVC</t>
  </si>
  <si>
    <t>POLIZEL DO NASCIMENTO/JULIANA MRS</t>
  </si>
  <si>
    <t>DIOJXV</t>
  </si>
  <si>
    <t>JFK</t>
  </si>
  <si>
    <t>IGBHCCT</t>
  </si>
  <si>
    <t>FURLAN/MARIA STELLA MRS</t>
  </si>
  <si>
    <t>184003690-51348</t>
  </si>
  <si>
    <t>FHOEMVT</t>
  </si>
  <si>
    <t>SABINO OLIVEIRA/LUIS FERNANDO LEITE MR</t>
  </si>
  <si>
    <t>183808190-65014</t>
  </si>
  <si>
    <t>OXVJBMT</t>
  </si>
  <si>
    <t>TAVARES DEMARQUI/VINICIUS MR</t>
  </si>
  <si>
    <t>183776782-52791</t>
  </si>
  <si>
    <t>NYVIAXT</t>
  </si>
  <si>
    <t>CRISTOFOLI PEREIRA/ISADORA MISS</t>
  </si>
  <si>
    <t>NYVIAX</t>
  </si>
  <si>
    <t>UGTNOKT</t>
  </si>
  <si>
    <t>CALDAS/NILSON DIAS MR</t>
  </si>
  <si>
    <t>Felipe Anderson da Silva</t>
  </si>
  <si>
    <t>BA1009251055</t>
  </si>
  <si>
    <t>NWREPNC</t>
  </si>
  <si>
    <t>MENDES MACHADO/NATALIA MRS</t>
  </si>
  <si>
    <t>BA1009251509</t>
  </si>
  <si>
    <t>IEMCHIC</t>
  </si>
  <si>
    <t>RIEKES/AUGUSTO MEDEIROS  MR</t>
  </si>
  <si>
    <t>BA1109250948</t>
  </si>
  <si>
    <t>SJK</t>
  </si>
  <si>
    <t>YXQXFET</t>
  </si>
  <si>
    <t>YXQXFE</t>
  </si>
  <si>
    <t>WKCLDWT</t>
  </si>
  <si>
    <t>DE LA CRUZ EPIGMENIO/SALVADOR MR</t>
  </si>
  <si>
    <t>WKCLDW</t>
  </si>
  <si>
    <t>FZHDGST</t>
  </si>
  <si>
    <t>CARDOSO CALLEGARI/CAROLINE MISS</t>
  </si>
  <si>
    <t>FZHDGS</t>
  </si>
  <si>
    <t>JAWQKUT</t>
  </si>
  <si>
    <t>DIAS/RENATA MARTINS MRS</t>
  </si>
  <si>
    <t>JAWQKU</t>
  </si>
  <si>
    <t>DLPYWDC</t>
  </si>
  <si>
    <t>LOCATELLI/ANA CAROLINA MRS</t>
  </si>
  <si>
    <t>DLPYWD</t>
  </si>
  <si>
    <t>FRA</t>
  </si>
  <si>
    <t>WZRDOVT</t>
  </si>
  <si>
    <t>PINHEIRO ROCHA/DAVI MR</t>
  </si>
  <si>
    <t>183727480-26492</t>
  </si>
  <si>
    <t>GKSNPUT</t>
  </si>
  <si>
    <t>ISMAEL/MARCELO MANIERO MR</t>
  </si>
  <si>
    <t>Marcelo de Freitas</t>
  </si>
  <si>
    <t>BA0909250955</t>
  </si>
  <si>
    <t>Fornecedor não preenchido! (ACC02)</t>
  </si>
  <si>
    <t>AMYQKDT</t>
  </si>
  <si>
    <t>KIRCHNER/CASSIO LUIZ MR</t>
  </si>
  <si>
    <t>BA0309251616</t>
  </si>
  <si>
    <t>WQPIHVT</t>
  </si>
  <si>
    <t>BA0808250955</t>
  </si>
  <si>
    <t>LSFUAVT</t>
  </si>
  <si>
    <t>ZANON/RENATA BOCCI MISS</t>
  </si>
  <si>
    <t>183733836-76587</t>
  </si>
  <si>
    <t>Fornecedor não preenchido! (ACC03)</t>
  </si>
  <si>
    <t>HDOAGQC</t>
  </si>
  <si>
    <t>LIMA/SABRINA MISS</t>
  </si>
  <si>
    <t>Marcelo Pereira de Melo</t>
  </si>
  <si>
    <t>BA10092025</t>
  </si>
  <si>
    <t>JPNYLBT</t>
  </si>
  <si>
    <t>ELIAS ASCAR/DANIELA MRS</t>
  </si>
  <si>
    <t>BA2508251024</t>
  </si>
  <si>
    <t>APLNKVT</t>
  </si>
  <si>
    <t>SCHREINER DE OLIVEIRA/FELIPE MR</t>
  </si>
  <si>
    <t>Renata Godoy Sant Anna</t>
  </si>
  <si>
    <t>BA1009251746</t>
  </si>
  <si>
    <t>GNYYWBT</t>
  </si>
  <si>
    <t>DA SILVA/WAGNER ANTUNES MR</t>
  </si>
  <si>
    <t>GNYYWB</t>
  </si>
  <si>
    <t>EAKTSHC</t>
  </si>
  <si>
    <t>GABRIEL/FABIO HENRIQUE PEIXOTO MR</t>
  </si>
  <si>
    <t>BA0809251342</t>
  </si>
  <si>
    <t>HAJ</t>
  </si>
  <si>
    <t>Basf Catalisadores</t>
  </si>
  <si>
    <t>KEGOJBT</t>
  </si>
  <si>
    <t>CORREIA/DEISE CRISTIANE BARRETO MRS</t>
  </si>
  <si>
    <t>BA0809251513</t>
  </si>
  <si>
    <t>Suvinil</t>
  </si>
  <si>
    <t>JUZDABT</t>
  </si>
  <si>
    <t>TERENTIN DE MISQUITA/HARON MR</t>
  </si>
  <si>
    <t>BA0809251518</t>
  </si>
  <si>
    <t>YGAZUIT</t>
  </si>
  <si>
    <t>RODRIGUES/MARIANA RIBEIRO MRS</t>
  </si>
  <si>
    <t>183740115-54480</t>
  </si>
  <si>
    <t>JCDGIJT</t>
  </si>
  <si>
    <t>LOURENCO/NATALIA INACIO MISS</t>
  </si>
  <si>
    <t>183740146-19246</t>
  </si>
  <si>
    <t>UEGYQVT</t>
  </si>
  <si>
    <t>GOVEIA BATISTA SILVA/VICTOR MR</t>
  </si>
  <si>
    <t>UEGYQV</t>
  </si>
  <si>
    <t>GGOMHBT</t>
  </si>
  <si>
    <t>LUCIANO/LUCIANO LANCONI MR</t>
  </si>
  <si>
    <t>183666081-40839</t>
  </si>
  <si>
    <t>FHMPFUT</t>
  </si>
  <si>
    <t>SANTOS DE MORAIS/YASMIN</t>
  </si>
  <si>
    <t>BA09092025</t>
  </si>
  <si>
    <t>Lia Soares</t>
  </si>
  <si>
    <t>Chicago Pneumatic Brasil Ltda - Matriz</t>
  </si>
  <si>
    <t>Reserva importada do sistema Gover. Id: 4591443</t>
  </si>
  <si>
    <t>JNHZHZT</t>
  </si>
  <si>
    <t>MENDES SILVA/GUSTAVO MR</t>
  </si>
  <si>
    <t>Chanel</t>
  </si>
  <si>
    <t>5K576F</t>
  </si>
  <si>
    <t>ROSSINI/RAFAEL</t>
  </si>
  <si>
    <t>Lemontech</t>
  </si>
  <si>
    <t>Lojas Renner</t>
  </si>
  <si>
    <t>Reserva importada do Sistema Lemontech. Solicitação: 17497766</t>
  </si>
  <si>
    <t>5K8HX3</t>
  </si>
  <si>
    <t>DOS SANTOS BICCA/ROSELAINE</t>
  </si>
  <si>
    <t>Reserva importada do Sistema Lemontech. Solicitação: 17496736</t>
  </si>
  <si>
    <t>5KZ25Q</t>
  </si>
  <si>
    <t>FERNANDES CRUZ/LEANDRO</t>
  </si>
  <si>
    <t>Reserva importada do Sistema Lemontech. Solicitação: 17484878</t>
  </si>
  <si>
    <t>5KCFL3</t>
  </si>
  <si>
    <t>PEREIRA/LUCAS</t>
  </si>
  <si>
    <t>Reserva importada do Sistema Lemontech. Solicitação: 17476838</t>
  </si>
  <si>
    <t>5K6IDZ</t>
  </si>
  <si>
    <t>VERGARA ORTIZ/ANDREA</t>
  </si>
  <si>
    <t>Reserva importada do Sistema Lemontech. Solicitação: 17484254</t>
  </si>
  <si>
    <t>5KUKEQ</t>
  </si>
  <si>
    <t>SANGIOVANNI/NOELIA</t>
  </si>
  <si>
    <t>Reserva importada do Sistema Lemontech. Solicitação: 17484280</t>
  </si>
  <si>
    <t>5K1NC1</t>
  </si>
  <si>
    <t>BORGES/JULIANE</t>
  </si>
  <si>
    <t>Reserva importada do Sistema Lemontech. Solicitação: 17484483</t>
  </si>
  <si>
    <t>5JZ3U2</t>
  </si>
  <si>
    <t>SANTOS GUTIERREZ/FABIO</t>
  </si>
  <si>
    <t>Reserva importada do Sistema Lemontech. Solicitação: 17419331</t>
  </si>
  <si>
    <t>5JE96U</t>
  </si>
  <si>
    <t>TABASNIK/RAFAEL</t>
  </si>
  <si>
    <t>Reserva importada do Sistema Lemontech. Solicitação: 17464422</t>
  </si>
  <si>
    <t>5KHVF3</t>
  </si>
  <si>
    <t>RIBAS PIRES/ANNA</t>
  </si>
  <si>
    <t>Hiran Ricardo da Silva Ramos</t>
  </si>
  <si>
    <t>Reserva importada do Sistema Lemontech. Solicitação: 17442113</t>
  </si>
  <si>
    <t>5J88JY</t>
  </si>
  <si>
    <t>SHINTAKU INAMURA/LOURDES</t>
  </si>
  <si>
    <t>Reserva importada do Sistema Lemontech. Solicitação: 17437366</t>
  </si>
  <si>
    <t>5JOK7H</t>
  </si>
  <si>
    <t>5KMFI0</t>
  </si>
  <si>
    <t>SILVA JUNIOR/OZNI</t>
  </si>
  <si>
    <t>Reserva importada do Sistema Lemontech. Solicitação: 17456889</t>
  </si>
  <si>
    <t>5JQJ58</t>
  </si>
  <si>
    <t>LORA TOBAR/JULIA</t>
  </si>
  <si>
    <t>Reserva importada do Sistema Lemontech. Solicitação: 17461433</t>
  </si>
  <si>
    <t>5JPSAS</t>
  </si>
  <si>
    <t>DOS SANTOS/TIAGO</t>
  </si>
  <si>
    <t>Reserva importada do Sistema Lemontech. Solicitação: 17412128</t>
  </si>
  <si>
    <t>5J67GH</t>
  </si>
  <si>
    <t>DE SOUZA/MARINA</t>
  </si>
  <si>
    <t>Reserva importada do Sistema Lemontech. Solicitação: 17439326</t>
  </si>
  <si>
    <t>5JCOG6</t>
  </si>
  <si>
    <t>MARTINS/ALDIZIA</t>
  </si>
  <si>
    <t>Reserva importada do Sistema Lemontech. Solicitação: 17443842</t>
  </si>
  <si>
    <t>5JJ2UY</t>
  </si>
  <si>
    <t>MEDEIROS ANDRADE/PEDRO</t>
  </si>
  <si>
    <t>Realize</t>
  </si>
  <si>
    <t>Reserva importada do Sistema Lemontech. Solicitação: 17429431</t>
  </si>
  <si>
    <t>5KS6TQ</t>
  </si>
  <si>
    <t>DA SILVA/TIAGO</t>
  </si>
  <si>
    <t>Camicado Houseware</t>
  </si>
  <si>
    <t>Reserva importada do Sistema Lemontech. Solicitação: 17480917</t>
  </si>
  <si>
    <t>5KCHGQ</t>
  </si>
  <si>
    <t>SOUZA CRUZ/ROBSON</t>
  </si>
  <si>
    <t>Reserva importada do Sistema Lemontech. Solicitação: 17480979</t>
  </si>
  <si>
    <t>5KPIH4</t>
  </si>
  <si>
    <t>XAVIER SANTOS/TATIANE</t>
  </si>
  <si>
    <t>Reserva importada do Sistema Lemontech. Solicitação: 17502280</t>
  </si>
  <si>
    <t>5KRIAR</t>
  </si>
  <si>
    <t>SILVA GUIMARÃES/MOISES</t>
  </si>
  <si>
    <t>Patricia Pinato Ferreira Lima</t>
  </si>
  <si>
    <t>Reserva importada do Sistema Lemontech. Solicitação: 17502299</t>
  </si>
  <si>
    <t>UNGGZGT</t>
  </si>
  <si>
    <t>BAIALUNA/FERNANDO BUENO MR</t>
  </si>
  <si>
    <t>UNGGZG_0</t>
  </si>
  <si>
    <t>Nielseniq do Brasil</t>
  </si>
  <si>
    <t>5KHUGF</t>
  </si>
  <si>
    <t>SANCHES/CAMILA</t>
  </si>
  <si>
    <t>Isabela de Melo da Silva</t>
  </si>
  <si>
    <t>Biolab Centro Administrativo - Escritorio</t>
  </si>
  <si>
    <t>Reserva importada do Sistema Lemontech. Solicitação: 17494943</t>
  </si>
  <si>
    <t>5KV6U5</t>
  </si>
  <si>
    <t>BONATTO/DANIELA</t>
  </si>
  <si>
    <t>Reserva importada do Sistema Lemontech. Solicitação: 17501241</t>
  </si>
  <si>
    <t>5J8RHY</t>
  </si>
  <si>
    <t>PAIVA/ANTONIO LUCELIO</t>
  </si>
  <si>
    <t>G AEROP RECIFE ALUGUEL MENSAL</t>
  </si>
  <si>
    <t>Reserva importada do Sistema Lemontech. Solicitação: 17449596</t>
  </si>
  <si>
    <t>5J5DVG</t>
  </si>
  <si>
    <t>DA COSTA/ANNIELLY</t>
  </si>
  <si>
    <t>Reserva importada do Sistema Lemontech. Solicitação: 17402551</t>
  </si>
  <si>
    <t>5K78UB</t>
  </si>
  <si>
    <t>OLIVEIRA NETA/MARIA</t>
  </si>
  <si>
    <t>Maria Clara Landeira Mezavila</t>
  </si>
  <si>
    <t>AEROPORTO INTERN - FORTALEZA</t>
  </si>
  <si>
    <t>Reserva importada do Sistema Lemontech. Solicitação: 17463997</t>
  </si>
  <si>
    <t>5K76DE</t>
  </si>
  <si>
    <t>DE SIQUEIRA/KAROLINE</t>
  </si>
  <si>
    <t>Reserva importada do Sistema Lemontech. Solicitação: 17496558</t>
  </si>
  <si>
    <t>5KELCD</t>
  </si>
  <si>
    <t>DE SOUSA/MARCELA</t>
  </si>
  <si>
    <t>AEROPORTO INTERNAC - BELEM</t>
  </si>
  <si>
    <t>Reserva importada do Sistema Lemontech. Solicitação: 17362026</t>
  </si>
  <si>
    <t>5K59EE</t>
  </si>
  <si>
    <t>BELEM/PA - AGENCIA AEROPORTO BELEM</t>
  </si>
  <si>
    <t>Reserva importada do Sistema Lemontech. Solicitação: 17435435</t>
  </si>
  <si>
    <t>5K3EJW</t>
  </si>
  <si>
    <t>ANTONIAZI/ALEXANDRE</t>
  </si>
  <si>
    <t>Reserva importada do Sistema Lemontech. Solicitação: 17488068</t>
  </si>
  <si>
    <t>5KQPD3</t>
  </si>
  <si>
    <t>ZACARIAS/RAFAELA</t>
  </si>
  <si>
    <t>Reserva importada do Sistema Lemontech. Solicitação: 17411751</t>
  </si>
  <si>
    <t>5K2G6Z</t>
  </si>
  <si>
    <t>DE OLIVEIRA/BRUNO</t>
  </si>
  <si>
    <t>Reserva importada do Sistema Lemontech. Solicitação: 17477030</t>
  </si>
  <si>
    <t>5KYGHA</t>
  </si>
  <si>
    <t>Reserva importada do Sistema Lemontech. Solicitação: 17481512</t>
  </si>
  <si>
    <t>5KUTH1</t>
  </si>
  <si>
    <t>Reserva importada do Sistema Lemontech. Solicitação: 17482128</t>
  </si>
  <si>
    <t>5I1K7J</t>
  </si>
  <si>
    <t>LAMEGO/ROSALBA</t>
  </si>
  <si>
    <t>AGENCIA CENTRO ALTAMIRA</t>
  </si>
  <si>
    <t>Reserva importada do Sistema Lemontech. Solicitação: 17393510</t>
  </si>
  <si>
    <t>5IADJU</t>
  </si>
  <si>
    <t>CASTRO/MERLIN</t>
  </si>
  <si>
    <t>Reserva importada do Sistema Lemontech. Solicitação: 17385092</t>
  </si>
  <si>
    <t>5IYAVI</t>
  </si>
  <si>
    <t>NEVES/DAIANE</t>
  </si>
  <si>
    <t>Agência: AGENCIA AEROPORTO ALTAMIRA</t>
  </si>
  <si>
    <t>Reserva importada do Sistema Lemontech. Solicitação: 17395669</t>
  </si>
  <si>
    <t>5I6VCI</t>
  </si>
  <si>
    <t>AEROPORTO - CAMPO GRANDE</t>
  </si>
  <si>
    <t>Reserva importada do Sistema Lemontech. Solicitação: 17402673</t>
  </si>
  <si>
    <t>5J93NA</t>
  </si>
  <si>
    <t>RODRIGUES/EMERSON</t>
  </si>
  <si>
    <t>AG CENTRO JUSCELINO KUBITSCHEK</t>
  </si>
  <si>
    <t>Reserva importada do Sistema Lemontech. Solicitação: 17424258</t>
  </si>
  <si>
    <t>5JIH9Z</t>
  </si>
  <si>
    <t>FERNANDES DA SILVA/JULIANA</t>
  </si>
  <si>
    <t>Reserva importada do Sistema Lemontech. Solicitação: 17378772</t>
  </si>
  <si>
    <t>5JAZ5A</t>
  </si>
  <si>
    <t>TEMPORAL AGOSTINHO/MARIA</t>
  </si>
  <si>
    <t>Reserva importada do Sistema Lemontech. Solicitação: 17411641</t>
  </si>
  <si>
    <t>5J6ZUY</t>
  </si>
  <si>
    <t>SILVEIRA/JULIETE</t>
  </si>
  <si>
    <t>Reserva importada do Sistema Lemontech. Solicitação: 17428580</t>
  </si>
  <si>
    <t>5JLZ7H</t>
  </si>
  <si>
    <t>Reserva importada do Sistema Lemontech. Solicitação: 17428649</t>
  </si>
  <si>
    <t>5JC5BD</t>
  </si>
  <si>
    <t>ENCARNACAO/MILSON</t>
  </si>
  <si>
    <t>Reserva importada do Sistema Lemontech. Solicitação: 17369760</t>
  </si>
  <si>
    <t>5J9843</t>
  </si>
  <si>
    <t>NUNES CALDERARO/JOSELINA</t>
  </si>
  <si>
    <t>Reserva importada do Sistema Lemontech. Solicitação: 17409000</t>
  </si>
  <si>
    <t>5KYL05</t>
  </si>
  <si>
    <t>LEITE MEDEIROS/PAULO</t>
  </si>
  <si>
    <t>Agência: AG CENTRO BRAGANCA PAULISTA</t>
  </si>
  <si>
    <t>Reserva importada do Sistema Lemontech. Solicitação: 17503390</t>
  </si>
  <si>
    <t>5KNOQ5</t>
  </si>
  <si>
    <t>VALERIANO MORAIS/SAMUEL</t>
  </si>
  <si>
    <t>AGENCIA AEROPORTO SANTAREM</t>
  </si>
  <si>
    <t>Reserva importada do Sistema Lemontech. Solicitação: 17420318</t>
  </si>
  <si>
    <t>5KJT2G</t>
  </si>
  <si>
    <t>DOS SANTOS/LUIZ</t>
  </si>
  <si>
    <t>Reserva importada do Sistema Lemontech. Solicitação: 17413933</t>
  </si>
  <si>
    <t>5JIY7Y</t>
  </si>
  <si>
    <t>FARIAS ROCHA/JOAO</t>
  </si>
  <si>
    <t>Reserva importada do Sistema Lemontech. Solicitação: 17435801</t>
  </si>
  <si>
    <t>5KA0YQ</t>
  </si>
  <si>
    <t>FARIA/LUCAS</t>
  </si>
  <si>
    <t>Reserva importada do Sistema Lemontech. Solicitação: 17476042</t>
  </si>
  <si>
    <t>5K5M61</t>
  </si>
  <si>
    <t>MONTEIRO/WILLIAM</t>
  </si>
  <si>
    <t>Reserva importada do Sistema Lemontech. Solicitação: 17486933</t>
  </si>
  <si>
    <t>5J3SJK</t>
  </si>
  <si>
    <t>RODRIGUES AUDI/LARICIA</t>
  </si>
  <si>
    <t>Reserva importada do Sistema Lemontech. Solicitação: 17469287</t>
  </si>
  <si>
    <t>5JNQIK</t>
  </si>
  <si>
    <t>OLIVEIRA MESQUITA/LEEA</t>
  </si>
  <si>
    <t>Reserva importada do Sistema Lemontech. Solicitação: 17470558</t>
  </si>
  <si>
    <t>5JUNQL</t>
  </si>
  <si>
    <t>ALBUQUERQUE/FELIPE</t>
  </si>
  <si>
    <t>Reserva importada do Sistema Lemontech. Solicitação: 17466869</t>
  </si>
  <si>
    <t>5JHF3J</t>
  </si>
  <si>
    <t>BARROS/GUILHERME</t>
  </si>
  <si>
    <t>Reserva importada do Sistema Lemontech. Solicitação: 17425947</t>
  </si>
  <si>
    <t>5JXHC7</t>
  </si>
  <si>
    <t>DA COSTA NETO/ARLINDO</t>
  </si>
  <si>
    <t>Reserva importada do Sistema Lemontech. Solicitação: 17429164</t>
  </si>
  <si>
    <t>5JP847</t>
  </si>
  <si>
    <t>SANTOS BRAGA/LAIS</t>
  </si>
  <si>
    <t>Reserva importada do Sistema Lemontech. Solicitação: 17459866</t>
  </si>
  <si>
    <t>5JBSAM</t>
  </si>
  <si>
    <t>MELLI/MARCUS</t>
  </si>
  <si>
    <t>Reserva importada do Sistema Lemontech. Solicitação: 17388764</t>
  </si>
  <si>
    <t>5INW3O</t>
  </si>
  <si>
    <t>BRESSAN/FILIPE</t>
  </si>
  <si>
    <t>Reserva importada do Sistema Lemontech. Solicitação: 17402853</t>
  </si>
  <si>
    <t>5IDH87</t>
  </si>
  <si>
    <t>LOPES/JANINE</t>
  </si>
  <si>
    <t>Reserva importada do Sistema Lemontech. Solicitação: 17380261</t>
  </si>
  <si>
    <t>5IOEJV</t>
  </si>
  <si>
    <t>CORREIA/LIVIA</t>
  </si>
  <si>
    <t>Reserva importada do Sistema Lemontech. Solicitação: 17380486</t>
  </si>
  <si>
    <t>5IHRYJ</t>
  </si>
  <si>
    <t>Reserva importada do Sistema Lemontech. Solicitação: 17396695</t>
  </si>
  <si>
    <t>5IF1J7</t>
  </si>
  <si>
    <t>DE MELO/MARIA</t>
  </si>
  <si>
    <t>Reserva importada do Sistema Lemontech. Solicitação: 17380641</t>
  </si>
  <si>
    <t>5IKTUU</t>
  </si>
  <si>
    <t>LIMA/JOAO</t>
  </si>
  <si>
    <t>Reserva importada do Sistema Lemontech. Solicitação: 17389707</t>
  </si>
  <si>
    <t>5K3ZS5</t>
  </si>
  <si>
    <t>ROCHA/PAULO</t>
  </si>
  <si>
    <t>Reserva importada do Sistema Lemontech. Solicitação: 17503057</t>
  </si>
  <si>
    <t>5KHU2T</t>
  </si>
  <si>
    <t>Reserva importada do Sistema Lemontech. Solicitação: 17509549</t>
  </si>
  <si>
    <t>5K97UT</t>
  </si>
  <si>
    <t>MOSENA/IVAN</t>
  </si>
  <si>
    <t>Reserva importada do Sistema Lemontech. Solicitação: 17511730</t>
  </si>
  <si>
    <t>5KM7O5</t>
  </si>
  <si>
    <t>DE OLIVEIRA/FRANCISCO</t>
  </si>
  <si>
    <t>Reserva importada do Sistema Lemontech. Solicitação: 17511798</t>
  </si>
  <si>
    <t>5KMS5F</t>
  </si>
  <si>
    <t>ROCINHOLLI/LUCAS</t>
  </si>
  <si>
    <t>Reserva importada do Sistema Lemontech. Solicitação: 17504201</t>
  </si>
  <si>
    <t>5KJ854</t>
  </si>
  <si>
    <t>SOUZA GONCALVES/MARIANA</t>
  </si>
  <si>
    <t>Reserva importada do Sistema Lemontech. Solicitação: 17504382</t>
  </si>
  <si>
    <t>5KI8TR</t>
  </si>
  <si>
    <t>MORETI CARMINATI/HADRIEN</t>
  </si>
  <si>
    <t>Reserva importada do Sistema Lemontech. Solicitação: 17504402</t>
  </si>
  <si>
    <t>5KO8BG</t>
  </si>
  <si>
    <t>MEIRA/JAMILA</t>
  </si>
  <si>
    <t>Reserva importada do Sistema Lemontech. Solicitação: 17457256</t>
  </si>
  <si>
    <t>5KBLMG</t>
  </si>
  <si>
    <t>Reserva importada do Sistema Lemontech. Solicitação: 17459180</t>
  </si>
  <si>
    <t>5KAOP5</t>
  </si>
  <si>
    <t>Reserva importada do Sistema Lemontech. Solicitação: 17459245</t>
  </si>
  <si>
    <t>5KEH2C</t>
  </si>
  <si>
    <t>MORALES/SERGIO</t>
  </si>
  <si>
    <t>Reserva importada do Sistema Lemontech. Solicitação: 17491830</t>
  </si>
  <si>
    <t>5KUHGQ</t>
  </si>
  <si>
    <t>GRUPPI/GLAUCIO</t>
  </si>
  <si>
    <t>Reserva importada do Sistema Lemontech. Solicitação: 17482652</t>
  </si>
  <si>
    <t>5K1FIM</t>
  </si>
  <si>
    <t>BISCOLI/GUSTAVO</t>
  </si>
  <si>
    <t>Reserva importada do Sistema Lemontech. Solicitação: 17457313</t>
  </si>
  <si>
    <t>5K4G80</t>
  </si>
  <si>
    <t>SOUZA CAVASSANA/GABRIEL</t>
  </si>
  <si>
    <t>Reserva importada do Sistema Lemontech. Solicitação: 17480859</t>
  </si>
  <si>
    <t>5KAEOB</t>
  </si>
  <si>
    <t>DE SOUZA/ANDERSON</t>
  </si>
  <si>
    <t>Reserva importada do Sistema Lemontech. Solicitação: 17476494</t>
  </si>
  <si>
    <t>5KXMBQ</t>
  </si>
  <si>
    <t>MOSELA VERALDO/GISLEIDE</t>
  </si>
  <si>
    <t>Reserva importada do Sistema Lemontech. Solicitação: 17469184</t>
  </si>
  <si>
    <t>5KF79E</t>
  </si>
  <si>
    <t>FONTOURA/GABRIELA</t>
  </si>
  <si>
    <t>Reserva importada do Sistema Lemontech. Solicitação: 17501744</t>
  </si>
  <si>
    <t>5KUTE3</t>
  </si>
  <si>
    <t>CARVALHO NETTO/AGENOR</t>
  </si>
  <si>
    <t>Reserva importada do Sistema Lemontech. Solicitação: 17466066</t>
  </si>
  <si>
    <t>5JA6YH</t>
  </si>
  <si>
    <t>DE SOUZA/LUCAS</t>
  </si>
  <si>
    <t>Reserva importada do Sistema Lemontech. Solicitação: 17451151</t>
  </si>
  <si>
    <t>5JTIGH</t>
  </si>
  <si>
    <t>DE PAULA/SILVANA</t>
  </si>
  <si>
    <t>Reserva importada do Sistema Lemontech. Solicitação: 17442344</t>
  </si>
  <si>
    <t>5JUMH6</t>
  </si>
  <si>
    <t>Reserva importada do Sistema Lemontech. Solicitação: 17445721</t>
  </si>
  <si>
    <t>5KKAVW</t>
  </si>
  <si>
    <t>XAVIER/KRISLAINY</t>
  </si>
  <si>
    <t>Reserva importada do Sistema Lemontech. Solicitação: 17490281</t>
  </si>
  <si>
    <t>5J2RBL</t>
  </si>
  <si>
    <t>BRENDA SANTANA GARRIDO</t>
  </si>
  <si>
    <t>JOSE ALEXANDRE SOARES CALDAS</t>
  </si>
  <si>
    <t>Oceanpact Servicos Maritimos</t>
  </si>
  <si>
    <t>Reserva importada do Sistema TMS. OS: 79568</t>
  </si>
  <si>
    <t>5IABGF</t>
  </si>
  <si>
    <t>DENIS CARDOZO</t>
  </si>
  <si>
    <t>Reserva importada do Sistema TMS. OS: 77595</t>
  </si>
  <si>
    <t>5KZPCR</t>
  </si>
  <si>
    <t>LEANDRO DE MORAES</t>
  </si>
  <si>
    <t>Nataly Franca Regal de Castro</t>
  </si>
  <si>
    <t>Reserva importada do Sistema TMS. OS: 80065</t>
  </si>
  <si>
    <t>5K4W1D</t>
  </si>
  <si>
    <t>DIEGO SILVA HORACIO</t>
  </si>
  <si>
    <t>Reserva importada do Sistema TMS. OS: 79595</t>
  </si>
  <si>
    <t>5IIGO5</t>
  </si>
  <si>
    <t>NATALIA RONGETTA</t>
  </si>
  <si>
    <t>Marlon Marques dos Santos</t>
  </si>
  <si>
    <t>Aiuka</t>
  </si>
  <si>
    <t>Reserva importada do Sistema TMS. OS: 77871</t>
  </si>
  <si>
    <t>5JQ0MA</t>
  </si>
  <si>
    <t>Reserva importada do Sistema TMS. OS: 78342</t>
  </si>
  <si>
    <t>5J9R1U</t>
  </si>
  <si>
    <t>DOUGLAS LEITE</t>
  </si>
  <si>
    <t>Oceanpact Geociencias</t>
  </si>
  <si>
    <t>Reserva importada do Sistema TMS. OS: 79397</t>
  </si>
  <si>
    <t>5JN1DE</t>
  </si>
  <si>
    <t>FELIPE MATTOS</t>
  </si>
  <si>
    <t>Environpact Sustentabilidade e Resiliencia</t>
  </si>
  <si>
    <t>Reserva importada do Sistema TMS. OS: 78811</t>
  </si>
  <si>
    <t>5JZJRI</t>
  </si>
  <si>
    <t>MATHEUS BEZERRA MENDES</t>
  </si>
  <si>
    <t>Oceanpact Marau Navegacao</t>
  </si>
  <si>
    <t>Reserva importada do Sistema TMS. OS: 79441</t>
  </si>
  <si>
    <t>5KKNID</t>
  </si>
  <si>
    <t>JOAO DE MENDONCA</t>
  </si>
  <si>
    <t>Up Offshore Apoio Maritimo</t>
  </si>
  <si>
    <t>Reserva importada do Sistema TMS. OS: 80010</t>
  </si>
  <si>
    <t>DGXYUST</t>
  </si>
  <si>
    <t>RODRIGUES ALVES DINIZ/LUCAS</t>
  </si>
  <si>
    <t>DGXYUS</t>
  </si>
  <si>
    <t>Adidas do Brasil Ltda</t>
  </si>
  <si>
    <t>5KIEBJ</t>
  </si>
  <si>
    <t>GERALDO MORENO</t>
  </si>
  <si>
    <t>São Paulo / SAO</t>
  </si>
  <si>
    <t>Enaex</t>
  </si>
  <si>
    <t>Reserva importada do Sistema TMS. OS: 26014</t>
  </si>
  <si>
    <t>5KMFBU</t>
  </si>
  <si>
    <t>PAULO SILVA</t>
  </si>
  <si>
    <t>Campo Grande / CGR</t>
  </si>
  <si>
    <t>Reserva importada do Sistema TMS. OS: 26006</t>
  </si>
  <si>
    <t>5KXFMU</t>
  </si>
  <si>
    <t>CLEITON FAGUNDES</t>
  </si>
  <si>
    <t>Confins / CNF</t>
  </si>
  <si>
    <t>Reserva importada do Sistema TMS. OS: 26001</t>
  </si>
  <si>
    <t>5KR40J</t>
  </si>
  <si>
    <t>LARISSA MORAES PERES</t>
  </si>
  <si>
    <t>Maceio / MCZ</t>
  </si>
  <si>
    <t>Reserva importada do Sistema TMS. OS: 25997</t>
  </si>
  <si>
    <t>AV8DV5444J4A</t>
  </si>
  <si>
    <t>Gabriel DIAS LOPES</t>
  </si>
  <si>
    <t>Ana Carolina da Silva</t>
  </si>
  <si>
    <t>Localiza - Br - Mg - Ouro Branco - Centro Endereço: Av Marisa de Sousa Mendes, 150</t>
  </si>
  <si>
    <t>Arcadis</t>
  </si>
  <si>
    <t>Reserva importada do sistema Gover. Id: 4594923</t>
  </si>
  <si>
    <t>5J5O6C</t>
  </si>
  <si>
    <t>DIOGO LUIZ CALIXTO DE ARAUJO</t>
  </si>
  <si>
    <t>Ache Laboratorios Farmaceuticos Sa</t>
  </si>
  <si>
    <t>Reserva importada do Sistema TMS. OS: 84880</t>
  </si>
  <si>
    <t>5I5V7V</t>
  </si>
  <si>
    <t>MICHEL SANTOS</t>
  </si>
  <si>
    <t>Reserva importada do Sistema TMS. OS: 83770</t>
  </si>
  <si>
    <t>5IQDHE</t>
  </si>
  <si>
    <t>SIMONE COELHO</t>
  </si>
  <si>
    <t>Reserva importada do Sistema TMS. OS: 83677</t>
  </si>
  <si>
    <t>5KSR71</t>
  </si>
  <si>
    <t>DANIEL ABEID</t>
  </si>
  <si>
    <t>Reserva importada do Sistema TMS. OS: 86219</t>
  </si>
  <si>
    <t>5K3T7Q</t>
  </si>
  <si>
    <t>DANIEL GOMES</t>
  </si>
  <si>
    <t>Reserva importada do Sistema TMS. OS: 86143</t>
  </si>
  <si>
    <t>5K45JA</t>
  </si>
  <si>
    <t>Reserva importada do Sistema TMS. OS: 86137</t>
  </si>
  <si>
    <t>5KIOZ4</t>
  </si>
  <si>
    <t>VALERIA CABRAL</t>
  </si>
  <si>
    <t>Reserva importada do Sistema TMS. OS: 86605</t>
  </si>
  <si>
    <t>5JLPYL</t>
  </si>
  <si>
    <t>MEIRE SILVA</t>
  </si>
  <si>
    <t>Reserva importada do Sistema TMS. OS: 82398</t>
  </si>
  <si>
    <t>5KPJI6</t>
  </si>
  <si>
    <t>DEBORA SILVA</t>
  </si>
  <si>
    <t>Ariane de Sousa Farias</t>
  </si>
  <si>
    <t>Reserva importada do Sistema TMS. OS: 86054</t>
  </si>
  <si>
    <t>5KDE4J</t>
  </si>
  <si>
    <t>MARCELO ALMEIDA</t>
  </si>
  <si>
    <t>Reserva importada do Sistema TMS. OS: 85481</t>
  </si>
  <si>
    <t>5JIJHB</t>
  </si>
  <si>
    <t>DENISE HILLS LOPES</t>
  </si>
  <si>
    <t>Taesa Matriz</t>
  </si>
  <si>
    <t>Reserva importada do Sistema TMS. OS: 23248</t>
  </si>
  <si>
    <t>5KNZTY</t>
  </si>
  <si>
    <t>RODRIGO DIAS</t>
  </si>
  <si>
    <t>Marcelo Ignacio de Lima</t>
  </si>
  <si>
    <t>Reserva importada do Sistema TMS. OS: 24111</t>
  </si>
  <si>
    <t>5JKATS</t>
  </si>
  <si>
    <t>ARTUR DOS SANTOS</t>
  </si>
  <si>
    <t>Ate Iii Transmissora de Energia Eletrica Sa</t>
  </si>
  <si>
    <t>Reserva importada do Sistema TMS. OS: 23409</t>
  </si>
  <si>
    <t>5K6J3M</t>
  </si>
  <si>
    <t>HELDON SOARES</t>
  </si>
  <si>
    <t>Marcia Fernandes de Sousa</t>
  </si>
  <si>
    <t>Nvt - Novatrans Energia</t>
  </si>
  <si>
    <t>Reserva importada do Sistema TMS. OS: 23518</t>
  </si>
  <si>
    <t>5KK7CP</t>
  </si>
  <si>
    <t>MARCOS SOUSA DE OLIVEIRA</t>
  </si>
  <si>
    <t>Reserva importada do Sistema TMS. OS: 23482</t>
  </si>
  <si>
    <t>CPOCYVT</t>
  </si>
  <si>
    <t>SIMON/PRISCILA MS</t>
  </si>
  <si>
    <t>CPOCYV</t>
  </si>
  <si>
    <t>Sep Global Informacoes do Brasil Ltda</t>
  </si>
  <si>
    <t>HVAXQGT</t>
  </si>
  <si>
    <t>DE SOUZA SAMPAIO/PAULO EDUARDO MR</t>
  </si>
  <si>
    <t>HVAXQG</t>
  </si>
  <si>
    <t>5KE5PU</t>
  </si>
  <si>
    <t>LUIZ OLIVEIRA</t>
  </si>
  <si>
    <t>Porto Alegre / POA</t>
  </si>
  <si>
    <t>Epson</t>
  </si>
  <si>
    <t>Reserva importada do Sistema TMS. OS: 3848</t>
  </si>
  <si>
    <t>HEBNUZT</t>
  </si>
  <si>
    <t>SCHLIEPER/LUCIA PAULA MRS</t>
  </si>
  <si>
    <t>HEBNUZ</t>
  </si>
  <si>
    <t>Livanova Brasil</t>
  </si>
  <si>
    <t>HCYKJUT</t>
  </si>
  <si>
    <t>VITOR/SHEILA RODRIGUES MRS</t>
  </si>
  <si>
    <t>HCYKJU</t>
  </si>
  <si>
    <t>SYPVJFT</t>
  </si>
  <si>
    <t>SHIBATA/INACIO HIDEO MR</t>
  </si>
  <si>
    <t>SYPVJF</t>
  </si>
  <si>
    <t>OKQNMET</t>
  </si>
  <si>
    <t>YOSHIKAWA/MARCIO AKIO</t>
  </si>
  <si>
    <t>OKQNME</t>
  </si>
  <si>
    <t>EVTEDFT</t>
  </si>
  <si>
    <t>MARINHO KOITLA/ANETE</t>
  </si>
  <si>
    <t>EVTEDF</t>
  </si>
  <si>
    <t>5KSBQV</t>
  </si>
  <si>
    <t>SIDNEI SANTANA</t>
  </si>
  <si>
    <t>Lucas do Rio Verde / LVR</t>
  </si>
  <si>
    <t>Pagseguro Internet Instituicao de Pagamento S.a.</t>
  </si>
  <si>
    <t>Reserva importada do Sistema TMS. OS: 27976</t>
  </si>
  <si>
    <t>MV2FU13M5OBR</t>
  </si>
  <si>
    <t>Icaro Alexandre Bortolin</t>
  </si>
  <si>
    <t>Michelly Andrade Leandro da Silva</t>
  </si>
  <si>
    <t>Movida - Br - Sp - Sao Paulo - Itaim Bibi - Joa Fl Endereço: Av. Pres. Juscelino Kubitschek, 881</t>
  </si>
  <si>
    <t>Winity</t>
  </si>
  <si>
    <t>Reserva importada do sistema Gover. Id: 4591950</t>
  </si>
  <si>
    <t>EOSUZM</t>
  </si>
  <si>
    <t>Dieres Goncalves Rocha</t>
  </si>
  <si>
    <t>Souza Cruz</t>
  </si>
  <si>
    <t>Reserva importada do sistema Gover. Id: 4595581</t>
  </si>
  <si>
    <t>MHJOSJ</t>
  </si>
  <si>
    <t>Reserva importada do sistema Gover. Id: 4595589</t>
  </si>
  <si>
    <t>WDSAMB</t>
  </si>
  <si>
    <t>IMAD UD DIN MUHAMMAD</t>
  </si>
  <si>
    <t>Reserva importada do sistema Gover. Id: 4595363</t>
  </si>
  <si>
    <t>RES003203-15153</t>
  </si>
  <si>
    <t>Marcos Ribeiro Cabral</t>
  </si>
  <si>
    <t>Reserva importada do sistema Gover. Id: 4595035</t>
  </si>
  <si>
    <t>HKNYHY</t>
  </si>
  <si>
    <t>Diego Antunes Campos</t>
  </si>
  <si>
    <t>Jose Luiz Lace Rodrigues</t>
  </si>
  <si>
    <t>Reserva importada do sistema Gover. Id: 4595597</t>
  </si>
  <si>
    <t>CF-8646ZIT0506</t>
  </si>
  <si>
    <t>David Jackson Vieira Borges</t>
  </si>
  <si>
    <t>Sheila Ramos dos Santos</t>
  </si>
  <si>
    <t>Reserva importada do sistema Gover. Id: 4595168</t>
  </si>
  <si>
    <t>WQMDXCC</t>
  </si>
  <si>
    <t>FERNANDES/PEDRO FOIS MR</t>
  </si>
  <si>
    <t>WQMDXC</t>
  </si>
  <si>
    <t>BHZ</t>
  </si>
  <si>
    <t>Innomotics Motores e Grandes Conversores Ltda</t>
  </si>
  <si>
    <t>GDZQCCT</t>
  </si>
  <si>
    <t>SOUZA/MARCELA TRIGO DE MRS</t>
  </si>
  <si>
    <t>CORA TORLAI CIRINO</t>
  </si>
  <si>
    <t>GDZQCC</t>
  </si>
  <si>
    <t>Baker Mckenzie - Rio de Janeiro</t>
  </si>
  <si>
    <t>AULKGDT</t>
  </si>
  <si>
    <t>CASAGRANDE/PAULO LEONARDO MR</t>
  </si>
  <si>
    <t>AULKGD</t>
  </si>
  <si>
    <t>Baker Mckenzie - Sao Paulo</t>
  </si>
  <si>
    <t>EJSKVAT</t>
  </si>
  <si>
    <t>BENITES/SANDRA</t>
  </si>
  <si>
    <t>Ana Clara Brime</t>
  </si>
  <si>
    <t>LDK4</t>
  </si>
  <si>
    <t>Grupo Casas Bahia S.a.</t>
  </si>
  <si>
    <t>NARMXJT</t>
  </si>
  <si>
    <t>SILVA/WELLINGTON</t>
  </si>
  <si>
    <t>LDGJ</t>
  </si>
  <si>
    <t>OGMVHUT</t>
  </si>
  <si>
    <t>RONDON/LIDIANE</t>
  </si>
  <si>
    <t>LDLK</t>
  </si>
  <si>
    <t>EUBJZLT</t>
  </si>
  <si>
    <t>LDGF</t>
  </si>
  <si>
    <t>NCRPMDT</t>
  </si>
  <si>
    <t>LDLJ</t>
  </si>
  <si>
    <t>WIVHNNT</t>
  </si>
  <si>
    <t>OLIVEIRA/HANNON</t>
  </si>
  <si>
    <t>LDMT</t>
  </si>
  <si>
    <t>WKZFXOT</t>
  </si>
  <si>
    <t>BRACCINI/FERNANDA</t>
  </si>
  <si>
    <t>LDP7</t>
  </si>
  <si>
    <t>WJZBWUT</t>
  </si>
  <si>
    <t>FERREIRA/FELIPE</t>
  </si>
  <si>
    <t>LDFL</t>
  </si>
  <si>
    <t>SUWQBKT</t>
  </si>
  <si>
    <t>SILVA/RAFAEL</t>
  </si>
  <si>
    <t>LDXD</t>
  </si>
  <si>
    <t>MGBBMET</t>
  </si>
  <si>
    <t>AJIKI/ALINE</t>
  </si>
  <si>
    <t>LDWJ</t>
  </si>
  <si>
    <t>DGUOHCT</t>
  </si>
  <si>
    <t>SEGATTO/FERNANDO</t>
  </si>
  <si>
    <t>LDY3</t>
  </si>
  <si>
    <t>DFZRIAT</t>
  </si>
  <si>
    <t>MORAIS/THIAGO</t>
  </si>
  <si>
    <t>LDXY</t>
  </si>
  <si>
    <t>MYCDZYT</t>
  </si>
  <si>
    <t>SILVA/GERLANDIA</t>
  </si>
  <si>
    <t>LDVV</t>
  </si>
  <si>
    <t>ASJFUET</t>
  </si>
  <si>
    <t>SANTOS/MILSON</t>
  </si>
  <si>
    <t>LDTP</t>
  </si>
  <si>
    <t>EHAAHRT</t>
  </si>
  <si>
    <t>LDTV</t>
  </si>
  <si>
    <t>EWHTCWT</t>
  </si>
  <si>
    <t>VERONESE/FABIANO</t>
  </si>
  <si>
    <t>LF3C</t>
  </si>
  <si>
    <t>ASXTVWT</t>
  </si>
  <si>
    <t>BARROS/NILSA</t>
  </si>
  <si>
    <t>LF37</t>
  </si>
  <si>
    <t>OBQZNFT</t>
  </si>
  <si>
    <t>BATISTA/LUCAS</t>
  </si>
  <si>
    <t>LF3T</t>
  </si>
  <si>
    <t>KSSTBDT</t>
  </si>
  <si>
    <t>SANTOS/WELITON</t>
  </si>
  <si>
    <t>LDNX</t>
  </si>
  <si>
    <t>HOOIKPT</t>
  </si>
  <si>
    <t>LDM3</t>
  </si>
  <si>
    <t>ACC05</t>
  </si>
  <si>
    <t>KSTIDQT</t>
  </si>
  <si>
    <t>LDNH</t>
  </si>
  <si>
    <t>DJCWSAT</t>
  </si>
  <si>
    <t>MADRUGA/ADENILSON</t>
  </si>
  <si>
    <t>LDKC</t>
  </si>
  <si>
    <t>SQBIFXT</t>
  </si>
  <si>
    <t>PEREIRA/JOSE</t>
  </si>
  <si>
    <t>LDQM</t>
  </si>
  <si>
    <t>SHBZUTT</t>
  </si>
  <si>
    <t>SHBZUT</t>
  </si>
  <si>
    <t>YOKNEWT</t>
  </si>
  <si>
    <t>LDKD</t>
  </si>
  <si>
    <t>YORRUKT</t>
  </si>
  <si>
    <t>CORREA/ANDRE</t>
  </si>
  <si>
    <t>LDGV</t>
  </si>
  <si>
    <t>AUHFQFT</t>
  </si>
  <si>
    <t>SANTOS/DAISY</t>
  </si>
  <si>
    <t>LDCY</t>
  </si>
  <si>
    <t>EHCZUWT</t>
  </si>
  <si>
    <t>SILVA/ROSEANE</t>
  </si>
  <si>
    <t>LDLX</t>
  </si>
  <si>
    <t>UFJFQTT</t>
  </si>
  <si>
    <t>SANTANA/EDSON</t>
  </si>
  <si>
    <t>UFJFQT</t>
  </si>
  <si>
    <t>KODHDOT</t>
  </si>
  <si>
    <t>AREIAS/RONALDO</t>
  </si>
  <si>
    <t>KODHDO</t>
  </si>
  <si>
    <t>DKPSKXT</t>
  </si>
  <si>
    <t>SILVA/WESLLEY</t>
  </si>
  <si>
    <t>LDKJ</t>
  </si>
  <si>
    <t>IDIQEBT</t>
  </si>
  <si>
    <t>LD7J</t>
  </si>
  <si>
    <t>IHGILAT</t>
  </si>
  <si>
    <t>LD44</t>
  </si>
  <si>
    <t>MVGDQUT</t>
  </si>
  <si>
    <t>LD9K</t>
  </si>
  <si>
    <t>YRAHQZT</t>
  </si>
  <si>
    <t>LD9G</t>
  </si>
  <si>
    <t>YPUFFGT</t>
  </si>
  <si>
    <t>SOUZA/JOSE</t>
  </si>
  <si>
    <t>LD9C</t>
  </si>
  <si>
    <t>YQLBRDT</t>
  </si>
  <si>
    <t>LD99</t>
  </si>
  <si>
    <t>HEMFIZT</t>
  </si>
  <si>
    <t>JESUS/NILMARA</t>
  </si>
  <si>
    <t>LD4M</t>
  </si>
  <si>
    <t>MVETLWT</t>
  </si>
  <si>
    <t>RODRIGUES/MATHEUS</t>
  </si>
  <si>
    <t>LDCM</t>
  </si>
  <si>
    <t>MDWWEKT</t>
  </si>
  <si>
    <t>MAURICIO/FELIPE</t>
  </si>
  <si>
    <t>WU</t>
  </si>
  <si>
    <t>MDWWEK</t>
  </si>
  <si>
    <t>ULFOJCT</t>
  </si>
  <si>
    <t>DA SILVA/ERIVANIA FERREIRA MS</t>
  </si>
  <si>
    <t>MAIL</t>
  </si>
  <si>
    <t>Atento Brasil S/a</t>
  </si>
  <si>
    <t>YQTQKCT</t>
  </si>
  <si>
    <t>DA COSTA/DENISE</t>
  </si>
  <si>
    <t>UKSTJXT</t>
  </si>
  <si>
    <t>ANDRADE/MACSON ALYSSON VIEIRA</t>
  </si>
  <si>
    <t>OKSSKDT</t>
  </si>
  <si>
    <t>OLIVEIRA/ANTONIO GEISON FERREIRA</t>
  </si>
  <si>
    <t>OKSSKD</t>
  </si>
  <si>
    <t>AEKKAUT</t>
  </si>
  <si>
    <t>VENTURA/RENATA DE OLIVEIRA</t>
  </si>
  <si>
    <t>AEKKAU</t>
  </si>
  <si>
    <t>AIEJFDT</t>
  </si>
  <si>
    <t>SANTOS/VANESSA ALVES DOS</t>
  </si>
  <si>
    <t>AIEJFD</t>
  </si>
  <si>
    <t>UFIQLDT</t>
  </si>
  <si>
    <t>OLIVEIRA/DIMITRIUS ROGERIO DE</t>
  </si>
  <si>
    <t>Thais Matte Andreis</t>
  </si>
  <si>
    <t>5KH19E</t>
  </si>
  <si>
    <t>REGINA CORRES BARRAGAN</t>
  </si>
  <si>
    <t>Pepsico do Brasil Industria e Comercio de Alimentos Ltda.</t>
  </si>
  <si>
    <t>Reserva importada do Sistema TMS. OS: 2389</t>
  </si>
  <si>
    <t>5K11TH</t>
  </si>
  <si>
    <t>NATALIA CATANI</t>
  </si>
  <si>
    <t>Reserva importada do Sistema TMS. OS: 2438</t>
  </si>
  <si>
    <t>5KSQNY</t>
  </si>
  <si>
    <t>JOHNATA SANTOS</t>
  </si>
  <si>
    <t>Colegio e Pre-vestibular Bernoulli - Un. Raja</t>
  </si>
  <si>
    <t>Reserva importada do Sistema TMS. OS: 4173</t>
  </si>
  <si>
    <t>5KEQO6</t>
  </si>
  <si>
    <t>WALLACE LAGE</t>
  </si>
  <si>
    <t>Reserva importada do Sistema TMS. OS: 4172</t>
  </si>
  <si>
    <t>5K4Z96</t>
  </si>
  <si>
    <t>VITOR PEREIRA</t>
  </si>
  <si>
    <t>Reserva importada do Sistema TMS. OS: 4171</t>
  </si>
  <si>
    <t>5KRW9Y</t>
  </si>
  <si>
    <t>CARMEN BELEM</t>
  </si>
  <si>
    <t>Porto Seguro / BPS</t>
  </si>
  <si>
    <t>Reserva importada do Sistema TMS. OS: 4133</t>
  </si>
  <si>
    <t>5KDXLY</t>
  </si>
  <si>
    <t>Thais Peixoto de Melo</t>
  </si>
  <si>
    <t>Reserva importada do Sistema TMS. OS: 4134</t>
  </si>
  <si>
    <t>5J50LP</t>
  </si>
  <si>
    <t>SORAYA OLIVEIRA</t>
  </si>
  <si>
    <t>Renata Claudia de Oliveira</t>
  </si>
  <si>
    <t>Bernoulli Sistema de Ensino - Belo Horizonte</t>
  </si>
  <si>
    <t>Reserva importada do Sistema TMS. OS: 3601</t>
  </si>
  <si>
    <t>5JJGWW</t>
  </si>
  <si>
    <t>ANTONIO ANDRADE</t>
  </si>
  <si>
    <t>Reserva importada do Sistema TMS. OS: 3756</t>
  </si>
  <si>
    <t>5ITJ5W</t>
  </si>
  <si>
    <t>TOMAZ TAVARES</t>
  </si>
  <si>
    <t>Reserva importada do Sistema TMS. OS: 3439</t>
  </si>
  <si>
    <t>5K7XNH</t>
  </si>
  <si>
    <t>CLAUDIA VICENTINE</t>
  </si>
  <si>
    <t>Curitiba / CWB</t>
  </si>
  <si>
    <t>Reserva importada do Sistema TMS. OS: 4119</t>
  </si>
  <si>
    <t>5K7QNH</t>
  </si>
  <si>
    <t>RAFAEL OLIVEIRA</t>
  </si>
  <si>
    <t>Salvador / SSA</t>
  </si>
  <si>
    <t>Reserva importada do Sistema TMS. OS: 4158</t>
  </si>
  <si>
    <t>5KOANH</t>
  </si>
  <si>
    <t>ANA FLAVIA BISCAIA</t>
  </si>
  <si>
    <t>Reserva importada do Sistema TMS. OS: 4153</t>
  </si>
  <si>
    <t>5KMSLH</t>
  </si>
  <si>
    <t>CAMILA SANTOS</t>
  </si>
  <si>
    <t>São José dos Campos / SJK</t>
  </si>
  <si>
    <t>Reserva importada do Sistema TMS. OS: 4140</t>
  </si>
  <si>
    <t>5KASL6</t>
  </si>
  <si>
    <t>Reserva importada do Sistema TMS. OS: 4138</t>
  </si>
  <si>
    <t>5KXJVX</t>
  </si>
  <si>
    <t>HELOISA BALDO</t>
  </si>
  <si>
    <t>Reserva importada do Sistema TMS. OS: 4006</t>
  </si>
  <si>
    <t>5JAO44</t>
  </si>
  <si>
    <t>FLAVIA DIAS</t>
  </si>
  <si>
    <t>Reserva importada do Sistema TMS. OS: 3819</t>
  </si>
  <si>
    <t>5JXLFF</t>
  </si>
  <si>
    <t>Reserva importada do Sistema TMS. OS: 3818</t>
  </si>
  <si>
    <t>5K9GM3</t>
  </si>
  <si>
    <t>LUCAS CENCI ARAGAO</t>
  </si>
  <si>
    <t>Sorocabana</t>
  </si>
  <si>
    <t>Reserva importada do Sistema TMS. OS: 42198</t>
  </si>
  <si>
    <t>5KAFAJ</t>
  </si>
  <si>
    <t>SAMUEL ROSSINI MARCONDES</t>
  </si>
  <si>
    <t>Motiva Filial</t>
  </si>
  <si>
    <t>Reserva importada do Sistema TMS. OS: 42215</t>
  </si>
  <si>
    <t>5KIBQ7</t>
  </si>
  <si>
    <t>DANIEL MICELLI</t>
  </si>
  <si>
    <t>Sao Carlos / QSC</t>
  </si>
  <si>
    <t>Reserva importada do Sistema TMS. OS: 42433</t>
  </si>
  <si>
    <t>5KEQZJ</t>
  </si>
  <si>
    <t>FRANCINE LUZ DOS SANTOS</t>
  </si>
  <si>
    <t>Londrina / LDB</t>
  </si>
  <si>
    <t>Reserva importada do Sistema TMS. OS: 42424</t>
  </si>
  <si>
    <t>5KJJGU</t>
  </si>
  <si>
    <t>LUCAS LEANDRO LIMA</t>
  </si>
  <si>
    <t>Reserva importada do Sistema TMS. OS: 42443</t>
  </si>
  <si>
    <t>5JMH89</t>
  </si>
  <si>
    <t>GUILHERME CLARO FRARE</t>
  </si>
  <si>
    <t>Reserva importada do Sistema TMS. OS: 41957</t>
  </si>
  <si>
    <t>5JGHIO</t>
  </si>
  <si>
    <t>THIAGO ARAUJO DA SILVA</t>
  </si>
  <si>
    <t>Reserva importada do Sistema TMS. OS: 41947</t>
  </si>
  <si>
    <t>5JT78L</t>
  </si>
  <si>
    <t>ALEXANDRE APOSTOLOPOULOS</t>
  </si>
  <si>
    <t>Reserva importada do Sistema TMS. OS: 41920</t>
  </si>
  <si>
    <t>5KU1AU</t>
  </si>
  <si>
    <t>SERGIO JOSE FERREIRA</t>
  </si>
  <si>
    <t>Valeria Bottino da Silva</t>
  </si>
  <si>
    <t>Reserva importada do Sistema TMS. OS: 42406</t>
  </si>
  <si>
    <t>5K8QAJ</t>
  </si>
  <si>
    <t>RODRIGO CESAR PAVRET</t>
  </si>
  <si>
    <t>Reserva importada do Sistema TMS. OS: 42405</t>
  </si>
  <si>
    <t>AIZPOZT</t>
  </si>
  <si>
    <t>AIZPOZ</t>
  </si>
  <si>
    <t>5JXTIT</t>
  </si>
  <si>
    <t>SERGIO OLIVEIRA</t>
  </si>
  <si>
    <t>Catia Leite Oliveira</t>
  </si>
  <si>
    <t>Santa Catarina / SC, Brasil (C23)</t>
  </si>
  <si>
    <t>Viacosteira</t>
  </si>
  <si>
    <t>Reserva importada do Sistema TMS. OS: 41733</t>
  </si>
  <si>
    <t>5K5QZ7</t>
  </si>
  <si>
    <t>SERGIO GUSTAVO MASSARO</t>
  </si>
  <si>
    <t>Jeane Alencar Pereira</t>
  </si>
  <si>
    <t>Sao Jose / SC, Brasil (FLN)</t>
  </si>
  <si>
    <t>Reserva importada do Sistema TMS. OS: 42410</t>
  </si>
  <si>
    <t>5I3Z55</t>
  </si>
  <si>
    <t>ADEMIR APARECIDO DE CAMPOS JUNIOR</t>
  </si>
  <si>
    <t>Flavio Roberto Ferreira</t>
  </si>
  <si>
    <t>Riosp</t>
  </si>
  <si>
    <t>Reserva importada do Sistema TMS. OS: 40908</t>
  </si>
  <si>
    <t>QVSGAH</t>
  </si>
  <si>
    <t>Sueli Santos Silva</t>
  </si>
  <si>
    <t xml:space="preserve">CPQC05 Endereço: </t>
  </si>
  <si>
    <t>Bosch Concierge</t>
  </si>
  <si>
    <t>Reserva importada do sistema Gover. Id: 4591469</t>
  </si>
  <si>
    <t>KQCQLR</t>
  </si>
  <si>
    <t>SIMONE GUERRERO DAVID</t>
  </si>
  <si>
    <t>Juliana dos Santos Pinto</t>
  </si>
  <si>
    <t>Cartão AMEX</t>
  </si>
  <si>
    <t>Isdin Sp</t>
  </si>
  <si>
    <t>Gol Linhas Aereas</t>
  </si>
  <si>
    <t>Reserva importada do sistema Gover. Id: 4594695</t>
  </si>
  <si>
    <t>Tarifa mínima não preenchida! (ACC01) Tarifa máxima não preenchida! (ACC01)</t>
  </si>
  <si>
    <t>LBNZQN</t>
  </si>
  <si>
    <t>ALANA DE SOUZA DE OLIVEIRA</t>
  </si>
  <si>
    <t>CNRVXB</t>
  </si>
  <si>
    <t>Roberta Lamim Sardá</t>
  </si>
  <si>
    <t>Reserva importada do sistema Gover. Id: 4589663</t>
  </si>
  <si>
    <t>Autorização do cartão da forma de pagamento não preenchida! (ACC01) Autorização do cartão da forma de recebimento não preenchida! (ACC01)</t>
  </si>
  <si>
    <t>JZSMRX0</t>
  </si>
  <si>
    <t>LUIZ ASSIS</t>
  </si>
  <si>
    <t>Hpe Automotores - Sao Paulo</t>
  </si>
  <si>
    <t>Reserva importada do Sistema TMS. OS: 5560</t>
  </si>
  <si>
    <t>Tarifa mínima não preenchida! (ACC01)</t>
  </si>
  <si>
    <t>NWZUWL</t>
  </si>
  <si>
    <t>Alexandre da Silva Melo</t>
  </si>
  <si>
    <t>Atlas Copco Brasil Ltda</t>
  </si>
  <si>
    <t>Reserva importada do sistema Gover. Id: 4595879</t>
  </si>
  <si>
    <t>Pnr já existente. A duplicidade de rloc é permitida apenas 6 meses após o último pnr emitido</t>
  </si>
  <si>
    <t>Campo RLOC</t>
  </si>
  <si>
    <t>UMMBCB</t>
  </si>
  <si>
    <t>JOAQUIM/RINALDO GERONIMO</t>
  </si>
  <si>
    <t>GWNLBK</t>
  </si>
  <si>
    <t>Sibelco - Jaguaruna - Filial</t>
  </si>
  <si>
    <t>MUABUV</t>
  </si>
  <si>
    <t>IGCRHT</t>
  </si>
  <si>
    <t>UKHIKR</t>
  </si>
  <si>
    <t>IHOHZI</t>
  </si>
  <si>
    <t>EMETUC</t>
  </si>
  <si>
    <t>FIOROTTI/MARCOS DANIEL</t>
  </si>
  <si>
    <t>F272VWBJ4</t>
  </si>
  <si>
    <t>KNEPGP010</t>
  </si>
  <si>
    <t>MAYRA SANTOS</t>
  </si>
  <si>
    <t>Tuane Cristina Alves de Oliveira</t>
  </si>
  <si>
    <t>Reserva importada do Sistema TMS. OS: 231448</t>
  </si>
  <si>
    <t>Verificação de bilhetes: Bilhete 2144726639 já sendo utilizado para este fornecedor.</t>
  </si>
  <si>
    <t>Bilhete Já Contabilizado</t>
  </si>
  <si>
    <t>HGREKE</t>
  </si>
  <si>
    <t>EBOOKING</t>
  </si>
  <si>
    <t>Joaquim Araujo/Antonio</t>
  </si>
  <si>
    <t>Kontrip</t>
  </si>
  <si>
    <t>Cda</t>
  </si>
  <si>
    <t>obs</t>
  </si>
  <si>
    <t>Não foi possível encontrar configuração válida para Administradora de código 1 e Data Emissão 11/09/2025</t>
  </si>
  <si>
    <t>Análise Benner</t>
  </si>
  <si>
    <t>KONTRIP VIAGENS</t>
  </si>
  <si>
    <t>CONUCR</t>
  </si>
  <si>
    <t>SADER/MARCELO</t>
  </si>
  <si>
    <t>KRJOTN</t>
  </si>
  <si>
    <t>Ribeiro/Aldo</t>
  </si>
  <si>
    <t>Pessoa e Pessoa Advogados Associados</t>
  </si>
  <si>
    <t>Centro de custo não preenchido! (ACC01)</t>
  </si>
  <si>
    <t>COMIVJ</t>
  </si>
  <si>
    <t>BLENDO FERREIRA SILVA/WILLIAN</t>
  </si>
  <si>
    <t>Rcs Tecnologia S/a</t>
  </si>
  <si>
    <t>JHVCDE</t>
  </si>
  <si>
    <t>ARAGAO MACEDO/ROGER</t>
  </si>
  <si>
    <t>Grant Thornton Auditores Independentes</t>
  </si>
  <si>
    <t>DKPNID</t>
  </si>
  <si>
    <t>Schwind/Luís</t>
  </si>
  <si>
    <t>Basso e Pancotte Ltda</t>
  </si>
  <si>
    <t>Verificação de bilhetes: Bilhete 660876 já sendo utilizado para este fornecedor.</t>
  </si>
  <si>
    <t>Bonvini/Bianca</t>
  </si>
  <si>
    <t>Harami/Priscila</t>
  </si>
  <si>
    <t>Schwind/Amanda</t>
  </si>
  <si>
    <t>HISMVW</t>
  </si>
  <si>
    <t xml:space="preserve">Bruna Beatriz Sousa Silva </t>
  </si>
  <si>
    <t>Grupo Light</t>
  </si>
  <si>
    <t>Light Servicos de Eletricidade S/a</t>
  </si>
  <si>
    <t>KON-OPE-RIO-PVI-BTC-LIGHT</t>
  </si>
  <si>
    <t>Reserva importada do sistema Gover. Id: 4596384</t>
  </si>
  <si>
    <t>KPEYVO1</t>
  </si>
  <si>
    <t>ALECSANDRO OLIVEIRA</t>
  </si>
  <si>
    <t>Herbert Amancio de Santana</t>
  </si>
  <si>
    <t>Claro Sao Paulo (santo Amaro)</t>
  </si>
  <si>
    <t>Reserva importada do Sistema TMS. OS: 84936</t>
  </si>
  <si>
    <t>DZWIPC</t>
  </si>
  <si>
    <t>SAVOIA/HENRIQUE JOSE</t>
  </si>
  <si>
    <t>Glory</t>
  </si>
  <si>
    <t>Matrícula não preenchida! (ACC01) Informação referencial 2 não preenchida! (ACC01) Projeto não preenchido! (ACC01)</t>
  </si>
  <si>
    <t>FGGGH</t>
  </si>
  <si>
    <t>LUCAS SANTOS KCS</t>
  </si>
  <si>
    <t>Benner Sistemas - Blumenau</t>
  </si>
  <si>
    <t>Reserva importada do Sistema TMS. OS: 44</t>
  </si>
  <si>
    <t>Empenho/departamento não preenchido! (ACC01) Canal de venda não preenchido! (ACC01)</t>
  </si>
  <si>
    <t>HEDIKT1</t>
  </si>
  <si>
    <t>JESSICA VELOSO</t>
  </si>
  <si>
    <t>Reserva importada do Sistema TMS. OS: 11424</t>
  </si>
  <si>
    <t>CSLWHF</t>
  </si>
  <si>
    <t>CAMPOS/TIAGO</t>
  </si>
  <si>
    <t>Robert Bosch Limitada - 9087</t>
  </si>
  <si>
    <t>UGNLQU</t>
  </si>
  <si>
    <t>CELETE/VIVIANE VEDOVATTO</t>
  </si>
  <si>
    <t>URBTTY</t>
  </si>
  <si>
    <t>PAVARINA/ADRIANA</t>
  </si>
  <si>
    <t>AVWIPE</t>
  </si>
  <si>
    <t>ANDRE/MARIANA</t>
  </si>
  <si>
    <t>GJHPYH</t>
  </si>
  <si>
    <t>AVILA/BRUNO CLEMENTE GONCALVES DE</t>
  </si>
  <si>
    <t>Jvl - Planta Joinville</t>
  </si>
  <si>
    <t>Tarifa máxima não preenchida! (ACC01)</t>
  </si>
  <si>
    <t>CCIMEA</t>
  </si>
  <si>
    <t>Venceslau dos Santos/Alisson</t>
  </si>
  <si>
    <t>Agencia Mercurio York Viagens e Turismo Ltda</t>
  </si>
  <si>
    <t>CVENDX</t>
  </si>
  <si>
    <t>Vilela/Lidiany</t>
  </si>
  <si>
    <t>HRLZLB</t>
  </si>
  <si>
    <t>ANGE ARAUJO/ENY</t>
  </si>
  <si>
    <t>Centro de custo não preenchido! (ACC02)</t>
  </si>
  <si>
    <t>OLIVEIRA/PRISCILA</t>
  </si>
  <si>
    <t>5KF58X</t>
  </si>
  <si>
    <t>SOUZA/BERNARDO</t>
  </si>
  <si>
    <t>Ananda Maia Fernandes</t>
  </si>
  <si>
    <t>Ipiranga Produtos de Petroleo S.a.</t>
  </si>
  <si>
    <t>Reserva importada do Sistema TMS. OS: 126244</t>
  </si>
  <si>
    <t>Necessário cadastrar um contrato para o cliente ""</t>
  </si>
  <si>
    <t>Análise Cadastro</t>
  </si>
  <si>
    <t>GDBYTR</t>
  </si>
  <si>
    <t>SOUZA/MARCIO HENRIQUE DE</t>
  </si>
  <si>
    <t>Dcbr - Rexroth</t>
  </si>
  <si>
    <t xml:space="preserve">Autorização do cartão da forma de pagamento não preenchida! (ACC01) Autorização do cartão da forma de recebimento não preenchida! (ACC01) Tarifa </t>
  </si>
  <si>
    <t>MIDOZN</t>
  </si>
  <si>
    <t>NEVES/VICTOR BOROTO</t>
  </si>
  <si>
    <t>Clayton Alves de Rezende</t>
  </si>
  <si>
    <t>Avianca Internacional</t>
  </si>
  <si>
    <t>Falta informar o status no trecho da accounting aérea (Bilhete: 2953011480)</t>
  </si>
  <si>
    <t>Atualização de Trechos</t>
  </si>
  <si>
    <t>?</t>
  </si>
  <si>
    <t>TKT</t>
  </si>
  <si>
    <t>ELYXYT</t>
  </si>
  <si>
    <t>NATIS JORDAO/DANIELLE</t>
  </si>
  <si>
    <t>FPGIOB</t>
  </si>
  <si>
    <t>BRUNO SCHMIDT</t>
  </si>
  <si>
    <t>Alexandre Isidio da Silva</t>
  </si>
  <si>
    <t>Latam Airlines Brasil</t>
  </si>
  <si>
    <t>Reserva importada do Sistema TMS. OS: 25987</t>
  </si>
  <si>
    <t>Verificação de bilhetes: Bilhete 2953012862 já sendo utilizado para este fornecedor.</t>
  </si>
  <si>
    <t>DTPWUG</t>
  </si>
  <si>
    <t>LIE/JI YOUNG</t>
  </si>
  <si>
    <t>Itamar de Souza</t>
  </si>
  <si>
    <t>Adriana Vieira de Freitas dos Santos</t>
  </si>
  <si>
    <t>Shell</t>
  </si>
  <si>
    <t>Falta informar o status no trecho da accounting aérea (Bilhete: 2971581545)</t>
  </si>
  <si>
    <t>LEE/JI YOUNG</t>
  </si>
  <si>
    <t>STUYFH</t>
  </si>
  <si>
    <t>TARDIVO/CRISTIANE MEIRA</t>
  </si>
  <si>
    <t xml:space="preserve"> Módulo Operações    -&gt; Configurações      -&gt; Configurações do sistema turismo        -&gt; Importação das vendas          -&gt; Entradas/Saídas  Para o </t>
  </si>
  <si>
    <t>HMFXST</t>
  </si>
  <si>
    <t>PALASTHY/THIAGO CASARIN</t>
  </si>
  <si>
    <t>ALUPEK</t>
  </si>
  <si>
    <t>SANTOS/JONATAS SOUZA DOS</t>
  </si>
  <si>
    <t>UFOGLE</t>
  </si>
  <si>
    <t>DE MELO BATISTA/ANASTACIA MEL</t>
  </si>
  <si>
    <t>HALUOJ</t>
  </si>
  <si>
    <t>Simone MARQUES</t>
  </si>
  <si>
    <t>Reserva importada do sistema Gover. Id: 4595260</t>
  </si>
  <si>
    <t>HXBFUU</t>
  </si>
  <si>
    <t>KUMMER DA ROCHA SANTIAGO/SAND</t>
  </si>
  <si>
    <t>Verificação de bilhetes: Bilhete 2952963668 já sendo utilizado para este fornecedor.</t>
  </si>
  <si>
    <t>ATRUGD</t>
  </si>
  <si>
    <t>GEISENDORF/CARLO</t>
  </si>
  <si>
    <t>GMXYRO</t>
  </si>
  <si>
    <t>DINIZ FALEIROS/GABRIEL</t>
  </si>
  <si>
    <t>Marcia Pereira dos Santos Soares</t>
  </si>
  <si>
    <t>SP2808251147</t>
  </si>
  <si>
    <t>Falta informar o status no trecho da accounting aérea (Bilhete: 2953012850)</t>
  </si>
  <si>
    <t>MWXZOI</t>
  </si>
  <si>
    <t>CAIRES/KELTON COLOMBO</t>
  </si>
  <si>
    <t>SINXYN</t>
  </si>
  <si>
    <t>MORETTI/CLAUDIO MANGONI</t>
  </si>
  <si>
    <t>CY</t>
  </si>
  <si>
    <t>Baker Mckenzie - Porto Alegre</t>
  </si>
  <si>
    <t>NSGCUF</t>
  </si>
  <si>
    <t>DNJXXF</t>
  </si>
  <si>
    <t>Daniel Dissat das Neves Lazuroz</t>
  </si>
  <si>
    <t>Reserva importada do sistema Gover. Id: 4595965</t>
  </si>
  <si>
    <t>IKNAOB</t>
  </si>
  <si>
    <t>Ana Lúcia Ferreira Coutinho</t>
  </si>
  <si>
    <t>KNIZAY</t>
  </si>
  <si>
    <t>KOZLPM</t>
  </si>
  <si>
    <t>EFSUJO</t>
  </si>
  <si>
    <t>CASAGRANDE/PAULO LEONARDO</t>
  </si>
  <si>
    <t>FNRQBI</t>
  </si>
  <si>
    <t>GARIBIAN/SERGIO ADRIAN</t>
  </si>
  <si>
    <t>Flavia Constanzi do Nascimento</t>
  </si>
  <si>
    <t>Humberto da Fontoura</t>
  </si>
  <si>
    <t>Standard And Poors Ratings do Brasil Ltda</t>
  </si>
  <si>
    <t xml:space="preserve">Centro de custo não preenchido! (ACC01) Email do passageiro não preenchido! (ACC01) Departamento não preenchido! (ACC01) Finalidade não </t>
  </si>
  <si>
    <t>JCFRXL</t>
  </si>
  <si>
    <t>GAUTHIER/FREDERIC</t>
  </si>
  <si>
    <t>Poliana Cardoso da Silva</t>
  </si>
  <si>
    <t>NAPJBX</t>
  </si>
  <si>
    <t>FLAVIA GODOY E SILVA</t>
  </si>
  <si>
    <t>Roberta Iaquiri da Silva</t>
  </si>
  <si>
    <t>Motiva Matriz</t>
  </si>
  <si>
    <t>Reserva importada do Sistema TMS. OS: 42142</t>
  </si>
  <si>
    <t>Verificação de bilhetes: Bilhete 2952971256 já sendo utilizado para este fornecedor.</t>
  </si>
  <si>
    <t>NADYZY</t>
  </si>
  <si>
    <t>WALDO PEREZ LESKOVAR</t>
  </si>
  <si>
    <t>Reserva importada do Sistema TMS. OS: 42141</t>
  </si>
  <si>
    <t>Verificação de bilhetes: Bilhete 2952971255 já sendo utilizado para este fornecedor.</t>
  </si>
  <si>
    <t>AWUYJC1</t>
  </si>
  <si>
    <t>RICARDO MALDONADO SEBASTIANI</t>
  </si>
  <si>
    <t>Pepsi Cola Industrial da Amazonia Ltda</t>
  </si>
  <si>
    <t>Reserva importada do Sistema TMS. OS: 2494</t>
  </si>
  <si>
    <t>Verificação de bilhetes: Bilhete 2952946618 já sendo utilizado para este fornecedor.</t>
  </si>
  <si>
    <t>ACC</t>
  </si>
  <si>
    <t>5KH5J4</t>
  </si>
  <si>
    <t>ZARATE/NAHUEL</t>
  </si>
  <si>
    <t>William da Cruz Canteiro</t>
  </si>
  <si>
    <t>3NM4</t>
  </si>
  <si>
    <t>Accouting aérea não possui trechos (Bilhete: 2971323181)</t>
  </si>
  <si>
    <t>LA9575496KNXE</t>
  </si>
  <si>
    <t>Rios/Aline</t>
  </si>
  <si>
    <t>Luz Santos/Uendeo</t>
  </si>
  <si>
    <t>DTNCRS</t>
  </si>
  <si>
    <t>Leonora Coimbra Nunes Rodrigues</t>
  </si>
  <si>
    <t>Reserva importada do sistema Gover. Id: 4595976</t>
  </si>
  <si>
    <t>GRNKGF</t>
  </si>
  <si>
    <t>JULIANA ALVES DA NOBREGA</t>
  </si>
  <si>
    <t>Reserva importada do sistema Gover. Id: 4595412</t>
  </si>
  <si>
    <t>YULEJY</t>
  </si>
  <si>
    <t>Pedro yagelovic bravin arantes</t>
  </si>
  <si>
    <t>Light S/a- Holding</t>
  </si>
  <si>
    <t>Reserva importada do sistema Gover. Id: 4595716</t>
  </si>
  <si>
    <t>DICVGG</t>
  </si>
  <si>
    <t>GRUSKE/TIAGO VINICIUS</t>
  </si>
  <si>
    <t>Verificação de bilhetes: Bilhete 2952966443 já sendo utilizado para este fornecedor.</t>
  </si>
  <si>
    <t>LA9571454MECM</t>
  </si>
  <si>
    <t>Ribeiro Marques Moura/Adriana</t>
  </si>
  <si>
    <t>UBVDEP</t>
  </si>
  <si>
    <t>RODRIGUES MAUES ALVES/DEBORA</t>
  </si>
  <si>
    <t>Mobiauto Edicao de Anuncios On Line Ltda</t>
  </si>
  <si>
    <t>LA9574225TCIL</t>
  </si>
  <si>
    <t>Vasconcelos/Maíra</t>
  </si>
  <si>
    <t>Mega Logistica Transporte Por Navegacao S/a</t>
  </si>
  <si>
    <t>Não foi possível encontrar configuração válida para Administradora de código 1 e Data Emissão 10/09/2025</t>
  </si>
  <si>
    <t>Carvalho/Eduardo</t>
  </si>
  <si>
    <t>OMUVWA</t>
  </si>
  <si>
    <t>CARVALHO/MAURO</t>
  </si>
  <si>
    <t>WT</t>
  </si>
  <si>
    <t>IIJVXQ</t>
  </si>
  <si>
    <t>BRAS/FLAVIA</t>
  </si>
  <si>
    <t>ATFLHC</t>
  </si>
  <si>
    <t>DA SILVA SR/ALEXANDRE DE FARI</t>
  </si>
  <si>
    <t>5KU676</t>
  </si>
  <si>
    <t>GONCALVES/ANA PAULA</t>
  </si>
  <si>
    <t>HO1009251753</t>
  </si>
  <si>
    <t>Cartão convênio</t>
  </si>
  <si>
    <t>Accouting aérea não possui trechos (Bilhete: 2953010992)</t>
  </si>
  <si>
    <t>S20I76</t>
  </si>
  <si>
    <t>PRODOCIMO/RENAN MAGIRI</t>
  </si>
  <si>
    <t>9153843/6091849" possui uma transação de cartão efetivada</t>
  </si>
  <si>
    <t>Financeiro Conciliado</t>
  </si>
  <si>
    <t>P8FM76</t>
  </si>
  <si>
    <t>OLIVEIRA/GABRIELA MOREIRA DE</t>
  </si>
  <si>
    <t>Nathalia dos Santos Batista</t>
  </si>
  <si>
    <t>SBD080925</t>
  </si>
  <si>
    <t>Accouting aérea não possui trechos (Bilhete: 2952994610)</t>
  </si>
  <si>
    <t>GVBECV</t>
  </si>
  <si>
    <t>TEIXEIRA/ERIC NERY</t>
  </si>
  <si>
    <t>Refal Industria e Comercio de Rebites e Rebitadeiras Ltda</t>
  </si>
  <si>
    <t>LA9573321XRQH</t>
  </si>
  <si>
    <t>SILVA/DANIEL</t>
  </si>
  <si>
    <t>Grupo Softbox</t>
  </si>
  <si>
    <t>Luizalabs</t>
  </si>
  <si>
    <t>WKIYKY</t>
  </si>
  <si>
    <t>MARCELO GUERRIERI</t>
  </si>
  <si>
    <t>Emilia Alejandra Pacheco Maraboli</t>
  </si>
  <si>
    <t>Syntegon Tecnologia de Embalagem Limitada</t>
  </si>
  <si>
    <t>FCM-OPE-SAO-PVI-BTC-SYNTEGON</t>
  </si>
  <si>
    <t>Reserva importada do sistema Gover. Id: 4594986</t>
  </si>
  <si>
    <t>Verificação de bilhetes: Bilhete 2953005171 já sendo utilizado para este fornecedor.</t>
  </si>
  <si>
    <t>HSYOYL</t>
  </si>
  <si>
    <t>EVAIR SOARES DOS SANTOS</t>
  </si>
  <si>
    <t>Reserva importada do sistema Gover. Id: 4595664</t>
  </si>
  <si>
    <t>Verificação de bilhetes: Bilhete 2953004182 já sendo utilizado para este fornecedor.</t>
  </si>
  <si>
    <t>OEJNXT</t>
  </si>
  <si>
    <t>MARTINS/GUILHERME</t>
  </si>
  <si>
    <t>Beatrys Ferreira Rocha</t>
  </si>
  <si>
    <t>DI0909251515</t>
  </si>
  <si>
    <t>FJRBIB1</t>
  </si>
  <si>
    <t>DANIEL CIFU</t>
  </si>
  <si>
    <t>Viviane Novaes Araujo</t>
  </si>
  <si>
    <t>Kpmg Structured</t>
  </si>
  <si>
    <t>Reserva importada do Sistema TMS. OS: 232427</t>
  </si>
  <si>
    <t>Verificação de bilhetes: Bilhete 2952865232 já sendo utilizado para este fornecedor.</t>
  </si>
  <si>
    <t>HMTUQO</t>
  </si>
  <si>
    <t>SUELI DE SOUZA/RICHELI</t>
  </si>
  <si>
    <t>Verificação de bilhetes: Bilhete 2953012883 já sendo utilizado para este fornecedor.</t>
  </si>
  <si>
    <t>GLIFHV</t>
  </si>
  <si>
    <t>BARBOSA/FERNANDO</t>
  </si>
  <si>
    <t>BA0309251455</t>
  </si>
  <si>
    <t>Falta informar o status no trecho da accounting aérea (Bilhete: 2953012929)</t>
  </si>
  <si>
    <t>IRUWPV</t>
  </si>
  <si>
    <t>MOGNOL/GRACIELA</t>
  </si>
  <si>
    <t>BA1109251514</t>
  </si>
  <si>
    <t>GFPLUQ</t>
  </si>
  <si>
    <t>COSTA/MARCOS ROGERIO</t>
  </si>
  <si>
    <t>Eliane da Silva Souza Paula</t>
  </si>
  <si>
    <t>Sibelco - Pedra do Indaia - Matriz</t>
  </si>
  <si>
    <t>Centro de custo não preenchido! (ACC01) Matrícula não preenchida! (ACC01) Departamento não preenchido! (ACC01) Projeto não preenchido! (ACC01)</t>
  </si>
  <si>
    <t>ARVXPT</t>
  </si>
  <si>
    <t>DE OLIVEIRA FERNANDES/ANA REN</t>
  </si>
  <si>
    <t>CH1109251840</t>
  </si>
  <si>
    <t>JRFJUY</t>
  </si>
  <si>
    <t>MENDES/EMILIANO</t>
  </si>
  <si>
    <t>BA2908251310</t>
  </si>
  <si>
    <t>Verificação de bilhetes: Bilhete 2952915048 já sendo utilizado para este fornecedor.</t>
  </si>
  <si>
    <t>HDXEFY</t>
  </si>
  <si>
    <t>DE OLIVEIRA/ANDRE</t>
  </si>
  <si>
    <t>Fabiola Lima de Oliveira</t>
  </si>
  <si>
    <t>BA0409251602</t>
  </si>
  <si>
    <t>Falta informar o status no trecho da accounting aérea (Bilhete: 2953012905)</t>
  </si>
  <si>
    <t>UGQDKO</t>
  </si>
  <si>
    <t>BELANI/RAFAEL BRUGNERA</t>
  </si>
  <si>
    <t>Falta informar o status no trecho da accounting aérea (Bilhete: 2872625750)</t>
  </si>
  <si>
    <t>OVLMUX</t>
  </si>
  <si>
    <t>LOPES/LUIZ HENRIQUE DE CARVAL</t>
  </si>
  <si>
    <t>BA1109251314</t>
  </si>
  <si>
    <t>CXPBEM</t>
  </si>
  <si>
    <t>LOIODE OLIVEIRA/HUGO</t>
  </si>
  <si>
    <t>BA2808251511</t>
  </si>
  <si>
    <t>Falta informar o status no trecho da accounting aérea (Bilhete: 2953005192)</t>
  </si>
  <si>
    <t>MKVOGX</t>
  </si>
  <si>
    <t>ULBRICH/ADOLFO</t>
  </si>
  <si>
    <t>Verificação de bilhetes: Bilhete 2952914997 já sendo utilizado para este fornecedor.</t>
  </si>
  <si>
    <t>WVQTTR</t>
  </si>
  <si>
    <t>PEREIRA DA SILVA/FERNANDO WEL</t>
  </si>
  <si>
    <t>183985402-61629</t>
  </si>
  <si>
    <t>USYKJO</t>
  </si>
  <si>
    <t>BRUSSOLO BIDOIA/DEBORA</t>
  </si>
  <si>
    <t>Verificação de bilhetes: Bilhete 2952865555 já sendo utilizado para este fornecedor.</t>
  </si>
  <si>
    <t>JCPYAT</t>
  </si>
  <si>
    <t>DE CARVALHO JUNIOR/ELIAS MIGU</t>
  </si>
  <si>
    <t>Falta informar o status no trecho da accounting aérea (Bilhete: 2953005187)</t>
  </si>
  <si>
    <t>CRAYLN</t>
  </si>
  <si>
    <t>PEIL CEOLIN/MARIANA</t>
  </si>
  <si>
    <t>Verificação de bilhetes: Bilhete 2952949871 já sendo utilizado para este fornecedor.</t>
  </si>
  <si>
    <t>CIUFNN</t>
  </si>
  <si>
    <t>DA SILVA/ALAN TEIXEIRA</t>
  </si>
  <si>
    <t>Wellington Ribeiro da Silva</t>
  </si>
  <si>
    <t>Falta informar o status no trecho da accounting aérea (Bilhete: 2971622816)</t>
  </si>
  <si>
    <t>ELCMCJ</t>
  </si>
  <si>
    <t>FRANCISCO DOS SANTOS/RODRIGO</t>
  </si>
  <si>
    <t>Verificação de bilhetes: Bilhete 2952994647 já sendo utilizado para este fornecedor.</t>
  </si>
  <si>
    <t>TEBERGA/RENATO BEDAQUE</t>
  </si>
  <si>
    <t>Falta informar o status no trecho da accounting aérea (Bilhete: 9781620000)</t>
  </si>
  <si>
    <t>MXMJPR</t>
  </si>
  <si>
    <t>KOERICH/PRISCILLA KARINA VITO</t>
  </si>
  <si>
    <t>Elanco - Morumbi</t>
  </si>
  <si>
    <t>Centro de custo não preenc</t>
  </si>
  <si>
    <t>EXICSD</t>
  </si>
  <si>
    <t>ITUASSU/ANDRE LUIS MOURA</t>
  </si>
  <si>
    <t>Empenho/departamento não preenchido! (ACC01)</t>
  </si>
  <si>
    <t>WTPIZO</t>
  </si>
  <si>
    <t>MONIQUE STONY DA SILVA PARANHOS</t>
  </si>
  <si>
    <t>American Airlines</t>
  </si>
  <si>
    <t>Reserva importada do sistema Gover. Id: 4595885</t>
  </si>
  <si>
    <t>Verificação de bilhetes: Bilhete 2971325483 já sendo utilizado para este fornecedor.</t>
  </si>
  <si>
    <t>KOERICH/PRISCILLA KARINA VITOR</t>
  </si>
  <si>
    <t>Iberia</t>
  </si>
  <si>
    <t>5KQXXG</t>
  </si>
  <si>
    <t>FALCAO DA MOTTA/RICARDO</t>
  </si>
  <si>
    <t>Klm</t>
  </si>
  <si>
    <t>Accouting aérea não possui trechos (Bilhete: 2952970705)</t>
  </si>
  <si>
    <t>5KKLTH</t>
  </si>
  <si>
    <t>Maluf/Fernanda</t>
  </si>
  <si>
    <t>Renato Ferreira Gomes</t>
  </si>
  <si>
    <t>Reserva importada do Sistema TMS. OS: 11723</t>
  </si>
  <si>
    <t>Empenho/departamento não preenchido! (ACC01) Tarifa mínima não preenchida! (ACC01) Tarifa máxima não preenchida! (ACC01)</t>
  </si>
  <si>
    <t>WIMBRP</t>
  </si>
  <si>
    <t>BORER/FERNANDO</t>
  </si>
  <si>
    <t>Cap1 - Planta Campinas Bosch - 9080</t>
  </si>
  <si>
    <t>Falta informar o status no trecho da accounting aérea (Bilhete: 6643080000)</t>
  </si>
  <si>
    <t>KZNQHK</t>
  </si>
  <si>
    <t>WETEMANS/LAURAN JACQUES LEON</t>
  </si>
  <si>
    <t>Vanessa Pereira Ribeiro Carlos</t>
  </si>
  <si>
    <t>Falta informar o status no trecho da accounting aérea (Bilhete: 6691950000)</t>
  </si>
  <si>
    <t>MEOXQP</t>
  </si>
  <si>
    <t>MARCIO SOARES</t>
  </si>
  <si>
    <t>Jennifer dos Santos Guedes de Oliveira</t>
  </si>
  <si>
    <t>Mattos Filho</t>
  </si>
  <si>
    <t>Reserva importada do Sistema TMS. OS: 5222</t>
  </si>
  <si>
    <t>Verificação de bilhetes: Bilhete 2971276144 já sendo utilizado para este fornecedor.</t>
  </si>
  <si>
    <t>SBFYFA</t>
  </si>
  <si>
    <t>BUGS/CAMILLA DUQUE</t>
  </si>
  <si>
    <t>Falta informar o status no trecho da accounting aérea (Bilhete: 6699930000)</t>
  </si>
  <si>
    <t>HFIMTF</t>
  </si>
  <si>
    <t>MARCELA DA SILVA COSTA</t>
  </si>
  <si>
    <t>Reserva importada do Sistema TMS. OS: 41176</t>
  </si>
  <si>
    <t>Verificação de bilhetes: Bilhete 2971387943 já sendo utilizado para este fornecedor.</t>
  </si>
  <si>
    <t>5KI7IW</t>
  </si>
  <si>
    <t>DIAZ PEREZ/EDUARDO GASTON MR</t>
  </si>
  <si>
    <t>S</t>
  </si>
  <si>
    <t>Delta</t>
  </si>
  <si>
    <t>36Faltou informar rateio de centro de custo/projeto abaixo da accounting</t>
  </si>
  <si>
    <t>Rateio de centro de custo/projeto</t>
  </si>
  <si>
    <t>IQXDKK</t>
  </si>
  <si>
    <t>CARVALHO/RAFAEL BLUMLEIM</t>
  </si>
  <si>
    <t>Lufthansa</t>
  </si>
  <si>
    <t>Verificação de bilhetes: Bilhete 2952959161 já sendo utilizado para este fornecedor.</t>
  </si>
  <si>
    <t>YSDZBI</t>
  </si>
  <si>
    <t>ALEGRETTI RIBEIRO LOBO/MARIA</t>
  </si>
  <si>
    <t>Verificação de bilhetes: Bilhete 2952959163 já sendo utilizado para este fornecedor.</t>
  </si>
  <si>
    <t>GCZUPE</t>
  </si>
  <si>
    <t>BACHMANN/RENATO</t>
  </si>
  <si>
    <t>Verificação de bilhetes: Bilhete 2952959160 já sendo utilizado para este fornecedor.</t>
  </si>
  <si>
    <t>GCIWPX</t>
  </si>
  <si>
    <t>MARTINS DA PAZ/DIEGO LUIZ</t>
  </si>
  <si>
    <t>Matrícula não preenchida! (ACC01) Nível funcionário não preenchido! (ACC01)</t>
  </si>
  <si>
    <t>W97X77</t>
  </si>
  <si>
    <t>Accouting aérea não possui trechos (Bilhete: 2953005181)</t>
  </si>
  <si>
    <t>UNXRYB</t>
  </si>
  <si>
    <t>CLERISTON FERREIRA</t>
  </si>
  <si>
    <t>Trilhos Linhas 8e9</t>
  </si>
  <si>
    <t>Reserva importada do Sistema TMS. OS: 41483</t>
  </si>
  <si>
    <t>Verificação de bilhetes: Bilhete 2971387947 já sendo utilizado para este fornecedor.</t>
  </si>
  <si>
    <t>KOQXPU</t>
  </si>
  <si>
    <t>BENSUSSAN/PRISCILLA MESSODY</t>
  </si>
  <si>
    <t>Centro de custo não preenchido! (ACC01) Matrícula não preenchida! (ACC01) Nível funcionário não preenchido! (ACC01)</t>
  </si>
  <si>
    <t>FIHATK</t>
  </si>
  <si>
    <t>Aerolineas Argentinas</t>
  </si>
  <si>
    <t>NHLJKS</t>
  </si>
  <si>
    <t>BA2908251504</t>
  </si>
  <si>
    <t>Verificação de bilhetes: Bilhete 2952949858 já sendo utilizado para este fornecedor.</t>
  </si>
  <si>
    <t>EWOAMS</t>
  </si>
  <si>
    <t>BASTOS TABET/MARIANA</t>
  </si>
  <si>
    <t>Grupo Avaya</t>
  </si>
  <si>
    <t>Avaya Brasil Ltda</t>
  </si>
  <si>
    <t>FCM-OPE-SAO-PVI-BTC-CONCUR-AVAYA</t>
  </si>
  <si>
    <t>Centro de custo não preenchido! (ACC01) Departamento não preenchido! (ACC01)</t>
  </si>
  <si>
    <t>SWIFKD</t>
  </si>
  <si>
    <t>SANTANA MINJORO/MARIANA</t>
  </si>
  <si>
    <t>Air France</t>
  </si>
  <si>
    <t>OYNVZS</t>
  </si>
  <si>
    <t>DA SILVA ROCHA PAZ/TAINA</t>
  </si>
  <si>
    <t>Copa Airlines</t>
  </si>
  <si>
    <t>Falta informar o status no trecho da accounting aérea (Bilhete: 2953001169)</t>
  </si>
  <si>
    <t>KCLSRZ</t>
  </si>
  <si>
    <t>MENDES VILANOVA E SILVA/ELCIO</t>
  </si>
  <si>
    <t>Centro de custo não preenchido! (ACC01) Matrícula não preenchida! (ACC01) Canal de venda não preenchido! (ACC01)</t>
  </si>
  <si>
    <t>GCKBBA-188</t>
  </si>
  <si>
    <t>PINTO DA COSTA/CRISTIANO</t>
  </si>
  <si>
    <t>British Airways Plc</t>
  </si>
  <si>
    <t>Verificação de bilhetes: Bilhete 2872755292 já sendo utilizado para este fornecedor.</t>
  </si>
  <si>
    <t>GCKBBA-182</t>
  </si>
  <si>
    <t>GCKBBA-180</t>
  </si>
  <si>
    <t>GCKBBA-181</t>
  </si>
  <si>
    <t>GCKBBA-183</t>
  </si>
  <si>
    <t>GCKBBA-184</t>
  </si>
  <si>
    <t>GCKBBA-185</t>
  </si>
  <si>
    <t>GCKBBA-186</t>
  </si>
  <si>
    <t>GCKBBA-187</t>
  </si>
  <si>
    <t>GCKBBA-190</t>
  </si>
  <si>
    <t>GCKBBA-189</t>
  </si>
  <si>
    <t>GCKBBA-191</t>
  </si>
  <si>
    <t>GCKBBA-192</t>
  </si>
  <si>
    <t>GCKBBA-193</t>
  </si>
  <si>
    <t>GCKBBA-194</t>
  </si>
  <si>
    <t>GCKBBA-195</t>
  </si>
  <si>
    <t>JQJXBP</t>
  </si>
  <si>
    <t>PRATAVIERA SARTURATO/ANA CARO</t>
  </si>
  <si>
    <t>WY</t>
  </si>
  <si>
    <t>Basell</t>
  </si>
  <si>
    <t>United</t>
  </si>
  <si>
    <t>Falta informar o status no trecho da accounting aérea (Bilhete: 2872746912)</t>
  </si>
  <si>
    <t>UZIARG</t>
  </si>
  <si>
    <t>LEILA SANTOS</t>
  </si>
  <si>
    <t>Reserva importada do Sistema TMS. OS: 10835</t>
  </si>
  <si>
    <t xml:space="preserve">23Ocorreu o erro 'The INSERT statement conflicted with the FOREIGN KEY constraint "FK_1416_10421". The conflict occurred in database "Corporativo", </t>
  </si>
  <si>
    <t>WTAUYH</t>
  </si>
  <si>
    <t>GUSTAVO YURI VIANA CICERO</t>
  </si>
  <si>
    <t>Embratel Tvsat Telecomunicacoes Sa</t>
  </si>
  <si>
    <t>Reserva importada do Sistema TMS. OS: 79222</t>
  </si>
  <si>
    <t>Verificação de bilhetes: Bilhete 2952831844 já sendo utilizado para este fornecedor.</t>
  </si>
  <si>
    <t>5KYVCF</t>
  </si>
  <si>
    <t>MIQUEIAS SILVA COUTINHO</t>
  </si>
  <si>
    <t>Marinas Pousada</t>
  </si>
  <si>
    <t>Reserva importada do Sistema TMS. OS: 80600</t>
  </si>
  <si>
    <t xml:space="preserve">Não foi possível encontrar um contrato válido para o fornecedor 3443 (Código fornecedor) </t>
  </si>
  <si>
    <t>5KHBH0</t>
  </si>
  <si>
    <t>JORGE PORTO TEIXEIRA</t>
  </si>
  <si>
    <t>Reserva importada do Sistema TMS. OS: 80287</t>
  </si>
  <si>
    <t>Pajucara Praia Hotel</t>
  </si>
  <si>
    <t>GFPLUQC</t>
  </si>
  <si>
    <t>COSTA/MARCOS ROGERIO MR</t>
  </si>
  <si>
    <t>CNF</t>
  </si>
  <si>
    <t>Localiza - Br - Mg - Confins - Aeroporto</t>
  </si>
  <si>
    <t>Centro de custo não preenchido! (ACC01) Matrícula não preenchida! (ACC01)</t>
  </si>
  <si>
    <t>Vale Verde Hotel</t>
  </si>
  <si>
    <t>Hotel Bahamas</t>
  </si>
  <si>
    <t>5KXC8B</t>
  </si>
  <si>
    <t>LUCAS SANTOS</t>
  </si>
  <si>
    <t>55 - Rio Copacabana</t>
  </si>
  <si>
    <t>Reserva importada do Sistema TMS. OS: 529</t>
  </si>
  <si>
    <t>Empenho/departamento não preenchido! (ACC01) Matrícula não preenchida! (ACC01) Canal de venda não preenchido! (ACC01)</t>
  </si>
  <si>
    <t>Hotel Stelter</t>
  </si>
  <si>
    <t>YZGECUC</t>
  </si>
  <si>
    <t>DE LIMA/FELIPE AUGUSTO MR</t>
  </si>
  <si>
    <t>YZGECU</t>
  </si>
  <si>
    <t>XAP</t>
  </si>
  <si>
    <t>Localiza - Br - Sc - Chapeco - Aeroporto</t>
  </si>
  <si>
    <t>UZARHM</t>
  </si>
  <si>
    <t>VINICIUS BARRETO</t>
  </si>
  <si>
    <t>Emirates Airlines</t>
  </si>
  <si>
    <t>Reserva importada do Sistema TMS. OS: 3807</t>
  </si>
  <si>
    <t>Verificação de bilhetes: Bilhete 2952959220 já sendo utilizado para este fornecedor.</t>
  </si>
  <si>
    <t>UJ2VYS</t>
  </si>
  <si>
    <t>Rodrigues Pinto/Cristian</t>
  </si>
  <si>
    <t>Kontrip - Vendas Cartao de Credito</t>
  </si>
  <si>
    <t>Azul Linhas Aereas</t>
  </si>
  <si>
    <t>PGLMHI</t>
  </si>
  <si>
    <t>FONTELES/WEYDSON</t>
  </si>
  <si>
    <t>Instituto de Tecnologia Educacional</t>
  </si>
  <si>
    <t>HRJOBA</t>
  </si>
  <si>
    <t>GRANGEIRO/FERNANDO MORENO</t>
  </si>
  <si>
    <t>Robert Bosch Limitada - 908a</t>
  </si>
  <si>
    <t>GZLNFC</t>
  </si>
  <si>
    <t>SEMEAO/JOAO OTTI</t>
  </si>
  <si>
    <t>Robert Bosch Limitada - 9085</t>
  </si>
  <si>
    <t>ISTIWA</t>
  </si>
  <si>
    <t>OLIVEIRA/ALINE ALVES DE</t>
  </si>
  <si>
    <t>HMQN2A</t>
  </si>
  <si>
    <t>Ctp - Planta Curitiba</t>
  </si>
  <si>
    <t>OXGKSW</t>
  </si>
  <si>
    <t>LICIOTI/MAURICIO DE SOUZA</t>
  </si>
  <si>
    <t>ZQG4RK</t>
  </si>
  <si>
    <t>Bosch Solucoes Integradas Brasil Ltda</t>
  </si>
  <si>
    <t>SATMBD</t>
  </si>
  <si>
    <t>AFONSO DE AZEVEDO/EVANDRO AFONSO</t>
  </si>
  <si>
    <t>EFDWLW</t>
  </si>
  <si>
    <t>ZAGATO SR/GABRIELA PESSOA</t>
  </si>
  <si>
    <t>UMBER-</t>
  </si>
  <si>
    <t>Hotel Tokyoin</t>
  </si>
  <si>
    <t>YZGECUT</t>
  </si>
  <si>
    <t>Hotel Joacaba</t>
  </si>
  <si>
    <t>CHCYXJT</t>
  </si>
  <si>
    <t>QUAIATO/DAVI EDVALDO</t>
  </si>
  <si>
    <t>CHCYXJ</t>
  </si>
  <si>
    <t>Fiesta Inn Insurgts Sur</t>
  </si>
  <si>
    <t>Matrícula não preenchida! (ACC01)</t>
  </si>
  <si>
    <t>DIGGYU</t>
  </si>
  <si>
    <t>MENDONCA DE BARROS/FERNANDO JOSE</t>
  </si>
  <si>
    <t>Tap Air Portugal</t>
  </si>
  <si>
    <t>Empenho/departamento não preenchido! (ACC02) Matrícula não preenchi</t>
  </si>
  <si>
    <t>MENDONCA DE BARROS/FERNANDO J</t>
  </si>
  <si>
    <t>DMCHDL</t>
  </si>
  <si>
    <t>SANTOS/EVAIR SOARES DOS</t>
  </si>
  <si>
    <t>Alitalia</t>
  </si>
  <si>
    <t xml:space="preserve">Empenho/departamento não preenchido! (ACC01) Matrícula não preenchida! (ACC01) Canal de venda não preenchido! (ACC01) Finalidade não </t>
  </si>
  <si>
    <t>WKHQLXT</t>
  </si>
  <si>
    <t>DE ALMEIDA BELTRAO/RAPHAEL MARQUES BATISTA</t>
  </si>
  <si>
    <t>WKHQLX</t>
  </si>
  <si>
    <t>Blue Tree Premium Morumbi</t>
  </si>
  <si>
    <t>YKMZCBT</t>
  </si>
  <si>
    <t>VASCONCELLOS/ROBERTO GOZ</t>
  </si>
  <si>
    <t>YKMZCB</t>
  </si>
  <si>
    <t>Novotel Rio de Janeiro Parque Olimpico</t>
  </si>
  <si>
    <t>4YGQ3J-F</t>
  </si>
  <si>
    <t>IVAN TOLDO</t>
  </si>
  <si>
    <t>Demetrius Pepe Miguel</t>
  </si>
  <si>
    <t>Campinas / CPQ</t>
  </si>
  <si>
    <t>Movida - Br - Sp - Campinas - Parque Viracopos</t>
  </si>
  <si>
    <t>Reserva importada do Sistema TMS. OS: 3972</t>
  </si>
  <si>
    <t>4YGQ3J-F1</t>
  </si>
  <si>
    <t>JCFRXLT</t>
  </si>
  <si>
    <t>Grand Mercure Rio de Janeiro Copacabana</t>
  </si>
  <si>
    <t>H4595529</t>
  </si>
  <si>
    <t>LEONARDO  DE SOUZA BOREGIO</t>
  </si>
  <si>
    <t>Ingrid Vianna Vargas de Oliveira</t>
  </si>
  <si>
    <t>Hotel Napoli</t>
  </si>
  <si>
    <t>Reserva importada do sistema Gover. Id: 4595529</t>
  </si>
  <si>
    <t>Felipe Furini Soares</t>
  </si>
  <si>
    <t>Iic - Instituto Intercement</t>
  </si>
  <si>
    <t>Hotel Pousada Mahon Mar</t>
  </si>
  <si>
    <t>Reserva importada do sistema Gover. Id: 4589678</t>
  </si>
  <si>
    <t xml:space="preserve">Não foi possível encontrar um contrato válido para o fornecedor 46955 (Código fornecedor) </t>
  </si>
  <si>
    <t>Emmis Park Hotel</t>
  </si>
  <si>
    <t>5J03VN</t>
  </si>
  <si>
    <t>BARBOSA/KARLA</t>
  </si>
  <si>
    <t>Danilo dos Santos Alves Cardoso</t>
  </si>
  <si>
    <t>55/rio Hotel</t>
  </si>
  <si>
    <t>Reserva importada do Sistema Lemontech. Solicitação: 17474494</t>
  </si>
  <si>
    <t>ALINE OLIVEIRA DA ROCHA</t>
  </si>
  <si>
    <t>Rps</t>
  </si>
  <si>
    <t>Hyatt Place Sao Jose do Rio Preto</t>
  </si>
  <si>
    <t>Reserva importada do sistema Gover. Id: 4590013</t>
  </si>
  <si>
    <t>5J5LIA</t>
  </si>
  <si>
    <t>ALOISIO AZEVEDO</t>
  </si>
  <si>
    <t>Bruna Carlos da Silva</t>
  </si>
  <si>
    <t>Houston / TX, Estados Unidos - Aeroporto Internacional George Bush (IAH)</t>
  </si>
  <si>
    <t>Alamo - Eua - Ex - Texas - Ex</t>
  </si>
  <si>
    <t>Reserva importada do Sistema TMS. OS: 11375</t>
  </si>
  <si>
    <t>Ibis Natal</t>
  </si>
  <si>
    <t>Cast Comfort Hotel</t>
  </si>
  <si>
    <t>5K2ZD4</t>
  </si>
  <si>
    <t>JOEL CANDIDO BORGES</t>
  </si>
  <si>
    <t>Tsn - Transmissora Sudeste Nordeste</t>
  </si>
  <si>
    <t>Itamarati Hotel</t>
  </si>
  <si>
    <t>Reserva importada do Sistema TMS. OS: 23923</t>
  </si>
  <si>
    <t xml:space="preserve">Não foi possível encontrar um contrato válido para o fornecedor 67595 (Código fornecedor) </t>
  </si>
  <si>
    <t>IBUDQNC</t>
  </si>
  <si>
    <t>DRIGO/MARCELO AUGUSTO DE OLIVEIRA MR</t>
  </si>
  <si>
    <t>Movida - Br - Sp - Sao Bernardo do Campo - Centro</t>
  </si>
  <si>
    <t>Informação de controle não preenchida! (ACC01)</t>
  </si>
  <si>
    <t>Informação de controle</t>
  </si>
  <si>
    <t>ELLIZIANE PAULA DE OLIVEIRA</t>
  </si>
  <si>
    <t>Barretos Park Hotel</t>
  </si>
  <si>
    <t>Reserva importada do sistema Gover. Id: 4591932</t>
  </si>
  <si>
    <t>AV1BV544OBA</t>
  </si>
  <si>
    <t>ANA CAROLINA MELLO MENDES</t>
  </si>
  <si>
    <t>Localiza - Br - Mg - Uberlandia - Tibery Endereço: Avenida Rondon Pacheco, 4900 4900 Tibery</t>
  </si>
  <si>
    <t>Localiza - Br - Mg - Uberlandia - Tibery - Inativo</t>
  </si>
  <si>
    <t>Reserva importada do sistema Gover. Id: 4596380</t>
  </si>
  <si>
    <t xml:space="preserve">Não foi possível encontrar um contrato válido para o fornecedor 70672 (Código fornecedor) </t>
  </si>
  <si>
    <t>Movida - Br - Sp - Sao Paulo - Itaim Bibi</t>
  </si>
  <si>
    <t>Hilton Garden Inn Sao Jose do Rio Preto</t>
  </si>
  <si>
    <t>Reserva importada do sistema Gover. Id: 4590020</t>
  </si>
  <si>
    <t>Reserva importada do sistema Gover. Id: 4594646</t>
  </si>
  <si>
    <t>FYOOTJT</t>
  </si>
  <si>
    <t>BERNARDI/JACKSON ALBERTO</t>
  </si>
  <si>
    <t>FYOOTJ</t>
  </si>
  <si>
    <t>Bonito Ecotel</t>
  </si>
  <si>
    <t>FLBROYT</t>
  </si>
  <si>
    <t>DA CRUZ/JEFFERSON MARQUES</t>
  </si>
  <si>
    <t>FLBROY</t>
  </si>
  <si>
    <t>Summit Suites Hotel Cruzeiro</t>
  </si>
  <si>
    <t>Hilton Garden Inn Ames</t>
  </si>
  <si>
    <t>Hampton Inn Cedar Falls Downtown</t>
  </si>
  <si>
    <t>QUANTIDADE</t>
  </si>
  <si>
    <t>CAUSA</t>
  </si>
  <si>
    <t>SOLUÇÃO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</si>
  <si>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</si>
  <si>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</si>
  <si>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</si>
  <si>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</si>
  <si>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</si>
  <si>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</si>
  <si>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</si>
  <si>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</si>
  <si>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</si>
  <si>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</si>
  <si>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</si>
  <si>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</si>
  <si>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</si>
  <si>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</si>
  <si>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</si>
  <si>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</si>
  <si>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</si>
  <si>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</si>
  <si>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</si>
  <si>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</si>
  <si>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</si>
  <si>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</si>
  <si>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</si>
  <si>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</si>
  <si>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</si>
  <si>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</si>
  <si>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</si>
  <si>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</si>
  <si>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</si>
  <si>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</si>
  <si>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</si>
  <si>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</si>
  <si>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</si>
  <si>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</si>
  <si>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</si>
  <si>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</si>
  <si>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Zupper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</si>
  <si>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</si>
  <si>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</si>
  <si>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</si>
  <si>
    <t>&lt;21/08/2025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</si>
</sst>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8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NumberFormat="1" applyFont="1" applyAlignment="1">
      <alignment horizontal="center"/>
    </xf>
    <xf numFmtId="0" fontId="7" fillId="0" borderId="0" xfId="0" applyFont="1" applyAlignment="1"/>
  </cellXfs>
  <cellStyles count="1">
    <cellStyle name="Normal" xfId="0" builtinId="0"/>
  </cellStyles>
  <dxfs count="1132"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31"/>
      <tableStyleElement type="totalRow" dxfId="1130"/>
      <tableStyleElement type="firstSubtotalRow" dxfId="1129"/>
      <tableStyleElement type="pageFieldLabels" dxfId="112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912.321088657409" createdVersion="8" refreshedVersion="8" minRefreshableVersion="3" recordCount="594" xr:uid="{00000000-000A-0000-FFFF-FFFF37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2786000" maxValue="22913667"/>
    </cacheField>
    <cacheField name="Handle ACC" numFmtId="0">
      <sharedItems containsString="0" containsBlank="1" containsNumber="1" containsInteger="1" minValue="23577451" maxValue="23686259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4-08-27T20:34:26" maxDate="2025-09-12T06:49:42" count="8000">
        <d v="2025-09-08T10:50:16"/>
        <d v="2025-09-04T18:25:54"/>
        <d v="2025-09-04T17:45:11"/>
        <d v="2025-09-02T22:16:46"/>
        <d v="2025-08-28T11:28:34"/>
        <d v="2025-09-04T08:06:27"/>
        <d v="2025-09-02T16:48:57"/>
        <d v="2025-09-11T16:17:41"/>
        <d v="2025-09-11T16:17:55"/>
        <d v="2025-09-11T16:18:13"/>
        <d v="2025-09-11T16:18:47"/>
        <d v="2025-08-28T10:35:45"/>
        <d v="2025-09-10T09:57:01"/>
        <d v="2025-09-01T13:17:40"/>
        <d v="2025-08-22T16:07:19"/>
        <d v="2025-08-26T15:25:24"/>
        <d v="2025-09-05T15:45:42"/>
        <d v="2025-08-21T18:04:40"/>
        <d v="2025-09-11T15:16:22"/>
        <d v="2025-09-04T17:12:08"/>
        <d v="2025-09-09T18:05:26"/>
        <d v="2025-09-01T14:48:13"/>
        <d v="2025-09-06T08:24:26"/>
        <d v="2025-09-11T19:35:50"/>
        <d v="2025-09-02T12:51:44"/>
        <d v="2025-09-01T12:58:32"/>
        <d v="2025-09-01T21:11:28"/>
        <d v="2025-09-01T21:11:39"/>
        <d v="2025-09-11T19:34:27"/>
        <d v="2025-09-12T00:40:14"/>
        <d v="2025-09-02T19:20:51"/>
        <d v="2025-08-26T08:01:21"/>
        <d v="2025-09-10T21:15:40"/>
        <d v="2025-09-10T21:14:38"/>
        <d v="2025-09-10T21:14:42"/>
        <d v="2025-09-11T19:01:36"/>
        <d v="2025-09-11T17:05:29"/>
        <d v="2025-09-04T10:52:47"/>
        <d v="2025-08-28T13:27:47"/>
        <d v="2025-09-11T10:45:33"/>
        <d v="2025-09-01T12:47:52"/>
        <d v="2025-09-01T12:47:55"/>
        <d v="2025-09-05T11:17:19"/>
        <d v="2025-09-02T10:46:56"/>
        <d v="2025-09-05T15:26:50"/>
        <d v="2025-09-05T15:35:49"/>
        <d v="2025-09-03T10:16:12"/>
        <d v="2025-09-06T00:13:29"/>
        <d v="2025-09-06T00:13:33"/>
        <d v="2025-09-11T00:18:15"/>
        <d v="2025-09-08T17:26:18"/>
        <d v="2025-09-11T19:26:45"/>
        <d v="2025-09-11T16:16:15"/>
        <d v="2025-09-02T19:28:23"/>
        <d v="2025-09-02T19:28:24"/>
        <d v="2025-09-02T19:28:28"/>
        <d v="2025-09-02T19:28:29"/>
        <d v="2025-09-01T11:09:06"/>
        <d v="2025-09-11T16:17:56"/>
        <d v="2025-08-28T16:59:09"/>
        <d v="2025-09-11T19:29:46"/>
        <d v="2025-09-11T19:29:58"/>
        <d v="2025-08-22T09:31:19"/>
        <d v="2025-08-21T15:16:29"/>
        <d v="2025-08-28T09:01:29"/>
        <d v="2025-09-10T21:12:49"/>
        <d v="2025-09-11T16:13:22"/>
        <d v="2025-09-10T00:20:17"/>
        <d v="2025-09-02T10:31:59"/>
        <d v="2025-09-02T10:32:22"/>
        <d v="2025-09-02T10:33:02"/>
        <d v="2025-09-08T17:32:29"/>
        <d v="2025-09-08T17:33:33"/>
        <d v="2025-09-03T10:07:16"/>
        <d v="2025-08-27T09:33:28"/>
        <d v="2025-08-27T15:47:38"/>
        <d v="2025-09-01T08:34:48"/>
        <d v="2025-09-01T18:34:52"/>
        <d v="2025-09-10T22:37:27"/>
        <d v="2025-09-03T15:34:58"/>
        <d v="2025-09-08T14:07:08"/>
        <d v="2025-09-09T17:07:02"/>
        <d v="2025-08-22T14:06:35"/>
        <d v="2025-08-28T12:49:33"/>
        <d v="2025-09-02T00:24:30"/>
        <d v="2025-09-02T00:24:38"/>
        <d v="2025-08-28T19:07:58"/>
        <d v="2025-08-28T19:08:06"/>
        <d v="2025-08-29T18:58:21"/>
        <d v="2025-09-11T00:27:40"/>
        <d v="2025-08-29T18:37:07"/>
        <d v="2025-09-11T18:47:22"/>
        <d v="2025-08-26T19:36:29"/>
        <d v="2025-08-28T12:47:55"/>
        <d v="2025-08-30T00:07:47"/>
        <d v="2025-09-05T00:04:43"/>
        <d v="2025-09-05T00:04:44"/>
        <d v="2025-09-06T00:05:22"/>
        <d v="2025-09-06T00:05:23"/>
        <d v="2025-09-06T00:05:24"/>
        <d v="2025-09-01T16:04:08"/>
        <d v="2025-09-09T16:36:52"/>
        <d v="2025-09-10T12:25:54"/>
        <d v="2025-08-25T19:24:00"/>
        <d v="2025-09-10T21:13:04"/>
        <d v="2025-09-10T21:18:09"/>
        <d v="2025-09-10T21:02:40"/>
        <d v="2025-09-11T15:03:01"/>
        <d v="2025-09-11T21:33:19"/>
        <d v="2025-09-12T06:49:05"/>
        <d v="2025-09-12T06:49:27"/>
        <d v="2025-09-04T12:53:15"/>
        <d v="2025-09-04T12:53:21"/>
        <d v="2025-09-04T12:41:47"/>
        <d v="2025-09-11T15:07:09"/>
        <d v="2025-09-11T15:08:45"/>
        <d v="2025-09-12T06:48:39"/>
        <d v="2025-08-29T17:31:08"/>
        <d v="2025-09-01T09:31:01"/>
        <d v="2025-08-29T11:06:16"/>
        <d v="2025-09-01T16:02:35"/>
        <d v="2025-09-03T14:48:22"/>
        <d v="2025-09-01T11:47:46"/>
        <d v="2025-09-11T15:04:00"/>
        <d v="2025-09-04T12:49:34"/>
        <d v="2025-09-04T12:37:49"/>
        <d v="2025-09-01T16:01:24"/>
        <d v="2025-09-11T15:09:01"/>
        <d v="2025-09-12T06:46:56"/>
        <d v="2025-09-12T06:47:16"/>
        <d v="2025-09-12T06:47:34"/>
        <d v="2025-09-10T21:01:32"/>
        <d v="2025-09-10T21:03:09"/>
        <d v="2025-09-10T21:03:15"/>
        <d v="2025-09-01T16:01:54"/>
        <d v="2025-09-01T16:01:59"/>
        <d v="2025-08-28T13:16:09"/>
        <d v="2025-08-28T13:31:32"/>
        <d v="2025-09-11T15:05:41"/>
        <d v="2025-09-03T09:16:07"/>
        <d v="2025-09-10T22:24:47"/>
        <d v="2025-09-10T12:03:35"/>
        <d v="2025-09-09T14:02:48"/>
        <d v="2025-09-08T14:02:19"/>
        <d v="2025-09-09T19:01:23"/>
        <d v="2025-09-08T13:02:00"/>
        <d v="2025-09-08T13:02:02"/>
        <d v="2025-09-08T13:02:13"/>
        <d v="2025-09-01T21:26:28"/>
        <d v="2025-09-04T18:06:19"/>
        <d v="2025-09-09T18:00:38"/>
        <d v="2025-09-04T08:36:14"/>
        <d v="2025-09-04T08:36:15"/>
        <d v="2025-09-08T10:00:43"/>
        <d v="2025-09-05T08:03:03"/>
        <d v="2025-09-01T18:00:41"/>
        <d v="2025-09-04T07:33:31"/>
        <d v="2025-09-04T07:34:11"/>
        <d v="2025-09-04T08:32:52"/>
        <d v="2025-09-08T15:03:16"/>
        <d v="2025-09-08T15:03:19"/>
        <d v="2025-09-10T12:03:55"/>
        <d v="2025-09-09T22:02:36"/>
        <d v="2025-09-10T22:25:53"/>
        <d v="2025-09-10T11:03:02"/>
        <d v="2025-09-10T19:03:29"/>
        <d v="2025-09-04T07:36:48"/>
        <d v="2025-09-03T16:00:51"/>
        <d v="2025-09-08T09:01:04"/>
        <d v="2025-09-09T16:03:33"/>
        <d v="2025-09-09T17:00:52"/>
        <d v="2025-09-09T17:01:09"/>
        <d v="2025-09-09T10:02:54"/>
        <d v="2025-09-09T15:00:38"/>
        <d v="2025-09-08T17:01:34"/>
        <d v="2025-09-08T17:02:00"/>
        <d v="2025-09-08T17:02:04"/>
        <d v="2025-08-28T10:27:45"/>
        <d v="2025-08-28T10:24:58"/>
        <d v="2025-08-28T17:10:40"/>
        <d v="2025-08-28T15:18:48"/>
        <d v="2025-09-01T14:01:50"/>
        <d v="2025-09-01T15:00:44"/>
        <d v="2025-09-01T12:01:19"/>
        <d v="2025-09-04T08:32:17"/>
        <d v="2025-09-04T08:32:23"/>
        <d v="2025-09-02T11:00:16"/>
        <d v="2025-09-02T14:00:45"/>
        <d v="2025-09-10T14:03:02"/>
        <d v="2025-09-10T16:01:33"/>
        <d v="2025-09-10T17:02:21"/>
        <d v="2025-09-04T08:35:24"/>
        <d v="2025-09-08T16:01:39"/>
        <d v="2025-09-08T16:02:24"/>
        <d v="2025-09-05T11:06:08"/>
        <d v="2025-09-05T12:05:12"/>
        <d v="2025-09-05T14:07:39"/>
        <d v="2025-09-04T15:03:55"/>
        <d v="2025-09-04T15:04:47"/>
        <d v="2025-09-04T15:17:33"/>
        <d v="2025-08-29T18:02:18"/>
        <d v="2025-08-29T08:13:32"/>
        <d v="2025-08-28T11:32:24"/>
        <d v="2025-08-26T12:02:26"/>
        <d v="2025-08-28T10:18:09"/>
        <d v="2025-08-28T10:24:28"/>
        <d v="2025-08-28T10:26:08"/>
        <d v="2025-09-10T16:07:20"/>
        <d v="2025-09-10T17:10:18"/>
        <d v="2025-09-10T19:04:31"/>
        <d v="2025-09-10T20:02:57"/>
        <d v="2025-09-10T10:03:55"/>
        <d v="2025-09-10T11:04:15"/>
        <d v="2025-09-10T11:04:16"/>
        <d v="2025-09-10T14:00:57"/>
        <d v="2025-09-10T14:01:03"/>
        <d v="2025-09-10T14:01:06"/>
        <d v="2025-09-09T14:02:21"/>
        <d v="2025-09-08T15:03:36"/>
        <d v="2025-09-08T10:00:45"/>
        <d v="2025-09-08T10:02:18"/>
        <d v="2025-09-08T11:01:39"/>
        <d v="2025-09-08T12:01:08"/>
        <d v="2025-09-09T19:03:14"/>
        <d v="2025-09-09T16:01:12"/>
        <d v="2025-09-04T07:37:27"/>
        <d v="2025-09-04T07:33:45"/>
        <d v="2025-09-04T07:34:50"/>
        <d v="2025-09-08T20:01:50"/>
        <d v="2025-09-05T12:35:11"/>
        <d v="2025-08-26T00:14:22"/>
        <d v="2025-09-10T00:35:11"/>
        <d v="2025-09-09T12:48:17"/>
        <d v="2025-08-27T00:13:37"/>
        <d v="2025-08-30T00:22:03"/>
        <d v="2025-09-04T12:46:19"/>
        <d v="2025-09-02T12:31:17"/>
        <d v="2025-09-05T00:35:23"/>
        <d v="2025-09-09T18:57:01"/>
        <d v="2025-09-11T19:29:07"/>
        <d v="2025-09-11T18:41:20"/>
        <d v="2025-09-11T18:41:28"/>
        <d v="2025-09-11T18:41:35"/>
        <d v="2025-09-11T18:41:50"/>
        <d v="2025-09-11T18:24:34"/>
        <d v="2025-09-02T18:08:38"/>
        <d v="2025-08-26T12:03:15"/>
        <d v="2025-08-25T18:05:51"/>
        <d v="2025-09-08T18:05:04"/>
        <d v="2025-09-08T18:06:00"/>
        <d v="2025-09-08T18:06:08"/>
        <d v="2025-09-10T00:02:27"/>
        <d v="2025-09-05T18:16:23"/>
        <d v="2025-09-11T18:10:21"/>
        <d v="2025-09-12T00:04:36"/>
        <d v="2025-08-29T18:50:46"/>
        <d v="2025-09-11T12:28:26"/>
        <d v="2025-09-01T18:39:44"/>
        <d v="2025-09-06T00:21:47"/>
        <d v="2025-09-06T00:21:53"/>
        <d v="2025-08-28T18:36:16"/>
        <d v="2025-09-08T11:56:36"/>
        <d v="2025-09-11T18:42:42"/>
        <d v="2025-09-04T18:18:38"/>
        <d v="2025-09-04T18:18:44"/>
        <d v="2025-09-04T18:18:50"/>
        <d v="2025-09-04T18:18:56"/>
        <d v="2025-09-10T21:15:18"/>
        <d v="2025-09-09T19:54:23"/>
        <d v="2025-09-03T13:35:11"/>
        <d v="2025-09-10T17:13:15"/>
        <d v="2025-09-10T17:13:18"/>
        <d v="2025-09-10T11:26:48"/>
        <d v="2025-09-09T16:55:42"/>
        <d v="2025-09-10T16:26:31"/>
        <d v="2025-09-10T18:05:53"/>
        <d v="2025-09-08T15:18:26"/>
        <d v="2025-09-11T16:13:46"/>
        <d v="2025-09-11T16:13:50"/>
        <d v="2025-09-10T22:46:41"/>
        <d v="2025-09-10T22:46:51"/>
        <d v="2025-09-10T22:47:01"/>
        <d v="2025-09-10T22:47:05"/>
        <d v="2025-09-10T22:47:09"/>
        <d v="2025-09-10T22:47:13"/>
        <d v="2025-09-10T22:47:28"/>
        <d v="2025-09-10T22:47:39"/>
        <d v="2025-09-10T22:48:19"/>
        <d v="2025-09-10T22:48:51"/>
        <d v="2025-09-10T22:49:26"/>
        <d v="2025-09-10T22:49:29"/>
        <d v="2025-09-11T16:19:02"/>
        <d v="2025-09-11T19:33:38"/>
        <d v="2025-09-11T19:33:41"/>
        <d v="2025-09-11T19:33:45"/>
        <d v="2025-09-11T19:33:49"/>
        <d v="2025-09-11T19:33:57"/>
        <d v="2025-09-10T22:45:31"/>
        <d v="2025-09-10T22:45:48"/>
        <d v="2025-09-10T22:45:56"/>
        <d v="2025-09-10T22:46:00"/>
        <d v="2025-09-10T22:45:26"/>
        <d v="2025-08-26T16:32:47"/>
        <d v="2025-09-05T11:35:04"/>
        <d v="2025-09-05T11:35:08"/>
        <d v="2025-09-05T16:33:39"/>
        <d v="2025-09-05T16:33:44"/>
        <d v="2025-09-04T11:19:47"/>
        <d v="2025-09-04T11:19:53"/>
        <d v="2025-09-04T18:22:09"/>
        <d v="2025-09-05T10:22:13"/>
        <d v="2025-09-05T10:22:17"/>
        <d v="2025-09-05T10:22:31"/>
        <d v="2025-09-05T10:22:39"/>
        <d v="2025-09-05T10:22:47"/>
        <d v="2025-09-05T10:22:51"/>
        <d v="2025-09-05T10:22:55"/>
        <d v="2025-09-05T10:23:33"/>
        <d v="2025-09-11T19:34:05"/>
        <d v="2025-09-10T22:50:58"/>
        <d v="2025-09-10T22:51:10"/>
        <d v="2025-09-10T22:51:19"/>
        <d v="2025-09-10T22:51:39"/>
        <d v="2025-09-10T22:51:43"/>
        <d v="2025-09-10T22:51:48"/>
        <d v="2025-09-08T18:44:01"/>
        <d v="2025-09-09T18:58:52"/>
        <d v="2025-09-11T12:26:55"/>
        <d v="2025-09-11T18:13:32"/>
        <d v="2025-09-11T18:13:40"/>
        <d v="2025-09-11T18:13:47"/>
        <d v="2025-09-11T18:14:41"/>
        <d v="2025-09-11T18:14:38"/>
        <d v="2025-08-30T00:09:51"/>
        <d v="2025-09-01T18:10:37"/>
        <d v="2025-08-23T12:01:42"/>
        <d v="2025-09-11T18:14:55"/>
        <d v="2025-09-11T18:14:05"/>
        <d v="2025-09-11T18:14:13"/>
        <d v="2025-09-11T18:14:28"/>
        <d v="2025-09-11T18:14:31"/>
        <d v="2025-09-09T00:05:55"/>
        <d v="2025-09-03T00:22:49"/>
        <d v="2025-09-03T00:22:52"/>
        <d v="2025-09-09T12:39:54"/>
        <d v="2025-09-11T18:53:38"/>
        <d v="2025-09-11T18:50:43"/>
        <d v="2025-09-11T18:51:28"/>
        <d v="2025-09-12T00:31:42"/>
        <d v="2025-09-05T18:53:02"/>
        <d v="2025-09-05T18:53:31"/>
        <d v="2025-09-05T18:55:13"/>
        <d v="2025-09-11T18:52:09"/>
        <d v="2025-09-11T18:52:14"/>
        <d v="2025-08-29T12:49:47"/>
        <d v="2025-09-03T18:37:26"/>
        <d v="2025-09-11T18:51:50"/>
        <d v="2025-08-26T18:41:14"/>
        <d v="2025-09-02T12:46:38"/>
        <d v="2025-09-11T16:37:02"/>
        <d v="2025-09-11T16:37:04"/>
        <d v="2025-08-28T16:59:24"/>
        <d v="2025-09-05T18:49:36"/>
        <d v="2025-09-11T18:24:37"/>
        <d v="2025-09-08T19:46:48"/>
        <d v="2025-09-08T19:46:53"/>
        <d v="2025-09-08T19:46:57"/>
        <d v="2025-09-04T14:17:16"/>
        <d v="2025-09-05T20:21:03"/>
        <d v="2025-09-11T15:15:57"/>
        <d v="2025-09-11T15:12:04"/>
        <d v="2025-09-11T22:50:27"/>
        <d v="2025-09-11T16:59:59"/>
        <d v="2025-09-11T17:10:30"/>
        <d v="2025-09-11T15:30:00"/>
        <d v="2025-09-11T20:05:21"/>
        <d v="2025-09-11T18:32:32"/>
        <d v="2025-09-08T10:32:39"/>
        <d v="2025-09-11T18:47:11"/>
        <d v="2025-09-02T19:38:17"/>
        <d v="2025-09-11T16:16:26"/>
        <d v="2025-09-11T16:16:30"/>
        <d v="2025-09-11T16:16:35"/>
        <d v="2025-09-11T16:16:40"/>
        <d v="2025-09-05T19:05:15"/>
        <d v="2025-09-03T14:38:46"/>
        <d v="2025-09-03T14:40:43"/>
        <d v="2025-09-03T17:26:57"/>
        <d v="2025-09-09T11:31:25"/>
        <d v="2025-09-05T19:05:23"/>
        <d v="2025-09-11T21:36:08"/>
        <d v="2025-08-26T09:01:56"/>
        <d v="2025-09-11T18:42:02"/>
        <d v="2025-08-28T15:49:49"/>
        <d v="2025-09-11T21:31:59"/>
        <d v="2025-09-11T21:37:27"/>
        <d v="2025-09-11T21:37:36"/>
        <d v="2025-09-11T21:37:41"/>
        <d v="2025-09-11T17:25:08"/>
        <d v="2025-09-08T13:06:43"/>
        <d v="2025-09-11T21:32:24"/>
        <d v="2025-09-10T22:29:07"/>
        <d v="2025-09-11T21:37:57"/>
        <d v="2025-09-11T21:37:22"/>
        <d v="2025-09-11T21:41:57"/>
        <d v="2025-09-11T21:04:16"/>
        <d v="2025-09-11T16:36:56"/>
        <d v="2025-09-11T16:36:59"/>
        <d v="2025-09-11T21:38:08"/>
        <d v="2025-09-10T22:29:16"/>
        <d v="2025-09-11T21:38:18"/>
        <d v="2025-09-08T18:42:53"/>
        <d v="2025-09-08T18:42:56"/>
        <d v="2025-09-11T19:00:02"/>
        <d v="2025-09-10T12:12:04"/>
        <d v="2025-09-05T10:46:58"/>
        <d v="2025-09-11T18:44:52"/>
        <d v="2025-09-11T16:56:19"/>
        <d v="2025-09-11T20:24:47"/>
        <d v="2025-09-11T21:41:02"/>
        <d v="2025-09-11T19:50:30"/>
        <d v="2025-09-11T13:42:05"/>
        <d v="2025-09-11T14:49:54"/>
        <d v="2025-09-11T21:37:06"/>
        <d v="2025-09-11T21:38:46"/>
        <d v="2025-09-10T22:30:02"/>
        <d v="2025-09-11T17:50:23"/>
        <d v="2025-09-01T20:56:24"/>
        <d v="2025-09-09T15:19:03"/>
        <d v="2025-09-08T13:07:49"/>
        <d v="2025-09-11T16:33:55"/>
        <d v="2025-09-11T17:36:07"/>
        <d v="2025-09-11T17:45:42"/>
        <d v="2025-09-10T21:16:09"/>
        <d v="2025-09-10T19:35:34"/>
        <d v="2025-09-12T06:45:40"/>
        <d v="2025-09-11T21:42:10"/>
        <d v="2025-09-11T21:38:14"/>
        <d v="2025-09-10T22:23:02"/>
        <d v="2025-09-11T21:42:20"/>
        <d v="2025-09-11T15:05:10"/>
        <d v="2025-09-11T21:38:28"/>
        <d v="2025-08-27T13:17:37"/>
        <d v="2025-09-11T21:38:50"/>
        <d v="2025-09-11T15:12:56"/>
        <d v="2025-08-27T19:36:37"/>
        <d v="2025-09-12T06:46:30"/>
        <d v="2025-09-12T06:48:46"/>
        <d v="2025-09-11T21:34:53"/>
        <d v="2025-09-11T15:01:21"/>
        <d v="2025-09-02T15:33:47"/>
        <d v="2025-09-11T15:05:51"/>
        <d v="2025-09-10T21:02:34"/>
        <d v="2025-09-11T21:36:36"/>
        <d v="2025-09-10T21:14:58"/>
        <d v="2025-09-11T16:07:30"/>
        <d v="2025-09-10T16:26:07"/>
        <d v="2025-09-11T12:48:47"/>
        <d v="2025-08-25T11:48:05"/>
        <d v="2025-09-10T22:22:09"/>
        <d v="2025-09-09T18:43:54"/>
        <d v="2025-09-10T22:23:58"/>
        <d v="2025-09-04T18:53:39"/>
        <d v="2025-09-09T12:02:15"/>
        <d v="2025-09-08T13:08:25"/>
        <d v="2025-09-08T13:08:33"/>
        <d v="2025-09-08T13:08:17"/>
        <d v="2025-09-11T21:35:18"/>
        <d v="2025-09-11T17:41:51"/>
        <d v="2025-09-04T18:53:21"/>
        <d v="2025-09-11T21:35:13"/>
        <d v="2025-09-10T22:29:21"/>
        <d v="2025-09-11T15:05:27"/>
        <d v="2025-09-11T21:33:04"/>
        <d v="2025-09-11T21:35:31"/>
        <d v="2025-09-11T21:35:24"/>
        <d v="2025-09-10T22:23:23"/>
        <d v="2025-09-11T22:33:37"/>
        <d v="2025-09-11T16:07:03"/>
        <d v="2025-09-11T13:54:04"/>
        <d v="2025-09-11T14:51:09"/>
        <d v="2025-09-11T17:12:39"/>
        <d v="2025-09-11T18:11:32"/>
        <d v="2025-09-11T19:24:12"/>
        <d v="2025-09-11T20:24:45"/>
        <d v="2025-09-11T21:19:21"/>
        <d v="2025-09-12T00:25:38"/>
        <d v="2025-09-11T23:30:24"/>
        <d v="2025-09-12T01:38:13"/>
        <d v="2025-09-12T02:37:07"/>
        <d v="2025-09-12T03:36:23"/>
        <d v="2025-09-12T04:39:18"/>
        <d v="2025-09-12T05:39:36"/>
        <d v="2025-09-01T12:43:04"/>
        <d v="2025-08-21T19:15:41"/>
        <d v="2025-09-05T12:16:50"/>
        <d v="2025-09-10T00:42:59"/>
        <d v="2025-09-06T18:04:57"/>
        <d v="2025-09-10T22:23:06"/>
        <d v="2025-09-08T09:56:05"/>
        <d v="2025-09-10T22:30:31"/>
        <d v="2025-09-08T12:40:00"/>
        <d v="2025-09-11T18:15:58"/>
        <d v="2025-09-11T14:47:57"/>
        <d v="2025-09-08T14:09:13"/>
        <d v="2025-09-03T09:49:08"/>
        <d v="2025-09-10T22:39:29"/>
        <d v="2025-09-10T22:41:44"/>
        <d v="2025-09-12T06:45:59"/>
        <d v="2025-09-11T16:13:04"/>
        <d v="2025-09-10T22:30:17"/>
        <d v="2025-08-22T16:31:43"/>
        <d v="2025-09-08T13:03:31"/>
        <d v="2025-09-08T13:08:40"/>
        <d v="2025-09-10T22:35:24"/>
        <d v="2025-09-11T21:40:43"/>
        <d v="2025-08-29T14:58:02"/>
        <d v="2025-08-28T10:15:48"/>
        <d v="2025-09-11T21:38:22"/>
        <d v="2025-09-10T14:56:12"/>
        <d v="2025-08-28T18:55:16"/>
        <d v="2025-09-05T18:02:46"/>
        <d v="2025-08-29T11:57:23"/>
        <d v="2025-09-01T12:58:17"/>
        <d v="2025-09-10T00:37:37"/>
        <d v="2025-09-12T06:49:42"/>
        <d v="2025-09-03T10:16:36"/>
        <d v="2025-09-11T17:15:49"/>
        <d v="2025-08-29T15:02:47"/>
        <d v="2025-08-29T17:43:52"/>
        <d v="2025-09-11T17:41:40"/>
        <d v="2025-08-29T11:57:24"/>
        <d v="2025-09-09T09:58:53"/>
        <d v="2025-09-10T21:07:14"/>
        <d v="2025-09-10T21:08:36"/>
        <m/>
        <d v="2025-07-16T18:44:21" u="1"/>
        <d v="2025-07-16T18:54:16" u="1"/>
        <d v="2025-07-18T11:16:33" u="1"/>
        <d v="2025-09-04T17:08:36" u="1"/>
        <d v="2025-09-05T11:34:47" u="1"/>
        <d v="2025-09-04T17:08:07" u="1"/>
        <d v="2025-09-10T08:15:20" u="1"/>
        <d v="2025-07-15T13:04:37" u="1"/>
        <d v="2025-09-04T20:08:08" u="1"/>
        <d v="2025-09-08T13:27:25" u="1"/>
        <d v="2025-09-08T13:27:41" u="1"/>
        <d v="2025-09-10T19:39:02" u="1"/>
        <d v="2025-09-10T19:39:31" u="1"/>
        <d v="2025-09-10T19:39:48" u="1"/>
        <d v="2025-09-08T19:37:37" u="1"/>
        <d v="2025-09-09T19:59:41" u="1"/>
        <d v="2025-09-09T19:59:44" u="1"/>
        <d v="2025-09-09T19:59:47" u="1"/>
        <d v="2025-09-09T20:04:39" u="1"/>
        <d v="2025-09-10T13:05:36" u="1"/>
        <d v="2025-09-10T13:05:38" u="1"/>
        <d v="2025-08-22T19:16:20" u="1"/>
        <d v="2025-09-10T13:03:04" u="1"/>
        <d v="2025-09-10T13:05:44" u="1"/>
        <d v="2025-09-09T13:13:58" u="1"/>
        <d v="2025-09-09T13:14:36" u="1"/>
        <d v="2025-09-05T19:05:55" u="1"/>
        <d v="2025-09-05T19:06:03" u="1"/>
        <d v="2025-09-10T12:40:18" u="1"/>
        <d v="2025-09-08T18:57:37" u="1"/>
        <d v="2025-09-09T12:51:28" u="1"/>
        <d v="2025-09-10T19:06:35" u="1"/>
        <d v="2025-09-10T19:07:12" u="1"/>
        <d v="2025-09-10T19:07:48" u="1"/>
        <d v="2025-09-10T19:07:52" u="1"/>
        <d v="2025-09-09T18:59:57" u="1"/>
        <d v="2025-09-09T19:00:00" u="1"/>
        <d v="2025-09-05T18:23:38" u="1"/>
        <d v="2025-09-09T18:28:44" u="1"/>
        <d v="2025-09-08T18:21:38" u="1"/>
        <d v="2025-09-09T12:19:52" u="1"/>
        <d v="2025-08-07T16:47:09" u="1"/>
        <d v="2025-09-05T12:50:12" u="1"/>
        <d v="2025-09-10T15:58:58" u="1"/>
        <d v="2025-08-27T12:38:17" u="1"/>
        <d v="2025-09-09T19:58:18" u="1"/>
        <d v="2025-09-08T13:23:21" u="1"/>
        <d v="2025-08-26T12:53:12" u="1"/>
        <d v="2025-08-11T18:10:07" u="1"/>
        <d v="2025-08-13T12:41:39" u="1"/>
        <d v="2025-08-11T18:09:54" u="1"/>
        <d v="2025-08-11T18:08:19" u="1"/>
        <d v="2025-08-11T18:08:18" u="1"/>
        <d v="2025-09-10T12:59:42" u="1"/>
        <d v="2025-09-10T12:59:45" u="1"/>
        <d v="2025-09-09T13:11:28" u="1"/>
        <d v="2025-09-11T00:32:13" u="1"/>
        <d v="2025-09-08T19:35:12" u="1"/>
        <d v="2025-09-10T22:28:39" u="1"/>
        <d v="2025-09-10T22:26:50" u="1"/>
        <d v="2025-09-10T22:27:24" u="1"/>
        <d v="2025-09-10T22:27:36" u="1"/>
        <d v="2025-09-10T22:27:40" u="1"/>
        <d v="2025-09-10T22:27:45" u="1"/>
        <d v="2025-09-10T22:27:49" u="1"/>
        <d v="2025-09-10T12:25:47" u="1"/>
        <d v="2025-09-10T12:25:50" u="1"/>
        <d v="2025-09-10T00:31:20" u="1"/>
        <d v="2025-07-15T19:34:35" u="1"/>
        <d v="2025-09-10T21:07:56" u="1"/>
        <d v="2025-09-10T21:08:17" u="1"/>
        <d v="2025-09-10T21:08:26" u="1"/>
        <d v="2025-09-10T21:08:58" u="1"/>
        <d v="2025-09-10T21:10:24" u="1"/>
        <d v="2025-09-10T21:07:24" u="1"/>
        <d v="2025-09-10T21:07:40" u="1"/>
        <d v="2025-09-10T21:10:42" u="1"/>
        <d v="2025-08-15T09:04:45" u="1"/>
        <d v="2025-08-18T17:32:36" u="1"/>
        <d v="2025-08-20T19:47:08" u="1"/>
        <d v="2025-09-10T22:34:11" u="1"/>
        <d v="2025-09-10T18:48:02" u="1"/>
        <d v="2025-09-08T18:41:15" u="1"/>
        <d v="2025-09-05T00:32:03" u="1"/>
        <d v="2025-09-10T18:47:09" u="1"/>
        <d v="2025-08-14T11:17:50" u="1"/>
        <d v="2025-08-12T00:19:37" u="1"/>
        <d v="2025-08-19T12:31:46" u="1"/>
        <d v="2025-09-11T00:24:31" u="1"/>
        <d v="2025-09-08T19:08:44" u="1"/>
        <d v="2025-09-08T19:09:51" u="1"/>
        <d v="2025-09-08T19:10:02" u="1"/>
        <d v="2025-09-08T19:10:40" u="1"/>
        <d v="2025-09-05T19:16:04" u="1"/>
        <d v="2025-09-06T12:04:12" u="1"/>
        <d v="2025-09-04T19:36:18" u="1"/>
        <d v="2025-09-05T12:44:48" u="1"/>
        <d v="2025-09-10T19:30:37" u="1"/>
        <d v="2025-09-09T00:26:26" u="1"/>
        <d v="2025-08-26T19:39:00" u="1"/>
        <d v="2025-08-12T00:20:08" u="1"/>
        <d v="2025-09-09T00:22:30" u="1"/>
        <d v="2025-09-10T19:19:13" u="1"/>
        <d v="2025-07-23T18:41:25" u="1"/>
        <d v="2025-09-09T19:11:17" u="1"/>
        <d v="2025-09-03T12:37:25" u="1"/>
        <d v="2025-09-03T12:37:31" u="1"/>
        <d v="2025-09-05T19:15:34" u="1"/>
        <d v="2025-09-09T13:04:39" u="1"/>
        <d v="2025-09-03T14:47:35" u="1"/>
        <d v="2025-09-09T19:00:16" u="1"/>
        <d v="2025-09-08T17:00:58" u="1"/>
        <d v="2025-09-08T16:02:39" u="1"/>
        <d v="2025-09-08T17:01:48" u="1"/>
        <d v="2025-08-28T10:17:57" u="1"/>
        <d v="2025-09-10T14:03:12" u="1"/>
        <d v="2025-09-10T14:03:13" u="1"/>
        <d v="2025-08-11T09:01:54" u="1"/>
        <d v="2025-08-11T18:02:41" u="1"/>
        <d v="2025-08-15T17:01:08" u="1"/>
        <d v="2025-08-15T17:01:18" u="1"/>
        <d v="2025-09-03T18:57:14" u="1"/>
        <d v="2025-08-20T18:17:44" u="1"/>
        <d v="2025-08-29T18:32:42" u="1"/>
        <d v="2025-09-05T18:44:35" u="1"/>
        <d v="2025-09-08T12:38:51" u="1"/>
        <d v="2025-09-10T18:43:30" u="1"/>
        <d v="2025-09-09T18:36:24" u="1"/>
        <d v="2025-09-05T12:23:09" u="1"/>
        <d v="2025-08-18T17:01:35" u="1"/>
        <d v="2025-08-04T09:01:34" u="1"/>
        <d v="2025-08-18T08:01:24" u="1"/>
        <d v="2025-08-11T12:02:50" u="1"/>
        <d v="2025-09-05T17:04:19" u="1"/>
        <d v="2025-09-05T17:04:22" u="1"/>
        <d v="2025-09-05T17:04:25" u="1"/>
        <d v="2025-09-08T09:00:59" u="1"/>
        <d v="2025-09-08T17:02:20" u="1"/>
        <d v="2025-09-09T00:19:20" u="1"/>
        <d v="2025-09-09T18:55:44" u="1"/>
        <d v="2025-09-08T12:50:04" u="1"/>
        <d v="2025-08-08T12:27:05" u="1"/>
        <d v="2025-08-08T17:32:46" u="1"/>
        <d v="2025-08-08T17:32:53" u="1"/>
        <d v="2025-08-08T17:33:00" u="1"/>
        <d v="2025-08-15T11:35:43" u="1"/>
        <d v="2025-09-04T18:54:33" u="1"/>
        <d v="2025-08-04T12:26:02" u="1"/>
        <d v="2025-09-05T19:01:16" u="1"/>
        <d v="2025-09-06T00:17:57" u="1"/>
        <d v="2025-08-28T18:04:43" u="1"/>
        <d v="2025-09-10T18:12:41" u="1"/>
        <d v="2025-09-06T18:01:37" u="1"/>
        <d v="2025-09-05T18:07:39" u="1"/>
        <d v="2025-09-05T12:05:28" u="1"/>
        <d v="2025-09-04T18:04:04" u="1"/>
        <d v="2025-09-11T00:04:14" u="1"/>
        <d v="2025-09-02T18:06:08" u="1"/>
        <d v="2025-09-10T19:09:10" u="1"/>
        <d v="2025-09-10T19:11:39" u="1"/>
        <d v="2025-09-09T00:20:49" u="1"/>
        <d v="2025-09-09T13:00:11" u="1"/>
        <d v="2025-09-08T18:58:48" u="1"/>
        <d v="2025-09-08T18:58:39" u="1"/>
        <d v="2025-08-23T18:04:02" u="1"/>
        <d v="2025-09-11T00:22:16" u="1"/>
        <d v="2025-09-08T18:58:43" u="1"/>
        <d v="2025-09-11T00:22:34" u="1"/>
        <d v="2025-09-05T19:07:46" u="1"/>
        <d v="2025-09-08T19:00:05" u="1"/>
        <d v="2025-09-05T18:49:27" u="1"/>
        <d v="2025-08-15T17:54:53" u="1"/>
        <d v="2025-08-18T09:56:59" u="1"/>
        <d v="2025-09-04T14:17:53" u="1"/>
        <d v="2025-09-04T14:17:54" u="1"/>
        <d v="2025-09-08T08:47:55" u="1"/>
        <d v="2025-09-08T10:10:15" u="1"/>
        <d v="2025-09-10T19:25:19" u="1"/>
        <d v="2025-09-10T12:29:00" u="1"/>
        <d v="2025-09-09T18:39:21" u="1"/>
        <d v="2025-09-09T18:39:25" u="1"/>
        <d v="2025-09-09T18:39:30" u="1"/>
        <d v="2025-09-08T12:03:27" u="1"/>
        <d v="2025-08-27T18:02:29" u="1"/>
        <d v="2025-09-10T00:33:33" u="1"/>
        <d v="2025-09-10T00:33:36" u="1"/>
        <d v="2025-09-05T12:30:49" u="1"/>
        <d v="2025-09-04T00:29:54" u="1"/>
        <d v="2025-09-08T12:47:16" u="1"/>
        <d v="2025-09-08T12:47:21" u="1"/>
        <d v="2025-09-09T12:35:52" u="1"/>
        <d v="2025-09-09T00:16:49" u="1"/>
        <d v="2025-09-08T12:39:52" u="1"/>
        <d v="2025-09-06T06:20:17" u="1"/>
        <d v="2025-09-10T00:32:21" u="1"/>
        <d v="2025-09-03T00:29:37" u="1"/>
        <d v="2025-09-09T19:56:08" u="1"/>
        <d v="2025-09-10T19:31:28" u="1"/>
        <d v="2025-09-09T19:54:11" u="1"/>
        <d v="2025-09-09T19:54:26" u="1"/>
        <d v="2025-09-10T12:53:50" u="1"/>
        <d v="2025-09-05T19:27:33" u="1"/>
        <d v="2025-09-05T19:28:09" u="1"/>
        <d v="2025-09-05T19:29:03" u="1"/>
        <d v="2025-09-08T19:30:37" u="1"/>
        <d v="2025-09-08T19:30:47" u="1"/>
        <d v="2025-09-08T19:30:57" u="1"/>
        <d v="2025-09-08T19:31:00" u="1"/>
        <d v="2025-09-08T19:31:46" u="1"/>
        <d v="2025-09-08T13:18:00" u="1"/>
        <d v="2025-08-13T09:45:46" u="1"/>
        <d v="2025-09-10T21:17:01" u="1"/>
        <d v="2025-09-06T00:28:09" u="1"/>
        <d v="2025-09-10T12:54:31" u="1"/>
        <d v="2025-09-04T18:47:38" u="1"/>
        <d v="2025-08-12T17:21:22" u="1"/>
        <d v="2025-09-06T00:19:59" u="1"/>
        <d v="2025-08-11T11:50:19" u="1"/>
        <d v="2025-08-12T17:21:17" u="1"/>
        <d v="2025-09-09T00:05:11" u="1"/>
        <d v="2025-09-09T00:05:14" u="1"/>
        <d v="2025-09-09T00:05:30" u="1"/>
        <d v="2025-09-08T18:11:59" u="1"/>
        <d v="2025-09-08T18:12:43" u="1"/>
        <d v="2025-09-05T18:16:37" u="1"/>
        <d v="2025-09-03T00:23:06" u="1"/>
        <d v="2025-09-10T06:03:57" u="1"/>
        <d v="2025-09-10T12:10:20" u="1"/>
        <d v="2025-09-10T12:09:31" u="1"/>
        <d v="2025-09-01T12:10:03" u="1"/>
        <d v="2025-09-10T00:19:40" u="1"/>
        <d v="2025-09-09T00:05:48" u="1"/>
        <d v="2025-09-09T00:06:00" u="1"/>
        <d v="2025-09-09T00:06:20" u="1"/>
        <d v="2025-09-08T18:11:50" u="1"/>
        <d v="2025-09-09T00:05:36" u="1"/>
        <d v="2025-09-10T12:10:04" u="1"/>
        <d v="2025-09-10T00:19:49" u="1"/>
        <d v="2025-09-10T00:20:00" u="1"/>
        <d v="2025-08-14T00:12:25" u="1"/>
        <d v="2025-09-05T18:17:10" u="1"/>
        <d v="2025-09-08T12:45:06" u="1"/>
        <d v="2025-08-19T18:32:38" u="1"/>
        <d v="2025-08-12T12:23:06" u="1"/>
        <d v="2025-08-12T12:23:12" u="1"/>
        <d v="2025-08-12T12:23:18" u="1"/>
        <d v="2025-09-10T22:45:41" u="1"/>
        <d v="2025-09-09T18:38:13" u="1"/>
        <d v="2025-09-10T22:50:27" u="1"/>
        <d v="2025-09-10T22:50:39" u="1"/>
        <d v="2025-09-09T18:49:40" u="1"/>
        <d v="2025-09-08T18:48:14" u="1"/>
        <d v="2025-09-03T18:38:19" u="1"/>
        <d v="2025-09-10T12:34:06" u="1"/>
        <d v="2025-09-08T12:45:13" u="1"/>
        <d v="2025-09-08T12:45:24" u="1"/>
        <d v="2025-09-05T12:31:12" u="1"/>
        <d v="2025-09-08T12:44:45" u="1"/>
        <d v="2025-09-08T12:45:02" u="1"/>
        <d v="2025-09-10T18:53:33" u="1"/>
        <d v="2025-09-10T18:55:27" u="1"/>
        <d v="2025-09-09T18:46:33" u="1"/>
        <d v="2025-09-09T12:40:43" u="1"/>
        <d v="2025-08-27T00:12:24" u="1"/>
        <d v="2025-08-28T12:32:11" u="1"/>
        <d v="2025-09-09T18:46:15" u="1"/>
        <d v="2025-09-11T00:20:20" u="1"/>
        <d v="2025-09-09T18:44:58" u="1"/>
        <d v="2025-09-08T12:33:48" u="1"/>
        <d v="2025-09-09T19:15:37" u="1"/>
        <d v="2025-09-10T21:09:32" u="1"/>
        <d v="2025-09-04T20:04:08" u="1"/>
        <d v="2025-09-04T20:04:46" u="1"/>
        <d v="2025-09-10T11:46:02" u="1"/>
        <d v="2025-09-10T22:43:17" u="1"/>
        <d v="2025-09-10T22:41:29" u="1"/>
        <d v="2025-09-10T22:43:33" u="1"/>
        <d v="2025-09-10T22:39:57" u="1"/>
        <d v="2025-09-10T22:39:50" u="1"/>
        <d v="2025-09-10T22:43:40" u="1"/>
        <d v="2025-09-10T22:40:04" u="1"/>
        <d v="2025-09-10T21:21:02" u="1"/>
        <d v="2025-09-10T21:21:42" u="1"/>
        <d v="2025-08-14T21:18:13" u="1"/>
        <d v="2025-08-29T16:16:35" u="1"/>
        <d v="2025-09-10T22:26:22" u="1"/>
        <d v="2025-09-10T22:28:17" u="1"/>
        <d v="2025-09-08T13:06:36" u="1"/>
        <d v="2025-09-10T21:20:11" u="1"/>
        <d v="2025-09-10T22:35:11" u="1"/>
        <d v="2025-09-10T22:32:40" u="1"/>
        <d v="2025-09-10T11:16:47" u="1"/>
        <d v="2025-09-10T22:34:24" u="1"/>
        <d v="2025-09-10T22:33:39" u="1"/>
        <d v="2025-09-10T22:34:01" u="1"/>
        <d v="2025-09-10T20:56:48" u="1"/>
        <d v="2025-09-10T20:59:59" u="1"/>
        <d v="2025-09-10T14:54:25" u="1"/>
        <d v="2025-08-18T12:33:41" u="1"/>
        <d v="2025-09-10T15:24:44" u="1"/>
        <d v="2025-09-09T11:41:31" u="1"/>
        <d v="2025-09-10T09:19:53" u="1"/>
        <d v="2025-09-04T13:54:14" u="1"/>
        <d v="2025-09-10T13:41:55" u="1"/>
        <d v="2025-09-10T13:41:58" u="1"/>
        <d v="2025-09-10T21:17:55" u="1"/>
        <d v="2025-09-10T21:19:11" u="1"/>
        <d v="2025-09-10T21:15:57" u="1"/>
        <d v="2025-09-10T21:14:19" u="1"/>
        <d v="2025-09-04T20:04:47" u="1"/>
        <d v="2025-09-10T22:40:09" u="1"/>
        <d v="2025-09-06T09:54:43" u="1"/>
        <d v="2025-09-04T09:37:24" u="1"/>
        <d v="2025-09-10T21:14:12" u="1"/>
        <d v="2025-09-10T21:16:46" u="1"/>
        <d v="2025-09-08T13:04:08" u="1"/>
        <d v="2025-09-10T22:40:17" u="1"/>
        <d v="2025-09-10T22:40:27" u="1"/>
        <d v="2025-09-04T15:33:49" u="1"/>
        <d v="2025-09-10T22:40:45" u="1"/>
        <d v="2025-09-10T22:40:57" u="1"/>
        <d v="2025-09-10T22:43:25" u="1"/>
        <d v="2025-09-10T19:20:23" u="1"/>
        <d v="2025-09-10T22:43:09" u="1"/>
        <d v="2025-09-10T21:20:55" u="1"/>
        <d v="2025-08-14T21:19:06" u="1"/>
        <d v="2025-08-15T14:45:37" u="1"/>
        <d v="2025-08-14T21:19:27" u="1"/>
        <d v="2025-09-10T21:01:24" u="1"/>
        <d v="2025-09-04T12:38:46" u="1"/>
        <d v="2025-09-10T21:01:04" u="1"/>
        <d v="2025-09-10T21:01:15" u="1"/>
        <d v="2025-09-10T21:03:40" u="1"/>
        <d v="2025-09-10T21:03:57" u="1"/>
        <d v="2025-09-08T11:50:18" u="1"/>
        <d v="2025-09-03T22:14:52" u="1"/>
        <d v="2025-09-08T13:02:29" u="1"/>
        <d v="2025-08-29T15:20:16" u="1"/>
        <d v="2025-08-18T14:21:53" u="1"/>
        <d v="2025-08-01T09:07:30" u="1"/>
        <d v="2025-09-10T21:05:56" u="1"/>
        <d v="2025-09-10T21:05:50" u="1"/>
        <d v="2025-09-10T21:05:17" u="1"/>
        <d v="2025-09-10T21:05:29" u="1"/>
        <d v="2025-09-10T21:05:41" u="1"/>
        <d v="2025-09-08T13:05:24" u="1"/>
        <d v="2025-09-08T13:05:38" u="1"/>
        <d v="2025-09-03T14:46:45" u="1"/>
        <d v="2025-09-08T13:03:42" u="1"/>
        <d v="2025-09-03T14:48:04" u="1"/>
        <d v="2025-09-04T17:02:44" u="1"/>
        <d v="2025-04-02T18:01:07" u="1"/>
        <d v="2025-09-05T12:46:37" u="1"/>
        <d v="2025-09-05T12:46:25" u="1"/>
        <d v="2025-09-10T21:21:56" u="1"/>
        <d v="2025-09-10T21:20:38" u="1"/>
        <d v="2025-09-10T22:24:53" u="1"/>
        <d v="2025-09-10T22:24:59" u="1"/>
        <d v="2025-09-10T22:25:24" u="1"/>
        <d v="2025-09-10T22:23:12" u="1"/>
        <d v="2025-09-08T13:05:58" u="1"/>
        <d v="2025-09-08T13:03:53" u="1"/>
        <d v="2025-09-08T13:04:48" u="1"/>
        <d v="2025-09-10T22:24:27" u="1"/>
        <d v="2025-09-10T22:23:29" u="1"/>
        <d v="2025-09-10T22:23:34" u="1"/>
        <d v="2025-09-10T22:23:39" u="1"/>
        <d v="2025-09-10T21:20:21" u="1"/>
        <d v="2025-09-10T21:15:46" u="1"/>
        <d v="2025-09-10T22:29:33" u="1"/>
        <d v="2025-09-04T21:14:14" u="1"/>
        <d v="2025-09-04T14:29:08" u="1"/>
        <d v="2025-09-04T15:14:28" u="1"/>
        <d v="2025-09-10T11:08:33" u="1"/>
        <d v="2025-09-10T21:21:23" u="1"/>
        <d v="2025-09-10T21:21:50" u="1"/>
        <d v="2025-09-10T22:29:40" u="1"/>
        <d v="2025-03-18T10:34:02" u="1"/>
        <d v="2025-09-10T21:14:27" u="1"/>
        <d v="2025-09-08T13:04:41" u="1"/>
        <d v="2025-09-08T13:05:15" u="1"/>
        <d v="2025-09-10T22:23:18" u="1"/>
        <d v="2025-09-10T19:03:28" u="1"/>
        <d v="2025-09-10T21:13:59" u="1"/>
        <d v="2025-04-17T19:06:28" u="1"/>
        <d v="2025-09-10T22:41:15" u="1"/>
        <d v="2025-09-10T22:40:35" u="1"/>
        <d v="2025-09-04T20:48:13" u="1"/>
        <d v="2025-09-08T16:32:08" u="1"/>
        <d v="2025-09-10T22:23:45" u="1"/>
        <d v="2025-05-08T20:04:40" u="1"/>
        <d v="2025-09-10T14:44:46" u="1"/>
        <d v="2025-09-05T20:50:32" u="1"/>
        <d v="2025-09-05T21:51:25" u="1"/>
        <d v="2025-09-05T22:51:00" u="1"/>
        <d v="2025-09-05T23:53:15" u="1"/>
        <d v="2025-09-05T19:54:53" u="1"/>
        <d v="2025-09-05T14:59:58" u="1"/>
        <d v="2025-09-05T17:27:00" u="1"/>
        <d v="2025-09-05T18:40:18" u="1"/>
        <d v="2025-09-06T09:22:30" u="1"/>
        <d v="2025-09-06T12:21:39" u="1"/>
        <d v="2025-09-06T13:21:09" u="1"/>
        <d v="2025-09-06T14:20:46" u="1"/>
        <d v="2025-09-06T15:21:26" u="1"/>
        <d v="2025-09-06T16:21:01" u="1"/>
        <d v="2025-09-06T17:20:17" u="1"/>
        <d v="2025-09-06T06:23:25" u="1"/>
        <d v="2025-09-06T07:20:45" u="1"/>
        <d v="2025-09-06T08:21:29" u="1"/>
        <d v="2025-09-06T00:53:23" u="1"/>
        <d v="2025-09-06T01:54:15" u="1"/>
        <d v="2025-09-06T02:54:33" u="1"/>
        <d v="2025-09-06T03:53:21" u="1"/>
        <d v="2025-09-06T05:10:30" u="1"/>
        <d v="2025-09-06T18:21:10" u="1"/>
        <d v="2025-09-06T19:20:46" u="1"/>
        <d v="2025-09-06T20:21:39" u="1"/>
        <d v="2025-09-06T21:22:54" u="1"/>
        <d v="2025-09-06T22:21:44" u="1"/>
        <d v="2025-09-06T23:22:52" u="1"/>
        <d v="2025-09-07T00:20:49" u="1"/>
        <d v="2025-09-07T01:22:29" u="1"/>
        <d v="2025-09-06T10:23:19" u="1"/>
        <d v="2025-09-06T11:24:15" u="1"/>
        <d v="2025-09-04T18:06:51" u="1"/>
        <d v="2025-09-04T20:30:35" u="1"/>
        <d v="2025-09-04T21:38:19" u="1"/>
        <d v="2025-09-04T22:37:49" u="1"/>
        <d v="2025-09-04T23:37:40" u="1"/>
        <d v="2025-09-05T00:37:53" u="1"/>
        <d v="2025-09-05T01:41:01" u="1"/>
        <d v="2025-09-05T02:52:48" u="1"/>
        <d v="2025-09-05T03:52:21" u="1"/>
        <d v="2025-09-05T04:53:48" u="1"/>
        <d v="2025-09-05T06:11:15" u="1"/>
        <d v="2025-09-05T07:25:03" u="1"/>
        <d v="2025-09-05T11:18:36" u="1"/>
        <d v="2025-09-05T08:40:35" u="1"/>
        <d v="2025-09-05T10:01:28" u="1"/>
        <d v="2025-09-05T12:31:10" u="1"/>
        <d v="2025-09-04T19:18:35" u="1"/>
        <d v="2025-09-05T13:41:40" u="1"/>
        <d v="2025-09-05T16:18:40" u="1"/>
        <d v="2025-09-08T15:01:56" u="1"/>
        <d v="2025-09-08T18:29:57" u="1"/>
        <d v="2025-09-08T20:37:55" u="1"/>
        <d v="2025-09-08T21:33:33" u="1"/>
        <d v="2025-09-08T22:36:57" u="1"/>
        <d v="2025-09-08T23:32:27" u="1"/>
        <d v="2025-09-08T19:33:42" u="1"/>
        <d v="2025-09-08T17:16:46" u="1"/>
        <d v="2025-09-08T16:12:41" u="1"/>
        <d v="2025-09-08T12:52:03" u="1"/>
        <d v="2025-09-08T11:29:42" u="1"/>
        <d v="2025-09-08T10:19:10" u="1"/>
        <d v="2025-09-08T08:56:18" u="1"/>
        <d v="2025-09-07T02:20:44" u="1"/>
        <d v="2025-09-07T03:21:28" u="1"/>
        <d v="2025-09-07T04:22:50" u="1"/>
        <d v="2025-09-07T05:22:33" u="1"/>
        <d v="2025-09-07T06:23:22" u="1"/>
        <d v="2025-09-07T07:22:38" u="1"/>
        <d v="2025-09-07T08:23:11" u="1"/>
        <d v="2025-09-07T09:24:47" u="1"/>
        <d v="2025-09-07T10:22:50" u="1"/>
        <d v="2025-09-07T11:22:00" u="1"/>
        <d v="2025-09-07T12:22:41" u="1"/>
        <d v="2025-09-07T13:20:04" u="1"/>
        <d v="2025-09-07T14:22:09" u="1"/>
        <d v="2025-09-07T15:21:20" u="1"/>
        <d v="2025-09-07T16:21:08" u="1"/>
        <d v="2025-09-07T17:22:09" u="1"/>
        <d v="2025-09-07T18:20:59" u="1"/>
        <d v="2025-09-07T19:21:33" u="1"/>
        <d v="2025-09-07T20:22:29" u="1"/>
        <d v="2025-09-07T21:22:22" u="1"/>
        <d v="2025-09-07T22:22:27" u="1"/>
        <d v="2025-09-07T23:22:17" u="1"/>
        <d v="2025-09-08T00:21:41" u="1"/>
        <d v="2025-09-08T01:24:35" u="1"/>
        <d v="2025-09-08T02:36:57" u="1"/>
        <d v="2025-09-08T03:37:41" u="1"/>
        <d v="2025-09-08T04:39:02" u="1"/>
        <d v="2025-09-08T05:54:21" u="1"/>
        <d v="2025-09-08T06:52:44" u="1"/>
        <d v="2025-09-08T07:52:13" u="1"/>
        <d v="2025-09-04T16:34:04" u="1"/>
        <d v="2025-09-08T14:00:54" u="1"/>
        <d v="2025-09-09T00:35:24" u="1"/>
        <d v="2025-09-09T01:30:19" u="1"/>
        <d v="2025-09-09T02:38:55" u="1"/>
        <d v="2025-09-09T03:38:15" u="1"/>
        <d v="2025-09-09T04:37:40" u="1"/>
        <d v="2025-09-09T05:39:00" u="1"/>
        <d v="2025-09-10T22:14:06" u="1"/>
        <d v="2025-09-10T23:42:52" u="1"/>
        <d v="2025-09-11T00:39:05" u="1"/>
        <d v="2025-09-11T01:38:27" u="1"/>
        <d v="2025-09-11T02:38:02" u="1"/>
        <d v="2025-09-11T03:36:45" u="1"/>
        <d v="2025-09-11T04:38:19" u="1"/>
        <d v="2025-09-11T05:37:44" u="1"/>
        <d v="2025-09-11T06:37:00" u="1"/>
        <d v="2025-09-10T22:25:17" u="1"/>
        <d v="2025-09-10T22:41:22" u="1"/>
        <d v="2025-07-18T14:10:51" u="1"/>
        <d v="2025-08-13T19:19:41" u="1"/>
        <d v="2025-09-05T19:38:09" u="1"/>
        <d v="2025-03-26T16:28:53" u="1"/>
        <d v="2025-08-07T15:10:56" u="1"/>
        <d v="2025-09-09T11:04:26" u="1"/>
        <d v="2025-09-10T08:16:21" u="1"/>
        <d v="2025-09-10T21:13:44" u="1"/>
        <d v="2025-09-10T09:25:55" u="1"/>
        <d v="2025-09-10T18:15:57" u="1"/>
        <d v="2025-09-10T14:13:48" u="1"/>
        <d v="2025-09-10T13:44:12" u="1"/>
        <d v="2025-09-10T21:07:50" u="1"/>
        <d v="2025-09-10T18:55:59" u="1"/>
        <d v="2025-09-10T19:31:49" u="1"/>
        <d v="2025-09-10T13:27:52" u="1"/>
        <d v="2025-09-10T21:19:25" u="1"/>
        <d v="2025-09-10T21:17:18" u="1"/>
        <d v="2025-09-10T21:16:40" u="1"/>
        <d v="2025-08-15T09:53:04" u="1"/>
        <d v="2025-09-09T18:37:45" u="1"/>
        <d v="2025-08-18T14:21:00" u="1"/>
        <d v="2025-09-05T12:18:29" u="1"/>
        <d v="2025-08-11T00:03:44" u="1"/>
        <d v="2025-08-04T18:14:40" u="1"/>
        <d v="2025-08-05T08:04:49" u="1"/>
        <d v="2025-08-19T16:17:18" u="1"/>
        <d v="2025-08-15T12:04:38" u="1"/>
        <d v="2025-09-10T21:17:58" u="1"/>
        <d v="2025-08-07T09:01:50" u="1"/>
        <d v="2025-08-04T18:18:06" u="1"/>
        <d v="2025-07-28T18:23:36" u="1"/>
        <d v="2025-07-24T18:18:28" u="1"/>
        <d v="2025-07-24T18:18:12" u="1"/>
        <d v="2025-09-10T14:32:29" u="1"/>
        <d v="2025-08-08T17:44:53" u="1"/>
        <d v="2025-09-10T21:19:20" u="1"/>
        <d v="2025-03-06T09:43:10" u="1"/>
        <d v="2025-09-07T12:04:57" u="1"/>
        <d v="2025-09-10T17:30:43" u="1"/>
        <d v="2025-08-13T19:53:48" u="1"/>
        <d v="2025-08-13T19:53:47" u="1"/>
        <d v="2025-09-09T18:41:14" u="1"/>
        <d v="2025-09-08T16:22:27" u="1"/>
        <d v="2025-08-26T14:35:26" u="1"/>
        <d v="2025-09-03T11:05:55" u="1"/>
        <d v="2025-08-28T10:03:17" u="1"/>
        <d v="2025-08-29T19:03:00" u="1"/>
        <d v="2025-09-01T17:19:46" u="1"/>
        <d v="2025-09-02T11:46:37" u="1"/>
        <d v="2025-09-05T14:02:27" u="1"/>
        <d v="2025-09-04T14:19:33" u="1"/>
        <d v="2025-09-05T17:49:09" u="1"/>
        <d v="2025-09-08T17:17:08" u="1"/>
        <d v="2025-09-08T11:54:12" u="1"/>
        <d v="2025-09-08T18:02:24" u="1"/>
        <d v="2025-08-28T11:34:06" u="1"/>
        <d v="2025-08-28T10:28:45" u="1"/>
        <d v="2025-09-05T09:00:31" u="1"/>
        <d v="2025-09-05T10:04:15" u="1"/>
        <d v="2025-08-29T16:51:23" u="1"/>
        <d v="2025-09-08T15:55:48" u="1"/>
        <d v="2025-09-05T19:15:12" u="1"/>
        <d v="2025-09-02T18:07:16" u="1"/>
        <d v="2025-09-02T10:47:13" u="1"/>
        <d v="2025-09-02T12:26:49" u="1"/>
        <d v="2025-09-01T09:37:49" u="1"/>
        <d v="2025-08-28T15:57:21" u="1"/>
        <d v="2025-08-28T16:26:28" u="1"/>
        <d v="2025-08-26T15:35:37" u="1"/>
        <d v="2025-08-14T15:26:01" u="1"/>
        <d v="2025-08-28T12:35:05" u="1"/>
        <d v="2025-08-28T12:35:07" u="1"/>
        <d v="2025-08-28T12:35:09" u="1"/>
        <d v="2025-08-28T12:35:11" u="1"/>
        <d v="2025-08-28T12:35:13" u="1"/>
        <d v="2025-08-28T12:35:17" u="1"/>
        <d v="2025-08-21T16:15:38" u="1"/>
        <d v="2025-09-09T16:55:56" u="1"/>
        <d v="2025-09-09T16:10:05" u="1"/>
        <d v="2025-09-08T13:09:59" u="1"/>
        <d v="2025-09-08T16:24:01" u="1"/>
        <d v="2025-09-08T16:38:24" u="1"/>
        <d v="2025-09-09T20:49:51" u="1"/>
        <d v="2025-09-09T12:20:03" u="1"/>
        <d v="2025-09-08T16:26:39" u="1"/>
        <d v="2025-09-09T18:37:11" u="1"/>
        <d v="2025-09-08T18:15:44" u="1"/>
        <d v="2025-09-03T22:54:58" u="1"/>
        <d v="2025-09-09T20:05:51" u="1"/>
        <d v="2025-09-04T01:40:20" u="1"/>
        <d v="2025-09-09T14:03:16" u="1"/>
        <d v="2025-09-09T10:30:05" u="1"/>
        <d v="2025-09-09T15:44:46" u="1"/>
        <d v="2025-09-09T19:54:34" u="1"/>
        <d v="2025-09-09T20:39:51" u="1"/>
        <d v="2025-09-09T19:19:44" u="1"/>
        <d v="2025-09-09T16:10:06" u="1"/>
        <d v="2025-09-09T16:10:08" u="1"/>
        <d v="2025-09-09T11:51:58" u="1"/>
        <d v="2025-08-27T18:03:34" u="1"/>
        <d v="2025-09-09T18:08:27" u="1"/>
        <d v="2025-09-09T17:33:53" u="1"/>
        <d v="2025-09-09T17:47:46" u="1"/>
        <d v="2025-09-09T18:24:51" u="1"/>
        <d v="2025-09-09T18:30:44" u="1"/>
        <d v="2025-09-09T12:42:09" u="1"/>
        <d v="2025-09-07T13:50:28" u="1"/>
        <d v="2025-09-03T17:35:58" u="1"/>
        <d v="2025-08-27T19:02:30" u="1"/>
        <d v="2025-09-10T05:01:25" u="1"/>
        <d v="2025-09-09T17:03:29" u="1"/>
        <d v="2025-09-09T15:39:34" u="1"/>
        <d v="2025-09-09T15:41:14" u="1"/>
        <d v="2025-09-09T09:15:09" u="1"/>
        <d v="2025-09-02T10:37:06" u="1"/>
        <d v="2025-09-09T11:59:47" u="1"/>
        <d v="2025-09-09T11:13:51" u="1"/>
        <d v="2025-09-09T15:31:55" u="1"/>
        <d v="2025-09-09T20:12:33" u="1"/>
        <d v="2025-09-09T08:27:56" u="1"/>
        <d v="2025-09-09T18:39:50" u="1"/>
        <d v="2025-09-09T19:05:02" u="1"/>
        <d v="2025-09-09T13:57:02" u="1"/>
        <d v="2025-09-05T19:03:05" u="1"/>
        <d v="2025-09-08T16:20:15" u="1"/>
        <d v="2025-09-08T16:20:41" u="1"/>
        <d v="2025-09-08T16:20:46" u="1"/>
        <d v="2025-09-08T18:39:34" u="1"/>
        <d v="2025-09-08T18:39:55" u="1"/>
        <d v="2025-09-08T18:39:14" u="1"/>
        <d v="2025-09-08T15:17:22" u="1"/>
        <d v="2025-09-05T10:16:57" u="1"/>
        <d v="2025-09-05T11:32:01" u="1"/>
        <d v="2025-09-04T17:04:12" u="1"/>
        <d v="2025-09-04T12:42:19" u="1"/>
        <d v="2025-09-04T12:51:32" u="1"/>
        <d v="2025-09-04T12:46:36" u="1"/>
        <d v="2025-09-01T16:02:05" u="1"/>
        <d v="2025-09-01T16:02:26" u="1"/>
        <d v="2025-09-03T14:47:08" u="1"/>
        <d v="2025-09-03T14:47:11" u="1"/>
        <d v="2025-09-05T15:18:05" u="1"/>
        <d v="2025-09-04T07:33:59" u="1"/>
        <d v="2025-09-04T07:34:02" u="1"/>
        <d v="2025-09-03T16:01:06" u="1"/>
        <d v="2025-09-04T13:00:53" u="1"/>
        <d v="2025-09-04T15:03:53" u="1"/>
        <d v="2025-09-05T17:00:29" u="1"/>
        <d v="2025-09-05T17:00:34" u="1"/>
        <d v="2025-09-08T13:01:30" u="1"/>
        <d v="2025-09-08T17:01:01" u="1"/>
        <d v="2025-09-08T17:01:03" u="1"/>
        <d v="2025-09-08T18:53:08" u="1"/>
        <d v="2025-09-08T18:53:11" u="1"/>
        <d v="2025-09-08T18:53:14" u="1"/>
        <d v="2025-09-08T11:48:49" u="1"/>
        <d v="2025-09-08T11:53:06" u="1"/>
        <d v="2025-09-03T14:47:39" u="1"/>
        <d v="2025-09-04T12:45:03" u="1"/>
        <d v="2025-09-08T18:37:30" u="1"/>
        <d v="2025-09-08T18:41:01" u="1"/>
        <d v="2025-09-08T18:57:26" u="1"/>
        <d v="2025-09-04T19:04:36" u="1"/>
        <d v="2025-09-04T19:05:11" u="1"/>
        <d v="2025-09-08T15:17:39" u="1"/>
        <d v="2025-09-08T18:39:19" u="1"/>
        <d v="2025-09-08T15:43:59" u="1"/>
        <d v="2025-09-08T21:21:43" u="1"/>
        <d v="2025-09-05T19:33:57" u="1"/>
        <d v="2025-09-05T18:02:20" u="1"/>
        <d v="2025-09-08T10:50:19" u="1"/>
        <d v="2025-09-08T17:07:09" u="1"/>
        <d v="2025-09-08T11:55:26" u="1"/>
        <d v="2025-09-08T11:55:45" u="1"/>
        <d v="2025-09-08T18:38:00" u="1"/>
        <d v="2025-09-09T01:18:20" u="1"/>
        <d v="2025-09-08T13:07:58" u="1"/>
        <d v="2025-09-08T13:06:55" u="1"/>
        <d v="2025-09-08T20:07:54" u="1"/>
        <d v="2025-09-08T15:33:54" u="1"/>
        <d v="2025-09-08T13:35:18" u="1"/>
        <d v="2025-09-08T20:25:48" u="1"/>
        <d v="2025-09-08T14:41:50" u="1"/>
        <d v="2025-09-08T14:53:52" u="1"/>
        <d v="2025-09-08T16:09:59" u="1"/>
        <d v="2025-09-08T12:18:23" u="1"/>
        <d v="2025-09-08T15:36:29" u="1"/>
        <d v="2025-09-08T17:34:04" u="1"/>
        <d v="2025-09-08T13:21:41" u="1"/>
        <d v="2025-09-08T16:26:27" u="1"/>
        <d v="2025-09-08T13:07:20" u="1"/>
        <d v="2025-09-08T17:26:03" u="1"/>
        <d v="2025-09-08T15:16:00" u="1"/>
        <d v="2025-09-08T11:51:21" u="1"/>
        <d v="2025-09-08T11:53:14" u="1"/>
        <d v="2025-09-04T19:06:19" u="1"/>
        <d v="2025-09-08T18:42:55" u="1"/>
        <d v="2025-09-08T10:32:23" u="1"/>
        <d v="2025-09-08T18:41:18" u="1"/>
        <d v="2025-09-09T05:33:14" u="1"/>
        <d v="2025-09-08T18:20:29" u="1"/>
        <d v="2025-09-08T20:57:50" u="1"/>
        <d v="2025-09-08T16:24:03" u="1"/>
        <d v="2025-09-08T13:36:28" u="1"/>
        <d v="2025-09-08T19:03:54" u="1"/>
        <d v="2025-09-08T16:27:57" u="1"/>
        <d v="2025-09-08T20:51:48" u="1"/>
        <d v="2025-09-08T12:36:38" u="1"/>
        <d v="2025-09-08T12:28:37" u="1"/>
        <d v="2025-09-08T19:35:55" u="1"/>
        <d v="2025-09-08T12:45:54" u="1"/>
        <d v="2025-09-08T16:45:59" u="1"/>
        <d v="2025-09-08T16:50:10" u="1"/>
        <d v="2025-09-05T14:05:20" u="1"/>
        <d v="2025-08-29T16:20:07" u="1"/>
        <d v="2025-09-01T13:34:25" u="1"/>
        <d v="2025-09-01T13:34:40" u="1"/>
        <d v="2025-09-01T13:34:52" u="1"/>
        <d v="2025-09-01T18:38:14" u="1"/>
        <d v="2025-09-02T13:03:55" u="1"/>
        <d v="2025-09-02T14:20:50" u="1"/>
        <d v="2025-09-05T19:37:04" u="1"/>
        <d v="2025-09-05T19:37:26" u="1"/>
        <d v="2025-09-05T19:37:48" u="1"/>
        <d v="2025-09-05T19:38:05" u="1"/>
        <d v="2025-09-08T00:03:45" u="1"/>
        <d v="2025-09-04T20:06:20" u="1"/>
        <d v="2025-09-04T20:08:15" u="1"/>
        <d v="2025-09-04T20:07:42" u="1"/>
        <d v="2025-09-01T12:58:58" u="1"/>
        <d v="2025-09-05T17:47:42" u="1"/>
        <d v="2025-08-19T12:42:11" u="1"/>
        <d v="2025-09-04T10:04:09" u="1"/>
        <d v="2025-09-05T14:04:25" u="1"/>
        <d v="2025-09-05T17:49:17" u="1"/>
        <d v="2025-09-03T17:22:54" u="1"/>
        <d v="2025-09-05T18:43:31" u="1"/>
        <d v="2025-09-05T18:44:26" u="1"/>
        <d v="2025-09-05T18:44:30" u="1"/>
        <d v="2025-08-22T18:29:23" u="1"/>
        <d v="2025-08-29T18:31:10" u="1"/>
        <d v="2025-08-29T16:17:19" u="1"/>
        <d v="2025-08-18T19:19:55" u="1"/>
        <d v="2025-09-05T19:24:24" u="1"/>
        <d v="2025-08-11T19:07:07" u="1"/>
        <d v="2025-08-11T12:34:30" u="1"/>
        <d v="2025-08-29T12:31:30" u="1"/>
        <d v="2025-09-02T00:22:52" u="1"/>
        <d v="2025-09-04T15:31:52" u="1"/>
        <d v="2025-09-05T12:01:46" u="1"/>
        <d v="2025-09-04T08:33:18" u="1"/>
        <d v="2025-09-04T08:33:21" u="1"/>
        <d v="2025-09-04T08:33:23" u="1"/>
        <d v="2025-09-04T20:03:34" u="1"/>
        <d v="2025-09-04T15:10:24" u="1"/>
        <d v="2025-09-04T15:10:27" u="1"/>
        <d v="2025-09-05T18:47:10" u="1"/>
        <d v="2025-09-03T18:08:09" u="1"/>
        <d v="2025-09-05T12:11:23" u="1"/>
        <d v="2025-09-05T10:22:05" u="1"/>
        <d v="2025-09-05T10:22:09" u="1"/>
        <d v="2025-09-04T17:08:54" u="1"/>
        <d v="2025-09-04T17:08:59" u="1"/>
        <d v="2025-08-28T18:20:24" u="1"/>
        <d v="2025-08-15T18:12:04" u="1"/>
        <d v="2025-09-05T17:50:37" u="1"/>
        <d v="2025-09-01T18:26:56" u="1"/>
        <d v="2025-09-04T18:45:14" u="1"/>
        <d v="2025-09-04T18:45:18" u="1"/>
        <d v="2025-09-05T19:00:37" u="1"/>
        <d v="2025-09-05T19:00:38" u="1"/>
        <d v="2025-09-03T11:05:15" u="1"/>
        <d v="2025-09-04T12:59:14" u="1"/>
        <d v="2025-09-05T15:17:28" u="1"/>
        <d v="2025-09-05T17:46:41" u="1"/>
        <d v="2025-09-05T17:46:09" u="1"/>
        <d v="2025-09-05T17:46:20" u="1"/>
        <d v="2025-09-06T10:32:23" u="1"/>
        <d v="2025-09-06T17:37:55" u="1"/>
        <d v="2025-09-05T19:18:07" u="1"/>
        <d v="2025-09-05T20:59:50" u="1"/>
        <d v="2025-09-05T12:06:28" u="1"/>
        <d v="2025-09-05T17:24:29" u="1"/>
        <d v="2025-09-05T19:08:06" u="1"/>
        <d v="2025-09-07T12:15:50" u="1"/>
        <d v="2025-09-05T17:56:19" u="1"/>
        <d v="2025-09-05T00:33:01" u="1"/>
        <d v="2025-09-05T10:02:02" u="1"/>
        <d v="2025-09-02T18:38:38" u="1"/>
        <d v="2025-09-02T18:38:39" u="1"/>
        <d v="2025-09-05T12:38:20" u="1"/>
        <d v="2025-09-05T15:10:28" u="1"/>
        <d v="2025-09-06T03:01:19" u="1"/>
        <d v="2025-09-07T04:00:20" u="1"/>
        <d v="2025-09-05T17:49:59" u="1"/>
        <d v="2025-09-04T15:46:40" u="1"/>
        <d v="2025-09-05T17:51:58" u="1"/>
        <d v="2025-09-05T17:08:09" u="1"/>
        <d v="2025-09-05T17:22:12" u="1"/>
        <d v="2025-09-05T17:53:16" u="1"/>
        <d v="2025-09-05T15:52:00" u="1"/>
        <d v="2025-09-05T12:42:05" u="1"/>
        <d v="2025-09-05T12:52:06" u="1"/>
        <d v="2025-09-05T18:05:56" u="1"/>
        <d v="2025-09-05T11:27:55" u="1"/>
        <d v="2025-09-05T13:20:03" u="1"/>
        <d v="2025-09-05T10:17:02" u="1"/>
        <d v="2025-09-05T15:16:04" u="1"/>
        <d v="2025-09-05T19:02:02" u="1"/>
        <d v="2025-09-05T16:31:05" u="1"/>
        <d v="2025-09-05T14:04:20" u="1"/>
        <d v="2025-09-05T17:46:31" u="1"/>
        <d v="2025-09-03T18:35:05" u="1"/>
        <d v="2025-09-04T14:20:02" u="1"/>
        <d v="2025-09-05T17:56:18" u="1"/>
        <d v="2025-09-05T17:56:34" u="1"/>
        <d v="2025-09-05T17:56:47" u="1"/>
        <d v="2025-09-05T11:34:31" u="1"/>
        <d v="2025-09-08T02:37:18" u="1"/>
        <d v="2025-09-07T11:47:49" u="1"/>
        <d v="2025-09-07T11:49:53" u="1"/>
        <d v="2025-09-05T16:18:07" u="1"/>
        <d v="2025-09-05T17:28:07" u="1"/>
        <d v="2025-09-05T20:27:51" u="1"/>
        <d v="2025-09-05T17:30:00" u="1"/>
        <d v="2025-09-05T16:06:00" u="1"/>
        <d v="2025-09-06T09:07:52" u="1"/>
        <d v="2025-09-05T16:08:01" u="1"/>
        <d v="2025-09-05T16:10:06" u="1"/>
        <d v="2025-09-05T15:17:33" u="1"/>
        <d v="2025-09-06T00:19:54" u="1"/>
        <d v="2025-09-03T12:16:38" u="1"/>
        <d v="2025-08-29T12:19:34" u="1"/>
        <d v="2025-08-30T12:02:05" u="1"/>
        <d v="2025-09-06T10:14:01" u="1"/>
        <d v="2025-09-04T10:04:13" u="1"/>
        <d v="2025-09-04T10:04:18" u="1"/>
        <d v="2025-09-04T10:04:22" u="1"/>
        <d v="2025-09-04T10:04:27" u="1"/>
        <d v="2025-09-05T15:21:01" u="1"/>
        <d v="2025-09-05T09:05:10" u="1"/>
        <d v="2025-09-05T00:36:28" u="1"/>
        <d v="2025-08-26T12:47:41" u="1"/>
        <d v="2025-08-30T00:22:00" u="1"/>
        <d v="2025-09-04T17:01:15" u="1"/>
        <d v="2025-09-04T15:32:04" u="1"/>
        <d v="2025-09-04T15:32:14" u="1"/>
        <d v="2025-09-02T18:03:04" u="1"/>
        <d v="2025-09-04T18:19:17" u="1"/>
        <d v="2025-09-04T12:58:07" u="1"/>
        <d v="2025-09-04T17:07:06" u="1"/>
        <d v="2025-09-04T19:37:57" u="1"/>
        <d v="2025-09-04T16:11:59" u="1"/>
        <d v="2025-09-04T16:26:05" u="1"/>
        <d v="2025-09-04T15:13:58" u="1"/>
        <d v="2025-09-04T18:42:01" u="1"/>
        <d v="2025-09-04T17:49:59" u="1"/>
        <d v="2025-09-04T18:46:16" u="1"/>
        <d v="2025-09-04T17:36:03" u="1"/>
        <d v="2025-09-04T17:38:19" u="1"/>
        <d v="2025-09-04T16:38:01" u="1"/>
        <d v="2025-09-03T17:37:07" u="1"/>
        <d v="2025-09-03T17:26:55" u="1"/>
        <d v="2025-08-26T18:39:45" u="1"/>
        <d v="2025-09-04T08:35:53" u="1"/>
        <d v="2025-09-04T08:35:54" u="1"/>
        <d v="2025-09-04T15:12:08" u="1"/>
        <d v="2025-09-04T15:04:06" u="1"/>
        <d v="2025-09-04T15:04:12" u="1"/>
        <d v="2025-09-04T15:04:13" u="1"/>
        <d v="2025-08-01T18:48:28" u="1"/>
        <d v="2025-09-04T19:25:32" u="1"/>
        <d v="2025-09-04T18:40:55" u="1"/>
        <d v="2025-08-26T19:23:50" u="1"/>
        <d v="2025-08-26T19:23:53" u="1"/>
        <d v="2025-08-28T18:57:41" u="1"/>
        <d v="2025-08-26T19:24:12" u="1"/>
        <d v="2025-09-05T00:31:47" u="1"/>
        <d v="2025-09-05T00:31:49" u="1"/>
        <d v="2025-09-04T18:45:33" u="1"/>
        <d v="2025-09-03T12:21:01" u="1"/>
        <d v="2025-09-04T18:45:29" u="1"/>
        <d v="2025-08-15T18:24:02" u="1"/>
        <d v="2025-09-05T00:31:52" u="1"/>
        <d v="2025-08-28T18:31:19" u="1"/>
        <d v="2025-09-04T00:28:59" u="1"/>
        <d v="2025-09-02T19:26:33" u="1"/>
        <d v="2025-09-02T12:48:14" u="1"/>
        <d v="2025-09-01T12:55:28" u="1"/>
        <d v="2025-09-01T12:54:20" u="1"/>
        <d v="2025-08-25T16:42:50" u="1"/>
        <d v="2025-08-29T18:06:34" u="1"/>
        <d v="2025-09-03T19:15:46" u="1"/>
        <d v="2025-09-03T19:15:54" u="1"/>
        <d v="2025-08-21T19:11:08" u="1"/>
        <d v="2025-09-04T19:44:52" u="1"/>
        <d v="2025-09-03T18:33:23" u="1"/>
        <d v="2025-09-03T18:34:45" u="1"/>
        <d v="2025-08-29T11:33:04" u="1"/>
        <d v="2025-08-29T18:25:17" u="1"/>
        <d v="2025-09-04T20:08:50" u="1"/>
        <d v="2025-08-27T12:40:15" u="1"/>
        <d v="2025-08-27T12:40:04" u="1"/>
        <d v="2025-09-01T12:59:54" u="1"/>
        <d v="2025-08-25T12:14:59" u="1"/>
        <d v="2025-09-04T18:37:10" u="1"/>
        <d v="2025-09-04T18:37:57" u="1"/>
        <d v="2025-09-04T18:38:01" u="1"/>
        <d v="2025-09-04T18:38:05" u="1"/>
        <d v="2025-09-04T18:38:10" u="1"/>
        <d v="2025-09-05T00:30:58" u="1"/>
        <d v="2025-08-30T00:15:49" u="1"/>
        <d v="2025-08-30T00:15:52" u="1"/>
        <d v="2025-08-28T18:32:51" u="1"/>
        <d v="2025-09-05T00:30:53" u="1"/>
        <d v="2025-09-02T00:20:31" u="1"/>
        <d v="2025-09-01T18:34:27" u="1"/>
        <d v="2025-09-04T12:51:51" u="1"/>
        <d v="2025-09-04T12:45:19" u="1"/>
        <d v="2025-09-04T12:40:51" u="1"/>
        <d v="2025-09-04T12:47:26" u="1"/>
        <d v="2025-09-04T12:44:26" u="1"/>
        <d v="2025-09-04T19:39:08" u="1"/>
        <d v="2025-09-04T17:02:58" u="1"/>
        <d v="2025-09-04T14:18:14" u="1"/>
        <d v="2025-09-04T12:42:24" u="1"/>
        <d v="2025-09-04T12:56:57" u="1"/>
        <d v="2025-09-04T12:57:05" u="1"/>
        <d v="2025-09-04T12:49:13" u="1"/>
        <d v="2025-09-05T00:22:05" u="1"/>
        <d v="2025-09-04T19:33:47" u="1"/>
        <d v="2025-08-30T00:22:36" u="1"/>
        <d v="2025-09-05T00:36:35" u="1"/>
        <d v="2025-09-05T00:36:36" u="1"/>
        <d v="2025-09-03T06:13:55" u="1"/>
        <d v="2025-09-03T06:13:57" u="1"/>
        <d v="2025-09-04T00:34:49" u="1"/>
        <d v="2025-08-07T18:07:49" u="1"/>
        <d v="2025-09-01T12:06:41" u="1"/>
        <d v="2025-08-15T18:08:00" u="1"/>
        <d v="2025-09-01T12:06:35" u="1"/>
        <d v="2025-09-01T12:06:39" u="1"/>
        <d v="2025-08-07T18:11:47" u="1"/>
        <d v="2025-09-02T12:04:00" u="1"/>
        <d v="2025-09-03T18:03:12" u="1"/>
        <d v="2025-09-04T12:10:26" u="1"/>
        <d v="2025-09-01T18:04:09" u="1"/>
        <d v="2025-08-28T12:07:34" u="1"/>
        <d v="2025-08-28T12:10:04" u="1"/>
        <d v="2025-09-03T18:11:26" u="1"/>
        <d v="2025-08-20T06:03:02" u="1"/>
        <d v="2025-08-28T12:27:32" u="1"/>
        <d v="2025-09-04T18:50:59" u="1"/>
        <d v="2025-09-04T18:52:03" u="1"/>
        <d v="2025-09-05T00:33:24" u="1"/>
        <d v="2025-08-29T00:09:16" u="1"/>
        <d v="2025-08-29T00:09:41" u="1"/>
        <d v="2025-08-28T18:42:40" u="1"/>
        <d v="2025-09-04T18:52:21" u="1"/>
        <d v="2025-09-02T00:16:23" u="1"/>
        <d v="2025-08-25T19:34:58" u="1"/>
        <d v="2025-08-18T19:32:15" u="1"/>
        <d v="2025-08-28T19:13:58" u="1"/>
        <d v="2025-09-04T19:50:10" u="1"/>
        <d v="2025-09-05T00:41:55" u="1"/>
        <d v="2025-09-04T10:07:30" u="1"/>
        <d v="2025-09-02T09:20:09" u="1"/>
        <d v="2025-09-02T09:20:13" u="1"/>
        <d v="2025-09-02T09:20:18" u="1"/>
        <d v="2025-09-02T09:20:23" u="1"/>
        <d v="2025-09-04T10:06:28" u="1"/>
        <d v="2025-09-02T09:19:59" u="1"/>
        <d v="2025-09-02T09:20:04" u="1"/>
        <d v="2025-09-05T06:02:39" u="1"/>
        <d v="2025-09-05T06:02:45" u="1"/>
        <d v="2025-09-05T00:05:23" u="1"/>
        <d v="2025-09-05T00:05:42" u="1"/>
        <d v="2025-09-03T11:04:27" u="1"/>
        <d v="2025-08-18T18:51:40" u="1"/>
        <d v="2025-09-01T14:19:48" u="1"/>
        <d v="2025-09-02T17:06:34" u="1"/>
        <d v="2025-09-03T11:20:56" u="1"/>
        <d v="2025-08-31T19:15:36" u="1"/>
        <d v="2025-08-19T16:02:18" u="1"/>
        <d v="2025-08-22T17:03:22" u="1"/>
        <d v="2025-08-21T20:31:50" u="1"/>
        <d v="2025-08-05T17:32:46" u="1"/>
        <d v="2025-08-05T17:32:59" u="1"/>
        <d v="2025-03-31T11:32:44" u="1"/>
        <d v="2025-07-28T12:31:47" u="1"/>
        <d v="2025-03-27T16:58:59" u="1"/>
        <d v="2025-03-21T16:34:18" u="1"/>
        <d v="2025-04-16T09:31:54" u="1"/>
        <d v="2025-04-07T10:01:54" u="1"/>
        <d v="2025-04-29T12:02:36" u="1"/>
        <d v="2025-07-28T12:47:13" u="1"/>
        <d v="2025-04-29T12:16:47" u="1"/>
        <d v="2025-07-07T19:03:52" u="1"/>
        <d v="2025-06-30T15:34:39" u="1"/>
        <d v="2025-07-28T12:47:22" u="1"/>
        <d v="2025-08-13T12:46:28" u="1"/>
        <d v="2025-07-28T19:17:27" u="1"/>
        <d v="2025-08-06T15:17:30" u="1"/>
        <d v="2025-08-19T10:31:41" u="1"/>
        <d v="2025-05-03T19:01:50" u="1"/>
        <d v="2025-04-28T09:34:02" u="1"/>
        <d v="2025-02-27T09:17:44" u="1"/>
        <d v="2025-05-27T16:33:03" u="1"/>
        <d v="2025-06-05T10:32:08" u="1"/>
        <d v="2025-08-05T18:31:53" u="1"/>
        <d v="2025-08-27T19:32:15" u="1"/>
        <d v="2025-08-19T16:02:29" u="1"/>
        <d v="2025-08-19T16:02:41" u="1"/>
        <d v="2025-08-15T11:47:23" u="1"/>
        <d v="2025-02-25T09:33:49" u="1"/>
        <d v="2025-08-18T20:01:24" u="1"/>
        <d v="2025-08-04T20:17:27" u="1"/>
        <d v="2025-01-13T09:49:41" u="1"/>
        <d v="2025-07-07T19:03:14" u="1"/>
        <d v="2025-03-31T14:47:25" u="1"/>
        <d v="2025-03-19T20:19:14" u="1"/>
        <d v="2025-07-21T17:03:06" u="1"/>
        <d v="2025-07-22T16:01:44" u="1"/>
        <d v="2025-07-22T16:01:53" u="1"/>
        <d v="2025-02-11T20:47:26" u="1"/>
        <d v="2025-07-21T17:03:20" u="1"/>
        <d v="2025-07-21T17:03:37" u="1"/>
        <d v="2025-07-21T17:02:56" u="1"/>
        <d v="2025-09-03T14:49:09" u="1"/>
        <d v="2025-09-03T14:49:14" u="1"/>
        <d v="2025-09-03T14:49:22" u="1"/>
        <d v="2025-08-04T18:02:21" u="1"/>
        <d v="2025-08-21T11:46:38" u="1"/>
        <d v="2025-05-27T10:17:42" u="1"/>
        <d v="2025-08-14T21:20:04" u="1"/>
        <d v="2025-09-03T17:20:58" u="1"/>
        <d v="2025-04-22T18:20:26" u="1"/>
        <d v="2025-08-25T16:51:21" u="1"/>
        <d v="2025-09-03T16:02:06" u="1"/>
        <d v="2025-09-03T09:46:57" u="1"/>
        <d v="2025-08-26T15:16:19" u="1"/>
        <d v="2025-08-29T14:31:33" u="1"/>
        <d v="2025-09-02T15:31:59" u="1"/>
        <d v="2025-09-02T15:32:33" u="1"/>
        <d v="2025-09-02T15:32:59" u="1"/>
        <d v="2025-09-01T09:34:35" u="1"/>
        <d v="2024-12-18T19:28:59" u="1"/>
        <d v="2025-08-06T13:19:07" u="1"/>
        <d v="2025-08-25T16:46:29" u="1"/>
        <d v="2025-08-28T14:59:27" u="1"/>
        <d v="2025-09-03T17:22:31" u="1"/>
        <d v="2025-09-03T14:03:56" u="1"/>
        <d v="2025-09-03T10:29:53" u="1"/>
        <d v="2025-09-03T12:39:58" u="1"/>
        <d v="2025-09-02T16:09:51" u="1"/>
        <d v="2025-09-02T19:11:48" u="1"/>
        <d v="2025-09-03T12:17:49" u="1"/>
        <d v="2025-09-03T11:14:00" u="1"/>
        <d v="2025-09-03T15:04:10" u="1"/>
        <d v="2025-09-03T15:18:43" u="1"/>
        <d v="2025-09-02T14:39:49" u="1"/>
        <d v="2025-09-02T14:39:50" u="1"/>
        <d v="2025-09-02T13:43:56" u="1"/>
        <d v="2025-09-02T09:31:51" u="1"/>
        <d v="2025-09-02T09:43:57" u="1"/>
        <d v="2025-09-02T10:13:31" u="1"/>
        <d v="2025-09-02T10:13:35" u="1"/>
        <d v="2025-09-02T10:20:15" u="1"/>
        <d v="2025-09-02T08:29:50" u="1"/>
        <d v="2025-09-02T08:47:49" u="1"/>
        <d v="2025-09-02T09:00:12" u="1"/>
        <d v="2025-09-02T09:00:38" u="1"/>
        <d v="2025-09-01T21:49:51" u="1"/>
        <d v="2025-09-03T13:38:08" u="1"/>
        <d v="2025-09-03T19:51:55" u="1"/>
        <d v="2025-09-03T19:17:57" u="1"/>
        <d v="2025-09-03T18:57:56" u="1"/>
        <d v="2025-09-02T13:11:49" u="1"/>
        <d v="2025-09-02T13:40:02" u="1"/>
        <d v="2025-09-02T13:10:11" u="1"/>
        <d v="2025-09-02T14:11:50" u="1"/>
        <d v="2025-09-02T17:08:26" u="1"/>
        <d v="2025-09-02T13:40:05" u="1"/>
        <d v="2025-09-02T13:40:07" u="1"/>
        <d v="2025-09-03T12:10:01" u="1"/>
        <d v="2025-09-03T10:05:49" u="1"/>
        <d v="2025-09-03T11:07:21" u="1"/>
        <d v="2025-09-01T17:08:44" u="1"/>
        <d v="2025-08-04T15:53:01" u="1"/>
        <d v="2025-08-15T13:08:10" u="1"/>
        <d v="2025-08-15T13:08:34" u="1"/>
        <d v="2024-08-27T20:34:26" u="1"/>
        <d v="2025-08-14T21:19:41" u="1"/>
        <d v="2025-08-14T21:19:55" u="1"/>
        <d v="2025-08-28T16:42:33" u="1"/>
        <d v="2025-08-28T16:42:37" u="1"/>
        <d v="2025-08-25T16:56:10" u="1"/>
        <d v="2025-08-20T12:26:50" u="1"/>
        <d v="2025-08-27T00:10:36" u="1"/>
        <d v="2025-08-13T19:27:47" u="1"/>
        <d v="2025-09-04T00:29:23" u="1"/>
        <d v="2025-09-03T18:35:45" u="1"/>
        <d v="2025-09-01T18:24:38" u="1"/>
        <d v="2025-09-02T12:23:13" u="1"/>
        <d v="2025-09-03T18:32:34" u="1"/>
        <d v="2025-08-19T18:25:36" u="1"/>
        <d v="2025-09-03T00:29:43" u="1"/>
        <d v="2025-09-02T12:20:51" u="1"/>
        <d v="2025-09-03T12:20:05" u="1"/>
        <d v="2025-09-03T12:20:20" u="1"/>
        <d v="2025-08-22T18:33:42" u="1"/>
        <d v="2025-09-03T18:33:29" u="1"/>
        <d v="2025-09-03T18:33:33" u="1"/>
        <d v="2025-08-28T00:09:01" u="1"/>
        <d v="2025-08-28T00:08:57" u="1"/>
        <d v="2025-08-13T00:21:50" u="1"/>
        <d v="2025-08-07T19:13:01" u="1"/>
        <d v="2025-08-07T19:13:08" u="1"/>
        <d v="2025-08-26T19:26:31" u="1"/>
        <d v="2025-09-02T19:04:07" u="1"/>
        <d v="2025-09-03T18:58:59" u="1"/>
        <d v="2025-08-08T12:14:25" u="1"/>
        <d v="2025-09-02T18:34:55" u="1"/>
        <d v="2025-08-29T18:30:01" u="1"/>
        <d v="2025-09-02T00:14:24" u="1"/>
        <d v="2025-08-20T18:56:37" u="1"/>
        <d v="2025-08-20T18:56:43" u="1"/>
        <d v="2025-08-20T18:56:49" u="1"/>
        <d v="2025-08-20T18:56:56" u="1"/>
        <d v="2025-08-20T18:57:02" u="1"/>
        <d v="2025-08-20T18:57:08" u="1"/>
        <d v="2025-08-20T18:57:14" u="1"/>
        <d v="2025-08-11T18:09:29" u="1"/>
        <d v="2025-08-07T19:21:41" u="1"/>
        <d v="2025-09-02T19:27:54" u="1"/>
        <d v="2025-09-02T19:21:00" u="1"/>
        <d v="2025-09-02T19:21:10" u="1"/>
        <d v="2025-09-02T19:21:22" u="1"/>
        <d v="2025-09-02T19:22:03" u="1"/>
        <d v="2025-09-02T19:22:26" u="1"/>
        <d v="2025-09-02T19:22:28" u="1"/>
        <d v="2025-09-03T19:15:23" u="1"/>
        <d v="2025-09-02T12:46:10" u="1"/>
        <d v="2025-09-02T19:27:16" u="1"/>
        <d v="2025-09-02T19:27:27" u="1"/>
        <d v="2025-09-02T19:19:13" u="1"/>
        <d v="2025-09-02T19:20:24" u="1"/>
        <d v="2025-09-02T19:20:27" u="1"/>
        <d v="2025-09-02T19:18:44" u="1"/>
        <d v="2025-09-02T19:26:25" u="1"/>
        <d v="2025-09-02T00:28:21" u="1"/>
        <d v="2025-09-02T00:28:24" u="1"/>
        <d v="2025-08-18T15:15:10" u="1"/>
        <d v="2025-08-26T13:18:07" u="1"/>
        <d v="2025-08-14T21:19:12" u="1"/>
        <d v="2025-09-03T16:01:52" u="1"/>
        <d v="2025-09-03T11:04:35" u="1"/>
        <d v="2025-09-03T16:01:34" u="1"/>
        <d v="2025-08-08T17:10:54" u="1"/>
        <d v="2025-08-15T18:47:54" u="1"/>
        <d v="2025-08-15T13:03:04" u="1"/>
        <d v="2025-08-12T18:50:33" u="1"/>
        <d v="2025-08-12T18:50:38" u="1"/>
        <d v="2025-08-12T18:50:43" u="1"/>
        <d v="2025-08-12T18:50:54" u="1"/>
        <d v="2025-08-12T19:06:00" u="1"/>
        <d v="2025-08-12T19:06:07" u="1"/>
        <d v="2025-08-11T19:22:02" u="1"/>
        <d v="2025-08-11T19:36:44" u="1"/>
        <d v="2025-08-11T19:36:20" u="1"/>
        <d v="2025-08-11T19:36:26" u="1"/>
        <d v="2025-08-11T19:36:32" u="1"/>
        <d v="2025-08-11T19:37:43" u="1"/>
        <d v="2025-08-11T19:22:12" u="1"/>
        <d v="2025-08-11T19:36:01" u="1"/>
        <d v="2025-08-11T19:36:08" u="1"/>
        <d v="2025-09-03T19:48:41" u="1"/>
        <d v="2025-08-13T11:02:45" u="1"/>
        <d v="2025-08-11T19:21:37" u="1"/>
        <d v="2025-08-11T19:21:43" u="1"/>
        <d v="2025-08-11T19:21:48" u="1"/>
        <d v="2025-08-11T19:21:52" u="1"/>
        <d v="2025-08-26T18:47:36" u="1"/>
        <d v="2025-08-26T18:47:44" u="1"/>
        <d v="2025-08-26T19:19:27" u="1"/>
        <d v="2025-08-26T19:19:32" u="1"/>
        <d v="2025-08-26T18:32:53" u="1"/>
        <d v="2025-08-26T18:32:59" u="1"/>
        <d v="2025-08-26T18:47:50" u="1"/>
        <d v="2025-08-26T18:47:57" u="1"/>
        <d v="2025-08-26T19:02:00" u="1"/>
        <d v="2025-08-26T19:04:26" u="1"/>
        <d v="2025-08-26T19:04:38" u="1"/>
        <d v="2025-08-26T19:19:21" u="1"/>
        <d v="2025-08-11T19:37:59" u="1"/>
        <d v="2025-08-11T19:50:12" u="1"/>
        <d v="2025-08-23T12:21:36" u="1"/>
        <d v="2025-08-22T19:02:11" u="1"/>
        <d v="2025-08-25T16:51:14" u="1"/>
        <d v="2025-08-11T19:37:00" u="1"/>
        <d v="2025-08-13T11:02:53" u="1"/>
        <d v="2025-04-15T21:02:44" u="1"/>
        <d v="2025-08-20T11:17:42" u="1"/>
        <d v="2025-08-20T11:04:54" u="1"/>
        <d v="2025-08-11T19:38:21" u="1"/>
        <d v="2025-08-11T19:49:56" u="1"/>
        <d v="2025-08-11T19:50:02" u="1"/>
        <d v="2025-08-11T19:37:22" u="1"/>
        <d v="2025-08-11T19:36:14" u="1"/>
        <d v="2025-08-11T19:37:49" u="1"/>
        <d v="2025-08-11T19:50:07" u="1"/>
        <d v="2025-08-11T19:36:38" u="1"/>
        <d v="2025-08-11T19:37:06" u="1"/>
        <d v="2025-08-11T19:37:16" u="1"/>
        <d v="2025-08-11T19:38:11" u="1"/>
        <d v="2025-08-11T19:38:16" u="1"/>
        <d v="2025-08-27T19:02:46" u="1"/>
        <d v="2025-08-14T21:19:31" u="1"/>
        <d v="2025-08-26T18:19:07" u="1"/>
        <d v="2025-08-26T18:32:47" u="1"/>
        <d v="2025-08-11T19:22:07" u="1"/>
        <d v="2025-08-29T11:07:52" u="1"/>
        <d v="2025-08-15T16:51:35" u="1"/>
        <d v="2025-09-03T18:07:45" u="1"/>
        <d v="2025-09-03T19:22:40" u="1"/>
        <d v="2025-08-15T21:13:18" u="1"/>
        <d v="2025-09-03T19:12:52" u="1"/>
        <d v="2025-08-22T17:20:36" u="1"/>
        <d v="2025-09-01T13:09:41" u="1"/>
        <d v="2025-09-03T09:48:13" u="1"/>
        <d v="2025-09-03T13:32:27" u="1"/>
        <d v="2025-09-03T11:06:07" u="1"/>
        <d v="2025-09-03T12:16:54" u="1"/>
        <d v="2025-08-22T10:06:20" u="1"/>
        <d v="2025-08-18T19:25:12" u="1"/>
        <d v="2025-08-18T19:54:31" u="1"/>
        <d v="2025-08-16T00:05:09" u="1"/>
        <d v="2025-08-06T18:14:24" u="1"/>
        <d v="2025-08-06T18:24:16" u="1"/>
        <d v="2025-08-20T13:26:30" u="1"/>
        <d v="2025-08-20T13:26:29" u="1"/>
        <d v="2025-08-22T09:54:59" u="1"/>
        <d v="2025-08-21T19:14:53" u="1"/>
        <d v="2025-08-20T16:53:52" u="1"/>
        <d v="2025-08-19T10:16:11" u="1"/>
        <d v="2025-08-19T14:05:35" u="1"/>
        <d v="2025-08-19T10:16:09" u="1"/>
        <d v="2025-09-02T19:45:31" u="1"/>
        <d v="2025-08-18T19:15:26" u="1"/>
        <d v="2025-08-29T18:24:43" u="1"/>
        <d v="2025-09-01T12:59:48" u="1"/>
        <d v="2025-08-27T19:15:06" u="1"/>
        <d v="2025-09-03T19:20:05" u="1"/>
        <d v="2025-09-03T19:20:09" u="1"/>
        <d v="2025-08-08T19:12:20" u="1"/>
        <d v="2025-09-04T00:41:16" u="1"/>
        <d v="2025-09-03T12:43:54" u="1"/>
        <d v="2025-09-03T19:19:07" u="1"/>
        <d v="2025-09-03T19:20:21" u="1"/>
        <d v="2025-08-12T10:04:51" u="1"/>
        <d v="2025-08-11T09:14:15" u="1"/>
        <d v="2025-08-08T09:56:37" u="1"/>
        <d v="2025-08-25T15:55:49" u="1"/>
        <d v="2025-09-03T09:36:05" u="1"/>
        <d v="2025-08-27T12:42:18" u="1"/>
        <d v="2025-08-20T11:10:16" u="1"/>
        <d v="2025-09-02T16:29:37" u="1"/>
        <d v="2025-09-02T17:41:47" u="1"/>
        <d v="2025-09-02T18:58:45" u="1"/>
        <d v="2025-09-02T23:23:54" u="1"/>
        <d v="2025-09-03T00:22:45" u="1"/>
        <d v="2025-09-03T09:26:31" u="1"/>
        <d v="2025-09-03T12:00:41" u="1"/>
        <d v="2025-09-03T07:21:22" u="1"/>
        <d v="2025-09-03T08:22:15" u="1"/>
        <d v="2025-06-06T15:32:35" u="1"/>
        <d v="2025-08-15T17:20:48" u="1"/>
        <d v="2025-09-03T19:46:51" u="1"/>
        <d v="2025-04-17T19:06:53" u="1"/>
        <d v="2025-09-03T06:22:59" u="1"/>
        <d v="2025-09-03T01:24:35" u="1"/>
        <d v="2025-09-03T02:41:56" u="1"/>
        <d v="2025-09-03T03:53:44" u="1"/>
        <d v="2025-09-03T05:08:42" u="1"/>
        <d v="2025-09-03T10:43:17" u="1"/>
        <d v="2025-09-03T16:55:20" u="1"/>
        <d v="2025-09-03T15:42:45" u="1"/>
        <d v="2025-09-01T12:59:09" u="1"/>
        <d v="2025-09-01T15:48:00" u="1"/>
        <d v="2025-09-01T17:00:26" u="1"/>
        <d v="2025-09-01T23:36:35" u="1"/>
        <d v="2025-09-01T22:32:41" u="1"/>
        <d v="2025-09-02T03:09:17" u="1"/>
        <d v="2025-09-02T04:23:41" u="1"/>
        <d v="2025-09-02T05:24:11" u="1"/>
        <d v="2025-09-02T06:27:29" u="1"/>
        <d v="2025-09-01T14:29:54" u="1"/>
        <d v="2025-09-01T18:15:34" u="1"/>
        <d v="2025-09-02T01:04:56" u="1"/>
        <d v="2025-09-02T02:07:35" u="1"/>
        <d v="2025-09-02T07:40:22" u="1"/>
        <d v="2025-09-01T19:55:20" u="1"/>
        <d v="2025-09-02T10:17:49" u="1"/>
        <d v="2025-09-02T08:58:46" u="1"/>
        <d v="2025-09-02T12:44:32" u="1"/>
        <d v="2025-09-02T13:56:49" u="1"/>
        <d v="2025-09-02T15:15:37" u="1"/>
        <d v="2025-09-02T11:30:52" u="1"/>
        <d v="2025-09-03T18:17:32" u="1"/>
        <d v="2025-09-02T20:11:15" u="1"/>
        <d v="2025-09-02T21:23:43" u="1"/>
        <d v="2025-09-03T19:27:14" u="1"/>
        <d v="2025-09-02T22:23:11" u="1"/>
        <d v="2025-09-03T20:39:11" u="1"/>
        <d v="2025-09-03T21:35:30" u="1"/>
        <d v="2025-09-04T00:35:53" u="1"/>
        <d v="2025-09-04T06:37:54" u="1"/>
        <d v="2025-09-03T13:11:59" u="1"/>
        <d v="2025-09-04T01:39:36" u="1"/>
        <d v="2025-09-04T02:37:28" u="1"/>
        <d v="2025-09-04T03:39:27" u="1"/>
        <d v="2025-09-04T04:38:39" u="1"/>
        <d v="2025-09-04T05:37:20" u="1"/>
        <d v="2025-09-03T14:25:30" u="1"/>
        <d v="2025-09-03T23:36:50" u="1"/>
        <d v="2025-09-03T22:38:49" u="1"/>
        <d v="2025-09-01T15:58:54" u="1"/>
        <d v="2025-05-20T15:49:30" u="1"/>
        <d v="2025-09-02T15:34:23" u="1"/>
        <d v="2025-09-03T14:49:36" u="1"/>
        <d v="2025-09-03T14:49:43" u="1"/>
        <d v="2025-09-03T16:02:46" u="1"/>
        <d v="2025-09-03T14:49:49" u="1"/>
        <d v="2025-09-03T16:02:51" u="1"/>
        <d v="2025-05-19T13:25:48" u="1"/>
        <d v="2025-05-20T17:27:25" u="1"/>
        <d v="2025-09-03T18:32:06" u="1"/>
        <d v="2025-09-03T18:32:14" u="1"/>
        <d v="2025-08-11T12:16:43" u="1"/>
        <d v="2025-08-08T12:15:30" u="1"/>
        <d v="2025-08-21T18:25:17" u="1"/>
        <d v="2025-09-03T18:29:26" u="1"/>
        <d v="2025-09-03T18:29:22" u="1"/>
        <d v="2025-09-03T18:30:02" u="1"/>
        <d v="2025-09-03T18:29:19" u="1"/>
        <d v="2025-09-03T12:19:19" u="1"/>
        <d v="2025-09-02T18:35:25" u="1"/>
        <d v="2025-09-03T16:00:54" u="1"/>
        <d v="2025-08-29T18:00:42" u="1"/>
        <d v="2025-09-02T09:01:07" u="1"/>
        <d v="2025-08-06T18:24:15" u="1"/>
        <d v="2025-08-14T16:45:41" u="1"/>
        <d v="2025-08-05T14:17:44" u="1"/>
        <d v="2025-08-05T14:17:45" u="1"/>
        <d v="2025-08-11T12:26:35" u="1"/>
        <d v="2025-08-08T18:47:16" u="1"/>
        <d v="2025-08-08T18:47:15" u="1"/>
        <d v="2025-08-29T18:46:22" u="1"/>
        <d v="2025-08-28T09:30:57" u="1"/>
        <d v="2025-08-15T09:33:56" u="1"/>
        <d v="2025-08-22T05:31:11" u="1"/>
        <d v="2025-08-27T19:36:11" u="1"/>
        <d v="2025-08-15T09:33:48" u="1"/>
        <d v="2025-08-15T09:32:35" u="1"/>
        <d v="2025-08-27T19:36:32" u="1"/>
        <d v="2025-08-08T12:15:38" u="1"/>
        <d v="2025-08-08T15:45:44" u="1"/>
        <d v="2025-08-06T19:17:59" u="1"/>
        <d v="2025-08-15T09:31:48" u="1"/>
        <d v="2025-07-23T11:02:26" u="1"/>
        <d v="2025-08-15T09:33:23" u="1"/>
        <d v="2025-08-15T09:36:40" u="1"/>
        <d v="2025-05-08T20:06:41" u="1"/>
        <d v="2025-08-21T13:47:01" u="1"/>
        <d v="2025-09-03T14:46:40" u="1"/>
        <d v="2025-08-27T19:33:43" u="1"/>
        <d v="2025-08-15T16:32:40" u="1"/>
        <d v="2025-08-25T08:30:43" u="1"/>
        <d v="2025-08-21T20:31:57" u="1"/>
        <d v="2025-08-22T15:30:55" u="1"/>
        <d v="2025-08-22T05:30:44" u="1"/>
        <d v="2025-08-22T05:30:51" u="1"/>
        <d v="2025-08-15T09:47:07" u="1"/>
        <d v="2025-08-28T10:33:45" u="1"/>
        <d v="2025-07-30T17:46:31" u="1"/>
        <d v="2025-08-15T09:48:20" u="1"/>
        <d v="2025-08-15T09:46:28" u="1"/>
        <d v="2025-08-25T16:51:42" u="1"/>
        <d v="2025-08-25T16:51:34" u="1"/>
        <d v="2025-08-28T09:30:44" u="1"/>
        <d v="2025-03-13T20:37:40" u="1"/>
        <d v="2025-08-19T15:01:21" u="1"/>
        <d v="2025-08-22T12:01:36" u="1"/>
        <d v="2025-09-03T09:24:24" u="1"/>
        <d v="2025-08-15T09:45:49" u="1"/>
        <d v="2025-08-25T08:31:04" u="1"/>
        <d v="2025-08-28T10:34:06" u="1"/>
        <d v="2025-08-28T10:34:26" u="1"/>
        <d v="2025-08-27T19:36:17" u="1"/>
        <d v="2025-08-27T19:36:27" u="1"/>
        <d v="2025-08-29T15:46:27" u="1"/>
        <d v="2025-08-15T13:07:00" u="1"/>
        <d v="2025-04-13T17:35:07" u="1"/>
        <d v="2025-08-07T18:17:38" u="1"/>
        <d v="2025-08-25T07:46:20" u="1"/>
        <d v="2025-08-29T12:46:05" u="1"/>
        <d v="2025-09-01T16:01:48" u="1"/>
        <d v="2025-08-22T05:30:37" u="1"/>
        <d v="2025-08-25T08:30:59" u="1"/>
        <d v="2025-08-28T10:34:37" u="1"/>
        <d v="2025-08-28T09:32:02" u="1"/>
        <d v="2025-08-29T12:46:42" u="1"/>
        <d v="2025-08-15T09:34:02" u="1"/>
        <d v="2025-09-03T16:09:33" u="1"/>
        <d v="2025-08-30T19:30:37" u="1"/>
        <d v="2025-08-30T19:33:40" u="1"/>
        <d v="2025-07-02T11:05:18" u="1"/>
        <d v="2025-04-01T15:49:02" u="1"/>
        <d v="2025-09-02T18:04:45" u="1"/>
        <d v="2025-09-02T11:47:36" u="1"/>
        <d v="2025-09-01T18:39:11" u="1"/>
        <d v="2025-08-25T19:16:24" u="1"/>
        <d v="2025-09-03T18:54:00" u="1"/>
        <d v="2025-08-28T16:08:41" u="1"/>
        <d v="2025-09-02T11:56:54" u="1"/>
        <d v="2025-09-02T10:35:55" u="1"/>
        <d v="2025-08-27T14:18:00" u="1"/>
        <d v="2025-08-29T18:06:32" u="1"/>
        <d v="2025-08-29T18:06:43" u="1"/>
        <d v="2025-09-03T12:10:12" u="1"/>
        <d v="2025-09-03T12:10:14" u="1"/>
        <d v="2025-09-03T12:11:08" u="1"/>
        <d v="2025-08-28T18:10:23" u="1"/>
        <d v="2025-09-02T18:12:50" u="1"/>
        <d v="2025-08-04T18:04:40" u="1"/>
        <d v="2025-09-03T18:06:15" u="1"/>
        <d v="2025-08-05T18:41:15" u="1"/>
        <d v="2025-08-19T00:16:51" u="1"/>
        <d v="2025-09-02T12:38:56" u="1"/>
        <d v="2025-09-03T12:02:17" u="1"/>
        <d v="2025-09-03T12:02:22" u="1"/>
        <d v="2025-09-03T12:02:25" u="1"/>
        <d v="2025-08-22T00:18:58" u="1"/>
        <d v="2025-09-04T00:30:22" u="1"/>
        <d v="2025-09-03T18:37:38" u="1"/>
        <d v="2025-09-03T18:37:48" u="1"/>
        <d v="2025-09-03T18:38:53" u="1"/>
        <d v="2025-09-03T18:40:01" u="1"/>
        <d v="2025-09-03T18:41:11" u="1"/>
        <d v="2025-09-03T12:23:49" u="1"/>
        <d v="2025-09-02T12:25:49" u="1"/>
        <d v="2025-08-30T12:02:01" u="1"/>
        <d v="2025-09-02T12:27:48" u="1"/>
        <d v="2025-08-25T19:32:49" u="1"/>
        <d v="2025-09-02T19:17:52" u="1"/>
        <d v="2025-09-02T19:17:55" u="1"/>
        <d v="2025-09-02T19:17:59" u="1"/>
        <d v="2025-09-04T00:38:36" u="1"/>
        <d v="2025-09-04T00:39:44" u="1"/>
        <d v="2025-09-04T00:39:48" u="1"/>
        <d v="2025-09-04T00:38:55" u="1"/>
        <d v="2025-09-03T12:38:20" u="1"/>
        <d v="2025-09-03T19:07:21" u="1"/>
        <d v="2025-09-03T19:07:38" u="1"/>
        <d v="2025-09-03T19:08:26" u="1"/>
        <d v="2025-09-03T19:08:39" u="1"/>
        <d v="2025-09-03T19:08:46" u="1"/>
        <d v="2025-09-03T19:08:58" u="1"/>
        <d v="2025-09-03T19:09:16" u="1"/>
        <d v="2025-09-03T19:09:33" u="1"/>
        <d v="2025-09-03T12:38:28" u="1"/>
        <d v="2025-09-03T12:38:39" u="1"/>
        <d v="2025-09-03T12:38:44" u="1"/>
        <d v="2025-08-21T11:46:31" u="1"/>
        <d v="2025-09-02T11:07:47" u="1"/>
        <d v="2025-08-21T10:20:46" u="1"/>
        <d v="2025-08-22T18:04:38" u="1"/>
        <d v="2025-08-25T12:10:50" u="1"/>
        <d v="2025-08-25T12:10:53" u="1"/>
        <d v="2025-08-25T18:41:04" u="1"/>
        <d v="2025-09-02T08:43:40" u="1"/>
        <d v="2025-08-29T18:27:10" u="1"/>
        <d v="2025-08-27T18:16:54" u="1"/>
        <d v="2025-08-25T00:01:51" u="1"/>
        <d v="2025-08-25T00:01:53" u="1"/>
        <d v="2025-08-25T00:01:56" u="1"/>
        <d v="2025-08-25T00:01:58" u="1"/>
        <d v="2025-08-25T00:01:55" u="1"/>
        <d v="2025-08-18T20:21:31" u="1"/>
        <d v="2025-08-25T07:46:55" u="1"/>
        <d v="2025-09-03T00:22:54" u="1"/>
        <d v="2025-09-03T00:23:11" u="1"/>
        <d v="2025-09-04T06:03:27" u="1"/>
        <d v="2025-09-04T06:04:11" u="1"/>
        <d v="2025-09-04T06:04:23" u="1"/>
        <d v="2025-09-04T00:05:14" u="1"/>
        <d v="2025-09-03T18:13:16" u="1"/>
        <d v="2025-09-03T18:13:44" u="1"/>
        <d v="2025-09-03T18:13:47" u="1"/>
        <d v="2025-08-29T18:10:04" u="1"/>
        <d v="2025-08-29T18:10:45" u="1"/>
        <d v="2025-09-03T05:01:20" u="1"/>
        <d v="2025-09-03T03:24:18" u="1"/>
        <d v="2025-09-02T07:27:16" u="1"/>
        <d v="2025-09-01T11:31:36" u="1"/>
        <d v="2025-08-11T18:16:16" u="1"/>
        <d v="2025-08-11T18:16:23" u="1"/>
        <d v="2025-08-11T18:16:08" u="1"/>
        <d v="2025-08-01T19:46:17" u="1"/>
        <d v="2025-09-02T16:46:33" u="1"/>
        <d v="2025-09-03T00:41:40" u="1"/>
        <d v="2025-09-02T14:18:49" u="1"/>
        <d v="2025-09-02T16:10:13" u="1"/>
        <d v="2025-09-02T18:37:48" u="1"/>
        <d v="2025-09-02T17:59:52" u="1"/>
        <d v="2025-09-02T17:30:18" u="1"/>
        <d v="2025-09-02T16:39:54" u="1"/>
        <d v="2025-09-02T15:46:01" u="1"/>
        <d v="2025-09-02T12:43:54" u="1"/>
        <d v="2025-09-02T12:39:52" u="1"/>
        <d v="2025-09-02T12:39:54" u="1"/>
        <d v="2025-09-01T17:31:54" u="1"/>
        <d v="2025-08-29T18:02:12" u="1"/>
        <d v="2025-09-02T19:02:59" u="1"/>
        <d v="2025-09-02T19:03:45" u="1"/>
        <d v="2025-07-30T12:58:31" u="1"/>
        <d v="2025-08-14T18:43:25" u="1"/>
        <d v="2025-08-14T18:44:59" u="1"/>
        <d v="2025-08-14T18:45:11" u="1"/>
        <d v="2025-09-02T18:37:27" u="1"/>
        <d v="2025-09-02T11:47:20" u="1"/>
        <d v="2025-09-02T11:47:12" u="1"/>
        <d v="2025-09-02T11:47:16" u="1"/>
        <d v="2025-08-04T16:06:35" u="1"/>
        <d v="2025-09-02T19:37:33" u="1"/>
        <d v="2025-09-02T15:34:04" u="1"/>
        <d v="2025-08-25T18:46:36" u="1"/>
        <d v="2025-08-25T18:46:41" u="1"/>
        <d v="2025-09-02T16:52:16" u="1"/>
        <d v="2025-09-02T12:38:00" u="1"/>
        <d v="2025-09-02T12:38:03" u="1"/>
        <d v="2025-08-30T18:02:37" u="1"/>
        <d v="2025-09-03T06:12:04" u="1"/>
        <d v="2025-09-03T06:09:45" u="1"/>
        <d v="2025-08-21T12:42:47" u="1"/>
        <d v="2025-09-02T18:48:33" u="1"/>
        <d v="2025-09-02T18:55:21" u="1"/>
        <d v="2025-09-03T06:09:18" u="1"/>
        <d v="2025-09-03T06:12:59" u="1"/>
        <d v="2025-09-01T16:01:34" u="1"/>
        <d v="2025-09-01T16:02:39" u="1"/>
        <d v="2025-08-17T16:01:50" u="1"/>
        <d v="2025-08-29T17:31:43" u="1"/>
        <d v="2025-08-28T10:46:06" u="1"/>
        <d v="2025-08-28T10:32:38" u="1"/>
        <d v="2025-08-01T15:18:06" u="1"/>
        <d v="2025-09-01T18:38:50" u="1"/>
        <d v="2025-09-02T12:07:27" u="1"/>
        <d v="2025-09-02T18:10:39" u="1"/>
        <d v="2025-09-02T12:25:44" u="1"/>
        <d v="2025-09-02T12:26:03" u="1"/>
        <d v="2025-09-02T00:28:01" u="1"/>
        <d v="2025-09-02T00:28:04" u="1"/>
        <d v="2025-09-02T19:13:29" u="1"/>
        <d v="2025-09-02T19:14:21" u="1"/>
        <d v="2025-09-02T12:44:09" u="1"/>
        <d v="2025-09-02T12:43:51" u="1"/>
        <d v="2025-07-25T15:55:33" u="1"/>
        <d v="2025-09-01T16:07:19" u="1"/>
        <d v="2025-08-29T18:48:03" u="1"/>
        <d v="2025-08-18T19:02:52" u="1"/>
        <d v="2025-08-07T12:41:08" u="1"/>
        <d v="2025-08-06T12:34:39" u="1"/>
        <d v="2025-08-04T12:26:38" u="1"/>
        <d v="2025-09-02T00:21:26" u="1"/>
        <d v="2025-08-29T18:10:29" u="1"/>
        <d v="2025-09-03T00:22:23" u="1"/>
        <d v="2025-09-03T00:22:58" u="1"/>
        <d v="2025-09-03T00:23:09" u="1"/>
        <d v="2025-09-03T00:23:34" u="1"/>
        <d v="2025-09-01T07:19:19" u="1"/>
        <d v="2025-09-02T03:30:20" u="1"/>
        <d v="2025-08-28T23:02:44" u="1"/>
        <d v="2025-09-01T14:47:34" u="1"/>
        <d v="2025-09-01T14:46:38" u="1"/>
        <d v="2025-09-01T14:46:44" u="1"/>
        <d v="2025-09-01T14:46:51" u="1"/>
        <d v="2025-09-01T14:46:59" u="1"/>
        <d v="2025-09-01T18:36:10" u="1"/>
        <d v="2025-09-01T18:36:14" u="1"/>
        <d v="2025-09-01T18:36:19" u="1"/>
        <d v="2025-09-01T17:34:08" u="1"/>
        <d v="2025-09-01T18:45:48" u="1"/>
        <d v="2025-09-01T18:48:01" u="1"/>
        <d v="2025-09-01T19:32:29" u="1"/>
        <d v="2025-09-01T17:36:35" u="1"/>
        <d v="2025-09-01T17:46:05" u="1"/>
        <d v="2025-09-01T18:23:49" u="1"/>
        <d v="2025-09-01T16:37:51" u="1"/>
        <d v="2025-09-01T17:20:07" u="1"/>
        <d v="2025-09-01T17:23:53" u="1"/>
        <d v="2025-09-01T15:35:51" u="1"/>
        <d v="2025-09-01T15:36:02" u="1"/>
        <d v="2025-09-01T15:25:58" u="1"/>
        <d v="2025-09-01T11:53:53" u="1"/>
        <d v="2025-09-01T13:11:49" u="1"/>
        <d v="2025-09-01T13:00:04" u="1"/>
        <d v="2025-09-01T13:00:05" u="1"/>
        <d v="2025-09-01T10:13:47" u="1"/>
        <d v="2025-09-01T12:49:49" u="1"/>
        <d v="2025-09-01T08:55:46" u="1"/>
        <d v="2025-08-31T10:11:47" u="1"/>
        <d v="2025-08-27T10:37:57" u="1"/>
        <d v="2025-09-01T14:50:56" u="1"/>
        <d v="2025-09-01T12:57:01" u="1"/>
        <d v="2025-08-29T15:55:39" u="1"/>
        <d v="2025-08-18T09:02:22" u="1"/>
        <d v="2025-08-20T16:32:25" u="1"/>
        <d v="2025-08-01T10:06:28" u="1"/>
        <d v="2025-08-01T17:08:00" u="1"/>
        <d v="2025-08-05T13:06:07" u="1"/>
        <d v="2025-08-07T15:06:30" u="1"/>
        <d v="2025-08-01T19:21:00" u="1"/>
        <d v="2025-09-01T14:51:21" u="1"/>
        <d v="2025-08-30T10:02:46" u="1"/>
        <d v="2025-09-01T18:34:15" u="1"/>
        <d v="2025-09-01T20:32:12" u="1"/>
        <d v="2025-09-02T00:06:29" u="1"/>
        <d v="2025-09-01T12:23:12" u="1"/>
        <d v="2025-09-01T12:24:01" u="1"/>
        <d v="2025-09-01T12:24:14" u="1"/>
        <d v="2025-08-29T18:36:45" u="1"/>
        <d v="2025-08-28T18:37:53" u="1"/>
        <d v="2025-09-01T18:24:35" u="1"/>
        <d v="2025-08-25T12:15:31" u="1"/>
        <d v="2025-08-29T13:56:57" u="1"/>
        <d v="2025-08-22T18:03:52" u="1"/>
        <d v="2025-09-01T14:01:25" u="1"/>
        <d v="2025-08-29T18:53:55" u="1"/>
        <d v="2025-09-02T00:23:02" u="1"/>
        <d v="2025-08-30T06:05:45" u="1"/>
        <d v="2025-09-01T18:43:01" u="1"/>
        <d v="2025-08-28T19:05:45" u="1"/>
        <d v="2025-09-01T18:23:59" u="1"/>
        <d v="2025-08-28T12:23:08" u="1"/>
        <d v="2025-09-01T12:20:31" u="1"/>
        <d v="2025-09-01T18:23:08" u="1"/>
        <d v="2025-08-28T12:19:22" u="1"/>
        <d v="2025-09-01T12:52:20" u="1"/>
        <d v="2025-08-29T18:05:19" u="1"/>
        <d v="2025-09-01T18:35:09" u="1"/>
        <d v="2025-08-29T08:20:26" u="1"/>
        <d v="2025-09-01T18:36:53" u="1"/>
        <d v="2025-08-22T13:16:04" u="1"/>
        <d v="2025-09-01T12:59:42" u="1"/>
        <d v="2025-09-01T21:10:20" u="1"/>
        <d v="2025-08-29T12:39:03" u="1"/>
        <d v="2025-09-01T12:56:35" u="1"/>
        <d v="2025-09-01T12:57:09" u="1"/>
        <d v="2025-09-01T12:57:29" u="1"/>
        <d v="2025-08-29T19:11:40" u="1"/>
        <d v="2025-08-29T19:11:58" u="1"/>
        <d v="2025-08-29T19:12:39" u="1"/>
        <d v="2025-08-29T19:12:53" u="1"/>
        <d v="2025-09-01T21:06:13" u="1"/>
        <d v="2025-09-01T21:07:05" u="1"/>
        <d v="2025-09-01T21:07:50" u="1"/>
        <d v="2025-09-01T21:08:04" u="1"/>
        <d v="2025-08-28T12:54:59" u="1"/>
        <d v="2025-08-28T12:55:16" u="1"/>
        <d v="2025-09-01T18:33:10" u="1"/>
        <d v="2025-09-01T15:46:33" u="1"/>
        <d v="2025-09-01T18:35:21" u="1"/>
        <d v="2025-09-01T18:34:57" u="1"/>
        <d v="2025-09-01T18:35:27" u="1"/>
        <d v="2025-08-29T18:32:19" u="1"/>
        <d v="2025-08-29T18:32:29" u="1"/>
        <d v="2025-09-01T18:20:58" u="1"/>
        <d v="2025-09-01T18:21:05" u="1"/>
        <d v="2025-08-28T18:31:58" u="1"/>
        <d v="2025-08-28T18:32:14" u="1"/>
        <d v="2025-08-28T17:10:42" u="1"/>
        <d v="2025-08-28T17:10:46" u="1"/>
        <d v="2025-08-29T15:05:31" u="1"/>
        <d v="2025-08-29T13:58:28" u="1"/>
        <d v="2025-08-26T11:02:43" u="1"/>
        <d v="2025-08-28T17:11:11" u="1"/>
        <d v="2025-09-01T12:32:45" u="1"/>
        <d v="2025-09-01T12:32:51" u="1"/>
        <d v="2025-09-01T12:33:33" u="1"/>
        <d v="2025-08-27T18:32:41" u="1"/>
        <d v="2025-09-01T18:30:26" u="1"/>
        <d v="2025-09-01T18:34:20" u="1"/>
        <d v="2025-08-30T00:22:15" u="1"/>
        <d v="2025-09-01T00:03:07" u="1"/>
        <d v="2025-08-28T18:44:50" u="1"/>
        <d v="2025-09-01T18:35:03" u="1"/>
        <d v="2025-09-01T18:33:21" u="1"/>
        <d v="2025-09-01T18:33:37" u="1"/>
        <d v="2025-08-21T16:15:47" u="1"/>
        <d v="2025-08-25T18:47:58" u="1"/>
        <d v="2025-08-08T10:15:55" u="1"/>
        <d v="2025-08-29T15:16:41" u="1"/>
        <d v="2025-09-01T16:02:21" u="1"/>
        <d v="2025-08-22T16:43:54" u="1"/>
        <d v="2025-09-01T18:32:30" u="1"/>
        <d v="2025-09-01T18:32:41" u="1"/>
        <d v="2025-09-01T18:34:33" u="1"/>
        <d v="2025-09-02T06:03:09" u="1"/>
        <d v="2025-08-29T18:48:55" u="1"/>
        <d v="2025-08-28T12:43:17" u="1"/>
        <d v="2025-08-28T18:56:33" u="1"/>
        <d v="2025-08-29T18:02:24" u="1"/>
        <d v="2025-09-01T12:02:21" u="1"/>
        <d v="2025-09-01T12:02:34" u="1"/>
        <d v="2025-09-01T18:01:49" u="1"/>
        <d v="2025-09-01T12:25:40" u="1"/>
        <d v="2025-09-01T12:26:37" u="1"/>
        <d v="2025-09-01T12:28:02" u="1"/>
        <d v="2025-08-29T00:10:04" u="1"/>
        <d v="2025-08-29T18:38:05" u="1"/>
        <d v="2025-08-29T18:39:18" u="1"/>
        <d v="2025-08-29T12:20:46" u="1"/>
        <d v="2025-07-10T12:14:46" u="1"/>
        <d v="2025-08-28T18:41:02" u="1"/>
        <d v="2025-09-02T00:15:59" u="1"/>
        <d v="2025-09-01T18:27:49" u="1"/>
        <d v="2025-09-01T18:26:25" u="1"/>
        <d v="2025-09-01T18:26:46" u="1"/>
        <d v="2025-08-28T12:29:21" u="1"/>
        <d v="2025-08-28T12:30:29" u="1"/>
        <d v="2025-08-28T19:13:55" u="1"/>
        <d v="2025-08-29T00:19:15" u="1"/>
        <d v="2025-08-29T00:19:26" u="1"/>
        <d v="2025-08-28T12:50:29" u="1"/>
        <d v="2025-08-28T12:50:47" u="1"/>
        <d v="2025-08-28T12:51:57" u="1"/>
        <d v="2025-08-28T12:52:08" u="1"/>
        <d v="2025-08-25T19:33:45" u="1"/>
        <d v="2025-09-01T12:48:29" u="1"/>
        <d v="2025-09-01T12:48:42" u="1"/>
        <d v="2025-09-01T12:48:52" u="1"/>
        <d v="2025-09-01T12:49:43" u="1"/>
        <d v="2025-08-30T06:09:51" u="1"/>
        <d v="2025-08-29T19:07:14" u="1"/>
        <d v="2025-08-28T19:13:47" u="1"/>
        <d v="2025-08-28T19:13:52" u="1"/>
        <d v="2025-08-28T19:16:01" u="1"/>
        <d v="2025-09-01T17:55:54" u="1"/>
        <d v="2025-08-28T16:40:45" u="1"/>
        <d v="2025-09-01T15:28:06" u="1"/>
        <d v="2025-09-01T17:16:13" u="1"/>
        <d v="2025-09-02T00:13:29" u="1"/>
        <d v="2025-09-01T16:07:08" u="1"/>
        <d v="2025-09-01T14:52:58" u="1"/>
        <d v="2025-09-01T13:35:47" u="1"/>
        <d v="2025-09-01T13:36:25" u="1"/>
        <d v="2025-08-29T12:49:57" u="1"/>
        <d v="2025-08-29T11:48:24" u="1"/>
        <d v="2025-08-26T16:18:15" u="1"/>
        <d v="2025-08-28T12:03:11" u="1"/>
        <d v="2025-08-22T17:49:07" u="1"/>
        <d v="2025-08-26T17:32:52" u="1"/>
        <d v="2025-08-26T15:47:32" u="1"/>
        <d v="2025-08-11T11:37:25" u="1"/>
        <d v="2025-08-13T08:47:59" u="1"/>
        <d v="2025-08-12T09:50:00" u="1"/>
        <d v="2025-09-02T00:15:05" u="1"/>
        <d v="2025-09-01T15:52:24" u="1"/>
        <d v="2025-08-15T12:06:39" u="1"/>
        <d v="2025-08-15T12:06:40" u="1"/>
        <d v="2025-08-15T12:07:00" u="1"/>
        <d v="2025-08-26T18:21:51" u="1"/>
        <d v="2025-08-28T18:20:00" u="1"/>
        <d v="2025-09-01T18:10:41" u="1"/>
        <d v="2025-09-02T00:08:04" u="1"/>
        <d v="2025-09-02T00:08:30" u="1"/>
        <d v="2025-09-02T00:08:42" u="1"/>
        <d v="2025-09-02T00:08:52" u="1"/>
        <d v="2025-08-30T00:09:41" u="1"/>
        <d v="2025-08-29T18:10:40" u="1"/>
        <d v="2025-09-01T12:09:12" u="1"/>
        <d v="2025-09-01T12:09:18" u="1"/>
        <d v="2025-09-01T12:09:31" u="1"/>
        <d v="2025-09-01T12:09:39" u="1"/>
        <d v="2025-09-01T12:09:47" u="1"/>
        <d v="2025-09-01T12:09:51" u="1"/>
        <d v="2025-08-28T18:18:09" u="1"/>
        <d v="2025-08-28T18:19:41" u="1"/>
        <d v="2025-08-28T18:19:44" u="1"/>
        <d v="2025-08-29T18:09:36" u="1"/>
        <d v="2025-08-29T18:10:01" u="1"/>
        <d v="2025-08-06T12:10:35" u="1"/>
        <d v="2025-08-06T12:10:39" u="1"/>
        <d v="2025-08-06T12:10:40" u="1"/>
        <d v="2025-08-29T12:10:23" u="1"/>
        <d v="2025-08-30T05:05:02" u="1"/>
        <d v="2025-08-30T05:05:03" u="1"/>
        <d v="2025-08-31T01:01:27" u="1"/>
        <d v="2025-08-29T18:45:09" u="1"/>
        <d v="2025-08-29T18:55:24" u="1"/>
        <d v="2025-08-29T16:01:56" u="1"/>
        <d v="2025-08-29T16:02:14" u="1"/>
        <d v="2025-08-29T16:02:30" u="1"/>
        <d v="2025-08-29T16:02:50" u="1"/>
        <d v="2025-08-29T16:16:49" u="1"/>
        <d v="2025-08-29T16:17:04" u="1"/>
        <d v="2025-08-29T18:18:16" u="1"/>
        <d v="2025-08-29T20:19:27" u="1"/>
        <d v="2025-08-29T18:20:28" u="1"/>
        <d v="2025-08-29T20:19:06" u="1"/>
        <d v="2025-08-29T18:20:10" u="1"/>
        <d v="2025-08-29T12:46:09" u="1"/>
        <d v="2025-08-29T18:27:51" u="1"/>
        <d v="2025-08-29T15:04:11" u="1"/>
        <d v="2025-08-29T15:04:13" u="1"/>
        <d v="2025-08-29T14:14:22" u="1"/>
        <d v="2025-08-29T14:19:54" u="1"/>
        <d v="2025-08-29T14:29:51" u="1"/>
        <d v="2025-08-30T12:17:44" u="1"/>
        <d v="2025-08-30T14:59:45" u="1"/>
        <d v="2025-08-30T15:03:44" u="1"/>
        <d v="2025-08-30T15:47:54" u="1"/>
        <d v="2025-08-29T19:19:53" u="1"/>
        <d v="2025-08-29T19:19:54" u="1"/>
        <d v="2025-08-29T19:27:47" u="1"/>
        <d v="2025-08-30T18:33:44" u="1"/>
        <d v="2025-08-30T18:33:45" u="1"/>
        <d v="2025-08-30T18:33:46" u="1"/>
        <d v="2025-08-30T18:57:43" u="1"/>
        <d v="2025-08-31T11:11:44" u="1"/>
        <d v="2025-08-30T12:25:44" u="1"/>
        <d v="2025-08-29T18:59:50" u="1"/>
        <d v="2025-08-29T17:51:49" u="1"/>
        <d v="2025-08-29T11:10:02" u="1"/>
        <d v="2025-08-29T11:21:50" u="1"/>
        <d v="2025-08-29T11:23:52" u="1"/>
        <d v="2025-08-29T12:22:07" u="1"/>
        <d v="2025-08-29T08:27:46" u="1"/>
        <d v="2025-08-29T16:53:50" u="1"/>
        <d v="2025-08-29T17:14:08" u="1"/>
        <d v="2025-08-29T17:14:10" u="1"/>
        <d v="2025-08-29T17:23:55" u="1"/>
        <d v="2025-08-29T17:24:13" u="1"/>
        <d v="2025-08-29T17:27:51" u="1"/>
        <d v="2025-08-29T17:28:01" u="1"/>
        <d v="2025-08-29T16:21:53" u="1"/>
        <d v="2025-08-29T16:23:58" u="1"/>
        <d v="2025-08-20T17:37:54" u="1"/>
        <d v="2025-08-21T15:06:33" u="1"/>
        <d v="2025-08-25T17:48:09" u="1"/>
        <d v="2025-08-25T17:48:28" u="1"/>
        <d v="2025-08-25T18:01:50" u="1"/>
        <d v="2025-08-25T18:02:13" u="1"/>
        <d v="2025-08-25T20:01:42" u="1"/>
        <d v="2025-08-29T18:19:59" u="1"/>
        <d v="2025-08-29T18:18:34" u="1"/>
        <d v="2025-08-29T11:04:07" u="1"/>
        <d v="2025-08-25T12:15:40" u="1"/>
        <d v="2025-08-29T15:19:22" u="1"/>
        <d v="2025-08-29T15:19:29" u="1"/>
        <d v="2025-08-23T12:21:31" u="1"/>
        <d v="2025-08-29T12:03:52" u="1"/>
        <d v="2025-08-29T19:17:12" u="1"/>
        <d v="2025-08-29T20:20:42" u="1"/>
        <d v="2025-08-29T11:52:24" u="1"/>
        <d v="2025-08-29T15:19:36" u="1"/>
        <d v="2025-08-22T18:31:14" u="1"/>
        <d v="2025-08-22T12:02:09" u="1"/>
        <d v="2025-08-22T12:01:08" u="1"/>
        <d v="2025-08-25T08:30:54" u="1"/>
        <d v="2025-08-29T15:11:54" u="1"/>
        <d v="2025-08-29T08:20:36" u="1"/>
        <d v="2025-08-29T14:03:00" u="1"/>
        <d v="2025-08-28T19:18:44" u="1"/>
        <d v="2025-08-29T15:20:24" u="1"/>
        <d v="2025-08-29T16:47:31" u="1"/>
        <d v="2025-08-28T18:31:57" u="1"/>
        <d v="2025-08-28T19:16:28" u="1"/>
        <d v="2025-08-29T20:04:58" u="1"/>
        <d v="2025-08-29T20:19:46" u="1"/>
        <d v="2025-08-29T20:19:53" u="1"/>
        <d v="2025-08-29T15:21:54" u="1"/>
        <d v="2025-08-30T10:03:21" u="1"/>
        <d v="2025-08-30T00:09:26" u="1"/>
        <d v="2025-08-28T17:21:13" u="1"/>
        <d v="2025-08-28T17:37:23" u="1"/>
        <d v="2025-08-28T19:04:40" u="1"/>
        <d v="2025-08-28T18:48:35" u="1"/>
        <d v="2025-08-26T19:48:09" u="1"/>
        <d v="2025-08-28T17:45:12" u="1"/>
        <d v="2025-08-28T17:46:39" u="1"/>
        <d v="2025-08-28T17:45:08" u="1"/>
        <d v="2025-08-28T10:02:08" u="1"/>
        <d v="2025-08-28T15:37:52" u="1"/>
        <d v="2025-08-28T12:24:48" u="1"/>
        <d v="2025-08-06T00:16:49" u="1"/>
        <d v="2025-08-06T00:20:49" u="1"/>
        <d v="2025-08-28T18:58:59" u="1"/>
        <d v="2025-08-11T17:47:23" u="1"/>
        <d v="2025-08-06T14:31:15" u="1"/>
        <d v="2025-08-05T09:31:41" u="1"/>
        <d v="2025-08-04T18:45:50" u="1"/>
        <d v="2025-08-28T15:01:37" u="1"/>
        <d v="2025-08-11T17:31:40" u="1"/>
        <d v="2025-08-28T16:46:38" u="1"/>
        <d v="2025-08-27T16:47:09" u="1"/>
        <d v="2025-08-28T10:31:26" u="1"/>
        <d v="2025-08-26T14:01:20" u="1"/>
        <d v="2025-08-26T10:16:17" u="1"/>
        <d v="2025-08-28T18:19:16" u="1"/>
        <d v="2025-08-15T09:33:06" u="1"/>
        <d v="2025-08-15T09:47:00" u="1"/>
        <d v="2025-08-15T09:49:09" u="1"/>
        <d v="2025-08-15T09:51:32" u="1"/>
        <d v="2025-08-28T13:31:15" u="1"/>
        <d v="2025-08-28T16:31:15" u="1"/>
        <d v="2025-08-07T19:00:48" u="1"/>
        <d v="2025-08-28T10:31:51" u="1"/>
        <d v="2025-08-25T11:00:56" u="1"/>
        <d v="2025-08-28T17:34:27" u="1"/>
        <d v="2025-08-28T10:33:54" u="1"/>
        <d v="2025-08-28T10:34:00" u="1"/>
        <d v="2025-08-29T00:12:35" u="1"/>
        <d v="2025-08-28T15:51:09" u="1"/>
        <d v="2025-08-28T18:03:00" u="1"/>
        <d v="2025-08-28T11:57:06" u="1"/>
        <d v="2025-08-28T10:28:08" u="1"/>
        <d v="2025-08-25T15:01:40" u="1"/>
        <d v="2025-08-28T15:16:57" u="1"/>
        <d v="2025-08-28T17:10:53" u="1"/>
        <d v="2025-08-28T15:17:38" u="1"/>
        <d v="2025-08-26T19:24:15" u="1"/>
        <d v="2025-08-26T19:24:17" u="1"/>
        <d v="2025-08-26T19:24:20" u="1"/>
        <d v="2025-08-26T19:24:34" u="1"/>
        <d v="2025-08-29T00:14:42" u="1"/>
        <d v="2025-08-28T06:16:59" u="1"/>
        <d v="2025-08-28T15:14:35" u="1"/>
        <d v="2025-08-28T15:14:37" u="1"/>
        <d v="2025-08-28T10:23:08" u="1"/>
        <d v="2025-08-28T10:17:56" u="1"/>
        <d v="2025-07-24T15:00:38" u="1"/>
        <d v="2025-07-28T14:00:35" u="1"/>
        <d v="2025-07-28T14:00:36" u="1"/>
        <d v="2025-07-31T10:00:41" u="1"/>
        <d v="2025-07-31T10:00:42" u="1"/>
        <d v="2025-07-31T10:00:45" u="1"/>
        <d v="2025-07-31T10:00:46" u="1"/>
        <d v="2025-07-31T10:00:47" u="1"/>
        <d v="2025-07-18T15:02:18" u="1"/>
        <d v="2025-07-22T18:00:41" u="1"/>
        <d v="2025-07-22T18:00:43" u="1"/>
        <d v="2025-07-23T10:00:33" u="1"/>
        <d v="2025-07-16T18:04:07" u="1"/>
        <d v="2025-08-25T12:05:19" u="1"/>
        <d v="2025-08-27T12:03:20" u="1"/>
        <d v="2025-08-26T12:05:31" u="1"/>
        <d v="2025-08-27T18:04:34" u="1"/>
        <d v="2025-08-27T18:07:04" u="1"/>
        <d v="2025-08-13T00:18:13" u="1"/>
        <d v="2025-08-28T12:41:49" u="1"/>
        <d v="2025-08-28T06:09:07" u="1"/>
        <d v="2025-08-27T12:05:04" u="1"/>
        <d v="2025-08-28T06:10:06" u="1"/>
        <d v="2025-08-28T18:19:53" u="1"/>
        <d v="2025-08-28T18:42:11" u="1"/>
        <d v="2025-08-29T00:10:15" u="1"/>
        <d v="2025-08-28T17:05:53" u="1"/>
        <d v="2025-08-28T17:06:05" u="1"/>
        <d v="2025-08-28T17:03:18" u="1"/>
        <d v="2025-08-28T18:31:10" u="1"/>
        <d v="2025-08-28T17:28:08" u="1"/>
        <d v="2025-08-28T16:35:58" u="1"/>
        <d v="2025-08-28T17:49:56" u="1"/>
        <d v="2025-08-28T17:49:58" u="1"/>
        <d v="2025-08-27T16:01:55" u="1"/>
        <d v="2025-08-28T16:37:55" u="1"/>
        <d v="2025-08-28T16:46:16" u="1"/>
        <d v="2025-08-28T15:43:25" u="1"/>
        <d v="2025-08-28T16:04:18" u="1"/>
        <d v="2025-08-28T17:54:05" u="1"/>
        <d v="2025-08-28T09:53:48" u="1"/>
        <d v="2025-08-28T16:29:55" u="1"/>
        <d v="2025-08-28T16:00:49" u="1"/>
        <d v="2025-08-28T18:32:43" u="1"/>
        <d v="2025-08-28T18:34:51" u="1"/>
        <d v="2025-08-28T14:45:50" u="1"/>
        <d v="2025-08-28T14:01:59" u="1"/>
        <d v="2025-08-28T17:46:12" u="1"/>
        <d v="2025-08-27T16:33:57" u="1"/>
        <d v="2025-08-28T12:06:08" u="1"/>
        <d v="2025-08-28T19:49:52" u="1"/>
        <d v="2025-08-28T16:37:57" u="1"/>
        <d v="2025-08-28T15:55:36" u="1"/>
        <d v="2025-08-28T16:47:56" u="1"/>
        <d v="2025-08-28T16:13:56" u="1"/>
        <d v="2025-08-15T18:48:14" u="1"/>
        <d v="2025-08-29T01:01:26" u="1"/>
        <d v="2025-08-28T10:07:57" u="1"/>
        <d v="2025-08-28T13:36:12" u="1"/>
        <d v="2025-08-27T17:28:15" u="1"/>
        <d v="2025-08-28T18:32:57" u="1"/>
        <d v="2025-08-28T18:33:29" u="1"/>
        <d v="2025-08-28T10:35:40" u="1"/>
        <d v="2025-08-28T17:31:25" u="1"/>
        <d v="2025-08-18T12:46:42" u="1"/>
        <d v="2025-08-28T18:33:50" u="1"/>
        <d v="2025-08-28T10:02:35" u="1"/>
        <d v="2025-08-28T10:55:57" u="1"/>
        <d v="2025-08-28T18:03:32" u="1"/>
        <d v="2025-08-14T11:47:14" u="1"/>
        <d v="2025-08-29T00:15:56" u="1"/>
        <d v="2025-08-28T03:15:18" u="1"/>
        <d v="2025-08-28T12:34:15" u="1"/>
        <d v="2025-08-28T08:21:44" u="1"/>
        <d v="2025-08-26T13:20:16" u="1"/>
        <d v="2025-08-27T12:55:52" u="1"/>
        <d v="2025-08-28T13:47:47" u="1"/>
        <d v="2025-08-28T15:08:45" u="1"/>
        <d v="2025-08-28T17:57:50" u="1"/>
        <d v="2025-08-28T18:00:07" u="1"/>
        <d v="2025-08-26T13:05:52" u="1"/>
        <d v="2025-08-28T16:46:31" u="1"/>
        <d v="2025-08-28T09:07:45" u="1"/>
        <d v="2025-08-28T19:51:51" u="1"/>
        <d v="2025-08-28T16:41:52" u="1"/>
        <d v="2025-08-28T10:15:50" u="1"/>
        <d v="2025-08-27T16:26:00" u="1"/>
        <d v="2025-08-27T17:57:49" u="1"/>
        <d v="2025-08-28T13:51:47" u="1"/>
        <d v="2025-08-26T09:33:49" u="1"/>
        <d v="2025-08-28T18:08:55" u="1"/>
        <d v="2025-08-28T18:08:56" u="1"/>
        <d v="2025-08-27T12:53:54" u="1"/>
        <d v="2025-08-25T18:02:25" u="1"/>
        <d v="2025-08-28T18:34:31" u="1"/>
        <d v="2025-08-28T18:03:39" u="1"/>
        <d v="2025-08-25T12:06:18" u="1"/>
        <d v="2025-08-28T18:03:44" u="1"/>
        <d v="2025-08-28T18:03:19" u="1"/>
        <d v="2025-08-28T15:54:55" u="1"/>
        <d v="2025-08-28T10:23:39" u="1"/>
        <d v="2025-08-05T23:04:56" u="1"/>
        <d v="2025-08-25T11:18:55" u="1"/>
        <d v="2025-08-27T12:17:55" u="1"/>
        <d v="2025-08-27T10:56:11" u="1"/>
        <d v="2025-08-26T19:47:14" u="1"/>
        <d v="2025-08-26T00:19:10" u="1"/>
        <d v="2025-08-26T12:54:27" u="1"/>
        <d v="2025-08-26T12:54:58" u="1"/>
        <d v="2025-08-27T10:46:13" u="1"/>
        <d v="2025-08-27T10:46:18" u="1"/>
        <d v="2025-08-27T10:32:02" u="1"/>
        <d v="2025-08-25T19:15:18" u="1"/>
        <d v="2025-08-27T12:28:23" u="1"/>
        <d v="2025-08-27T00:14:33" u="1"/>
        <d v="2025-08-26T19:20:55" u="1"/>
        <d v="2025-08-26T00:15:56" u="1"/>
        <d v="2025-08-27T18:47:27" u="1"/>
        <d v="2025-08-27T11:32:16" u="1"/>
        <d v="2025-08-27T12:35:00" u="1"/>
        <d v="2025-08-27T12:35:31" u="1"/>
        <d v="2025-08-27T12:35:36" u="1"/>
        <d v="2025-08-26T17:01:56" u="1"/>
        <d v="2025-08-27T23:25:41" u="1"/>
        <d v="2025-08-27T17:20:55" u="1"/>
        <d v="2025-08-26T10:56:38" u="1"/>
        <d v="2025-08-25T22:46:35" u="1"/>
        <d v="2025-08-26T17:00:59" u="1"/>
        <d v="2025-08-28T06:10:41" u="1"/>
        <d v="2025-08-28T06:11:05" u="1"/>
        <d v="2025-08-26T12:24:42" u="1"/>
        <d v="2025-08-27T14:02:36" u="1"/>
        <d v="2025-08-26T09:01:19" u="1"/>
        <d v="2025-08-27T11:46:30" u="1"/>
        <d v="2025-08-26T11:17:35" u="1"/>
        <d v="2025-08-26T17:47:46" u="1"/>
        <d v="2025-08-27T18:25:46" u="1"/>
        <d v="2025-08-27T12:18:52" u="1"/>
        <d v="2025-08-26T12:29:45" u="1"/>
        <d v="2025-08-25T18:52:45" u="1"/>
        <d v="2025-08-25T18:52:21" u="1"/>
        <d v="2025-08-26T18:39:29" u="1"/>
        <d v="2025-08-26T19:26:23" u="1"/>
        <d v="2025-08-26T19:36:00" u="1"/>
        <d v="2025-08-27T18:51:39" u="1"/>
        <d v="2025-08-26T12:45:52" u="1"/>
        <d v="2025-08-26T12:45:56" u="1"/>
        <d v="2025-08-26T16:16:58" u="1"/>
        <d v="2025-08-12T09:01:09" u="1"/>
        <d v="2025-08-27T16:47:12" u="1"/>
        <d v="2025-08-22T16:01:14" u="1"/>
        <d v="2025-08-22T18:30:58" u="1"/>
        <d v="2025-08-19T16:00:54" u="1"/>
        <d v="2025-08-26T11:16:05" u="1"/>
        <d v="2025-08-25T15:01:02" u="1"/>
        <d v="2025-08-26T11:16:10" u="1"/>
        <d v="2025-08-27T09:31:19" u="1"/>
        <d v="2025-08-21T16:30:48" u="1"/>
        <d v="2025-08-26T18:45:59" u="1"/>
        <d v="2025-08-27T09:31:23" u="1"/>
        <d v="2025-08-22T17:47:23" u="1"/>
        <d v="2025-08-26T15:03:45" u="1"/>
        <d v="2025-08-27T17:48:19" u="1"/>
        <d v="2025-08-28T06:16:24" u="1"/>
        <d v="2025-08-27T18:21:59" u="1"/>
        <d v="2025-08-28T06:16:35" u="1"/>
        <d v="2025-08-26T18:34:36" u="1"/>
        <d v="2025-08-25T18:46:26" u="1"/>
        <d v="2025-08-26T12:27:06" u="1"/>
        <d v="2025-08-25T18:44:44" u="1"/>
        <d v="2025-08-25T18:45:03" u="1"/>
        <d v="2025-08-26T10:00:39" u="1"/>
        <d v="2025-08-26T10:00:42" u="1"/>
        <d v="2025-08-25T16:02:51" u="1"/>
        <d v="2025-08-27T12:23:57" u="1"/>
        <d v="2025-08-20T06:15:06" u="1"/>
        <d v="2025-08-20T18:29:42" u="1"/>
        <d v="2025-08-21T12:44:11" u="1"/>
        <d v="2025-08-26T12:39:19" u="1"/>
        <d v="2025-08-15T18:35:30" u="1"/>
        <d v="2025-08-26T18:48:46" u="1"/>
        <d v="2025-08-27T18:32:56" u="1"/>
        <d v="2025-08-26T19:04:42" u="1"/>
        <d v="2025-08-14T18:38:10" u="1"/>
        <d v="2025-08-22T00:19:55" u="1"/>
        <d v="2025-08-22T12:31:57" u="1"/>
        <d v="2025-08-26T18:47:34" u="1"/>
        <d v="2025-08-27T18:24:37" u="1"/>
        <d v="2025-08-26T18:37:15" u="1"/>
        <d v="2025-08-25T18:02:47" u="1"/>
        <d v="2025-08-25T18:03:17" u="1"/>
        <d v="2025-08-25T18:04:49" u="1"/>
        <d v="2025-08-27T18:01:53" u="1"/>
        <d v="2025-08-25T18:47:57" u="1"/>
        <d v="2025-08-28T00:08:43" u="1"/>
        <d v="2025-08-26T12:27:24" u="1"/>
        <d v="2025-08-26T12:48:41" u="1"/>
        <d v="2025-08-25T19:33:42" u="1"/>
        <d v="2025-08-25T19:33:54" u="1"/>
        <d v="2025-08-27T19:03:24" u="1"/>
        <d v="2025-08-26T19:42:00" u="1"/>
        <d v="2025-08-26T19:42:06" u="1"/>
        <d v="2025-08-27T12:31:42" u="1"/>
        <d v="2025-08-27T12:31:44" u="1"/>
        <d v="2025-08-27T12:32:07" u="1"/>
        <d v="2025-08-27T18:44:43" u="1"/>
        <d v="2025-08-26T18:48:08" u="1"/>
        <d v="2025-08-21T08:19:13" u="1"/>
        <d v="2025-08-21T08:47:21" u="1"/>
        <d v="2025-08-20T13:03:30" u="1"/>
        <d v="2025-08-18T10:03:06" u="1"/>
        <d v="2025-08-18T10:03:15" u="1"/>
        <d v="2025-08-22T15:47:29" u="1"/>
        <d v="2025-08-25T09:33:34" u="1"/>
        <d v="2025-08-28T06:10:20" u="1"/>
        <d v="2025-08-28T06:10:21" u="1"/>
        <d v="2025-08-26T12:10:33" u="1"/>
        <d v="2025-08-25T18:20:12" u="1"/>
        <d v="2025-08-25T18:20:15" u="1"/>
        <d v="2025-08-25T18:20:58" u="1"/>
        <d v="2025-08-26T18:21:32" u="1"/>
        <d v="2025-08-26T18:21:47" u="1"/>
        <d v="2025-08-26T18:21:55" u="1"/>
        <d v="2025-08-26T18:22:11" u="1"/>
        <d v="2025-08-27T12:05:25" u="1"/>
        <d v="2025-08-28T06:09:40" u="1"/>
        <d v="2025-08-28T06:09:49" u="1"/>
        <d v="2025-08-28T06:10:01" u="1"/>
        <d v="2025-08-28T06:08:09" u="1"/>
        <d v="2025-08-28T06:08:41" u="1"/>
        <d v="2025-08-28T06:08:50" u="1"/>
        <d v="2025-08-28T06:08:53" u="1"/>
        <d v="2025-08-27T06:03:57" u="1"/>
        <d v="2025-08-28T06:10:25" u="1"/>
        <d v="2025-08-27T12:21:28" u="1"/>
        <d v="2025-08-26T18:44:45" u="1"/>
        <d v="2025-08-26T00:10:43" u="1"/>
        <d v="2025-08-26T18:41:59" u="1"/>
        <d v="2025-08-26T00:11:01" u="1"/>
        <d v="2025-08-25T18:53:31" u="1"/>
        <d v="2025-08-26T00:10:30" u="1"/>
        <d v="2025-08-27T12:20:52" u="1"/>
        <d v="2025-08-07T17:09:00" u="1"/>
        <d v="2025-08-13T12:33:00" u="1"/>
        <d v="2025-08-12T18:08:58" u="1"/>
        <d v="2025-08-27T18:23:37" u="1"/>
        <d v="2025-08-27T18:28:21" u="1"/>
        <d v="2025-08-27T00:11:08" u="1"/>
        <d v="2025-08-27T00:11:44" u="1"/>
        <d v="2025-08-28T00:10:38" u="1"/>
        <d v="2025-08-27T00:12:30" u="1"/>
        <d v="2025-08-27T00:12:34" u="1"/>
        <d v="2025-08-27T00:12:38" u="1"/>
        <d v="2025-08-27T00:12:43" u="1"/>
        <d v="2025-08-27T00:12:47" u="1"/>
        <d v="2025-08-13T11:02:21" u="1"/>
        <d v="2025-08-21T16:58:31" u="1"/>
        <d v="2025-08-26T16:17:50" u="1"/>
        <d v="2025-08-27T08:31:54" u="1"/>
        <d v="2025-08-25T10:17:34" u="1"/>
        <d v="2025-08-27T17:21:37" u="1"/>
        <d v="2025-08-26T18:23:51" u="1"/>
        <d v="2025-08-27T12:29:55" u="1"/>
        <d v="2025-08-27T17:23:52" u="1"/>
        <d v="2025-08-27T09:36:03" u="1"/>
        <d v="2025-08-26T10:41:52" u="1"/>
        <d v="2025-08-27T12:58:03" u="1"/>
        <d v="2025-08-27T17:00:01" u="1"/>
        <d v="2025-08-26T16:31:54" u="1"/>
        <d v="2025-08-15T11:22:51" u="1"/>
        <d v="2025-07-25T17:02:24" u="1"/>
        <d v="2025-08-27T19:37:32" u="1"/>
        <d v="2025-08-27T19:37:17" u="1"/>
        <d v="2025-08-27T19:16:12" u="1"/>
        <d v="2025-08-26T20:34:07" u="1"/>
        <d v="2025-08-26T20:46:35" u="1"/>
        <d v="2025-08-27T16:59:57" u="1"/>
        <d v="2025-08-26T10:06:25" u="1"/>
        <d v="2025-08-26T09:17:45" u="1"/>
        <d v="2025-08-27T17:30:03" u="1"/>
        <d v="2025-08-27T13:41:55" u="1"/>
        <d v="2025-08-27T14:01:52" u="1"/>
        <d v="2025-08-27T09:47:47" u="1"/>
        <d v="2025-08-27T12:42:01" u="1"/>
        <d v="2025-08-27T12:44:01" u="1"/>
        <d v="2025-08-19T19:35:29" u="1"/>
        <d v="2025-08-19T19:54:51" u="1"/>
        <d v="2025-08-27T16:16:07" u="1"/>
        <d v="2025-08-27T19:33:52" u="1"/>
        <d v="2025-08-27T15:05:57" u="1"/>
        <d v="2025-08-14T15:15:14" u="1"/>
        <d v="2025-08-27T16:57:48" u="1"/>
        <d v="2025-08-26T09:46:22" u="1"/>
        <d v="2025-08-27T13:04:00" u="1"/>
        <d v="2025-08-27T09:47:05" u="1"/>
        <d v="2025-08-15T19:02:59" u="1"/>
        <d v="2025-08-27T19:35:52" u="1"/>
        <d v="2025-08-15T16:10:39" u="1"/>
        <d v="2025-08-15T16:10:45" u="1"/>
        <d v="2025-08-14T21:19:22" u="1"/>
        <d v="2025-08-15T16:09:59" u="1"/>
        <d v="2025-08-21T20:33:08" u="1"/>
        <d v="2025-08-25T16:48:10" u="1"/>
        <d v="2025-08-15T17:33:58" u="1"/>
        <d v="2025-08-27T12:36:04" u="1"/>
        <d v="2025-08-27T18:55:33" u="1"/>
        <d v="2025-08-27T17:05:18" u="1"/>
        <d v="2025-08-15T17:21:05" u="1"/>
        <d v="2025-08-15T17:19:58" u="1"/>
        <d v="2025-08-15T16:10:12" u="1"/>
        <d v="2025-08-27T14:32:00" u="1"/>
        <d v="2025-08-15T16:09:32" u="1"/>
        <d v="2025-08-19T12:17:04" u="1"/>
        <d v="2025-08-15T17:33:50" u="1"/>
        <d v="2025-08-15T17:33:33" u="1"/>
        <d v="2025-08-15T17:33:03" u="1"/>
        <d v="2025-08-15T17:33:22" u="1"/>
        <d v="2025-08-15T16:14:28" u="1"/>
        <d v="2025-08-15T16:10:28" u="1"/>
        <d v="2025-08-15T19:19:13" u="1"/>
        <d v="2025-07-07T18:30:42" u="1"/>
        <d v="2025-08-16T21:40:32" u="1"/>
        <d v="2025-08-27T15:59:52" u="1"/>
        <d v="2025-08-27T09:09:46" u="1"/>
        <d v="2025-08-26T17:41:54" u="1"/>
        <d v="2025-08-27T10:05:48" u="1"/>
        <d v="2025-08-27T18:45:58" u="1"/>
        <d v="2025-08-26T10:31:52" u="1"/>
        <d v="2025-08-27T14:33:54" u="1"/>
        <d v="2025-08-27T14:38:10" u="1"/>
        <d v="2025-08-26T17:45:57" u="1"/>
        <d v="2025-08-27T12:56:27" u="1"/>
        <d v="2025-08-26T15:41:50" u="1"/>
        <d v="2025-08-26T18:44:51" u="1"/>
        <d v="2025-08-27T13:16:56" u="1"/>
        <d v="2025-08-27T17:39:58" u="1"/>
        <d v="2025-08-27T18:17:12" u="1"/>
        <d v="2025-08-15T17:20:11" u="1"/>
        <d v="2025-08-27T13:18:08" u="1"/>
        <d v="2025-08-27T11:55:41" u="1"/>
        <d v="2025-08-26T16:17:03" u="1"/>
        <d v="2025-08-28T00:14:01" u="1"/>
        <d v="2025-08-05T16:11:09" u="1"/>
        <d v="2025-08-17T20:04:42" u="1"/>
        <d v="2025-08-26T18:17:10" u="1"/>
        <d v="2025-08-04T17:02:56" u="1"/>
        <d v="2025-08-04T17:04:45" u="1"/>
        <d v="2025-08-22T16:16:52" u="1"/>
        <d v="2025-08-21T18:23:42" u="1"/>
        <d v="2025-08-25T08:46:13" u="1"/>
        <d v="2025-08-25T08:46:19" u="1"/>
        <d v="2025-08-26T08:01:27" u="1"/>
        <d v="2025-08-27T00:10:04" u="1"/>
        <d v="2025-08-26T18:05:48" u="1"/>
        <d v="2025-07-31T18:50:17" u="1"/>
        <d v="2025-08-22T09:32:04" u="1"/>
        <d v="2025-08-21T08:17:18" u="1"/>
        <d v="2025-08-21T08:31:17" u="1"/>
        <d v="2025-08-22T16:46:14" u="1"/>
        <d v="2025-08-21T12:32:10" u="1"/>
        <d v="2025-08-22T13:16:19" u="1"/>
        <d v="2025-08-22T11:30:35" u="1"/>
        <d v="2025-08-22T11:31:12" u="1"/>
        <d v="2025-08-22T11:45:52" u="1"/>
        <d v="2025-08-26T16:15:46" u="1"/>
        <d v="2025-08-26T11:31:50" u="1"/>
        <d v="2025-08-26T14:01:32" u="1"/>
        <d v="2025-08-22T05:31:21" u="1"/>
        <d v="2025-08-26T18:46:03" u="1"/>
        <d v="2025-08-22T19:30:33" u="1"/>
        <d v="2025-08-26T08:17:07" u="1"/>
        <d v="2025-08-22T13:46:16" u="1"/>
        <d v="2025-08-26T08:32:32" u="1"/>
        <d v="2025-08-25T16:46:36" u="1"/>
        <d v="2025-08-27T00:16:17" u="1"/>
        <d v="2025-08-27T00:16:21" u="1"/>
        <d v="2025-08-27T00:16:22" u="1"/>
        <d v="2025-08-27T00:16:26" u="1"/>
        <d v="2025-08-27T00:16:29" u="1"/>
        <d v="2025-08-27T06:10:05" u="1"/>
        <d v="2025-08-27T06:10:08" u="1"/>
        <d v="2025-08-27T06:10:11" u="1"/>
        <d v="2025-08-21T17:03:36" u="1"/>
        <d v="2025-08-11T09:00:58" u="1"/>
        <d v="2025-08-11T09:01:03" u="1"/>
        <d v="2025-07-29T09:01:00" u="1"/>
        <d v="2025-07-29T09:01:02" u="1"/>
        <d v="2025-07-29T09:01:04" u="1"/>
        <d v="2025-07-30T10:01:00" u="1"/>
        <d v="2025-07-31T10:00:50" u="1"/>
        <d v="2025-07-28T14:00:37" u="1"/>
        <d v="2025-07-28T14:00:38" u="1"/>
        <d v="2025-07-28T14:00:39" u="1"/>
        <d v="2025-07-28T14:00:40" u="1"/>
        <d v="2025-07-28T14:00:41" u="1"/>
        <d v="2025-07-28T14:00:42" u="1"/>
        <d v="2025-07-28T16:00:37" u="1"/>
        <d v="2025-07-18T15:02:11" u="1"/>
        <d v="2025-07-18T15:02:12" u="1"/>
        <d v="2025-07-18T15:02:13" u="1"/>
        <d v="2025-07-18T16:02:18" u="1"/>
        <d v="2025-07-18T16:02:19" u="1"/>
        <d v="2025-07-22T17:01:04" u="1"/>
        <d v="2025-08-15T17:02:07" u="1"/>
        <d v="2025-08-25T16:02:01" u="1"/>
        <d v="2025-08-26T09:01:08" u="1"/>
        <d v="2025-08-14T16:47:19" u="1"/>
        <d v="2025-08-26T17:47:29" u="1"/>
        <d v="2025-08-26T17:47:34" u="1"/>
        <d v="2025-08-08T10:46:54" u="1"/>
        <d v="2025-08-06T15:32:23" u="1"/>
        <d v="2025-08-26T16:17:53" u="1"/>
        <d v="2025-08-26T19:48:16" u="1"/>
        <d v="2025-08-26T11:03:21" u="1"/>
        <d v="2025-08-26T16:23:49" u="1"/>
        <d v="2025-08-26T00:04:49" u="1"/>
        <d v="2025-08-27T00:06:16" u="1"/>
        <d v="2025-08-15T17:34:06" u="1"/>
        <d v="2025-08-26T19:46:40" u="1"/>
        <d v="2025-08-25T14:17:06" u="1"/>
        <d v="2025-08-26T18:33:37" u="1"/>
        <d v="2025-08-12T10:04:54" u="1"/>
        <d v="2025-08-26T18:29:50" u="1"/>
        <d v="2025-08-26T15:55:49" u="1"/>
        <d v="2025-08-26T17:11:51" u="1"/>
        <d v="2025-08-26T14:37:51" u="1"/>
        <d v="2025-08-14T18:01:37" u="1"/>
        <d v="2025-08-13T17:25:48" u="1"/>
        <d v="2025-08-26T16:11:56" u="1"/>
        <d v="2025-08-26T18:54:11" u="1"/>
        <d v="2025-08-26T16:23:48" u="1"/>
        <d v="2025-08-26T19:46:23" u="1"/>
        <d v="2025-08-26T19:32:21" u="1"/>
        <d v="2025-08-26T11:33:15" u="1"/>
        <d v="2025-08-26T11:02:05" u="1"/>
        <d v="2025-08-25T18:49:02" u="1"/>
        <d v="2025-08-14T11:56:32" u="1"/>
        <d v="2025-08-26T20:37:46" u="1"/>
        <d v="2025-08-26T19:46:35" u="1"/>
        <d v="2025-08-04T11:41:37" u="1"/>
        <d v="2025-08-04T11:41:40" u="1"/>
        <d v="2025-08-26T08:32:04" u="1"/>
        <d v="2025-08-26T11:33:18" u="1"/>
        <d v="2025-08-26T08:16:49" u="1"/>
        <d v="2025-08-15T15:25:38" u="1"/>
        <d v="2025-08-20T19:32:13" u="1"/>
        <d v="2025-08-25T13:47:16" u="1"/>
        <d v="2025-08-25T14:03:11" u="1"/>
        <d v="2025-08-25T16:59:16" u="1"/>
        <d v="2025-08-25T19:47:03" u="1"/>
        <d v="2025-08-19T17:36:08" u="1"/>
        <d v="2025-08-20T17:55:12" u="1"/>
        <d v="2025-08-20T18:06:59" u="1"/>
        <d v="2025-08-25T16:41:53" u="1"/>
        <d v="2025-08-25T16:42:54" u="1"/>
        <d v="2025-08-25T18:02:34" u="1"/>
        <d v="2025-08-25T16:42:25" u="1"/>
        <d v="2025-08-22T11:16:25" u="1"/>
        <d v="2025-08-19T14:55:33" u="1"/>
        <d v="2025-08-25T16:55:34" u="1"/>
        <d v="2025-08-25T19:23:52" u="1"/>
        <d v="2025-08-22T13:04:52" u="1"/>
        <d v="2025-08-18T19:54:28" u="1"/>
        <d v="2025-08-25T19:06:14" u="1"/>
        <d v="2025-08-25T17:45:49" u="1"/>
        <d v="2025-08-25T17:45:59" u="1"/>
        <d v="2025-08-19T16:16:04" u="1"/>
        <d v="2025-08-25T10:45:09" u="1"/>
        <d v="2025-08-25T13:44:51" u="1"/>
        <d v="2025-08-21T16:01:37" u="1"/>
        <d v="2025-08-25T17:01:26" u="1"/>
        <d v="2025-08-25T18:01:30" u="1"/>
        <d v="2025-08-19T09:01:28" u="1"/>
        <d v="2025-08-20T18:03:42" u="1"/>
        <d v="2025-08-06T12:06:03" u="1"/>
        <d v="2025-08-11T21:01:05" u="1"/>
        <d v="2025-08-14T10:03:50" u="1"/>
        <d v="2025-08-20T18:03:58" u="1"/>
        <d v="2025-08-21T10:03:45" u="1"/>
        <d v="2025-08-21T11:03:32" u="1"/>
        <d v="2025-08-21T11:04:09" u="1"/>
        <d v="2025-08-18T14:02:04" u="1"/>
        <d v="2025-08-18T14:02:13" u="1"/>
        <d v="2025-08-22T14:03:30" u="1"/>
        <d v="2025-08-22T18:04:18" u="1"/>
        <d v="2025-08-22T18:04:20" u="1"/>
        <d v="2025-08-22T18:04:22" u="1"/>
        <d v="2025-08-22T20:04:08" u="1"/>
        <d v="2025-08-25T09:00:23" u="1"/>
        <d v="2025-08-19T11:00:43" u="1"/>
        <d v="2025-08-22T16:04:46" u="1"/>
        <d v="2025-08-21T09:03:16" u="1"/>
        <d v="2025-08-25T18:01:03" u="1"/>
        <d v="2025-08-25T08:32:29" u="1"/>
        <d v="2025-08-18T16:01:11" u="1"/>
        <d v="2025-08-23T12:44:04" u="1"/>
        <d v="2025-08-22T16:55:21" u="1"/>
        <d v="2025-08-19T15:25:47" u="1"/>
        <d v="2025-08-19T15:25:48" u="1"/>
        <d v="2025-08-19T08:05:02" u="1"/>
        <d v="2025-08-19T19:24:46" u="1"/>
        <d v="2025-08-25T15:41:27" u="1"/>
        <d v="2025-08-25T15:56:28" u="1"/>
        <d v="2025-08-20T12:18:46" u="1"/>
        <d v="2025-08-19T10:05:21" u="1"/>
        <d v="2025-08-19T10:16:41" u="1"/>
        <d v="2025-08-19T10:16:42" u="1"/>
        <d v="2025-08-19T10:16:44" u="1"/>
        <d v="2025-08-19T10:16:45" u="1"/>
        <d v="2025-08-19T10:16:47" u="1"/>
        <d v="2025-08-19T10:25:44" u="1"/>
        <d v="2025-08-19T10:25:45" u="1"/>
        <d v="2025-08-19T10:25:46" u="1"/>
        <d v="2025-08-19T10:25:47" u="1"/>
        <d v="2025-08-19T10:25:48" u="1"/>
        <d v="2025-08-25T17:48:14" u="1"/>
        <d v="2025-08-25T08:32:39" u="1"/>
        <d v="2025-08-18T16:15:19" u="1"/>
        <d v="2025-08-20T10:09:28" u="1"/>
        <d v="2025-08-22T19:02:32" u="1"/>
        <d v="2025-08-25T17:03:38" u="1"/>
        <d v="2025-08-11T17:17:19" u="1"/>
        <d v="2025-08-25T13:26:29" u="1"/>
        <d v="2025-08-22T17:45:39" u="1"/>
        <d v="2025-08-21T09:31:22" u="1"/>
        <d v="2025-08-25T11:40:08" u="1"/>
        <d v="2025-08-25T14:59:47" u="1"/>
        <d v="2025-08-25T11:59:47" u="1"/>
        <d v="2025-08-25T17:21:50" u="1"/>
        <d v="2025-08-25T15:35:53" u="1"/>
        <d v="2025-08-20T11:02:33" u="1"/>
        <d v="2025-08-25T20:34:07" u="1"/>
        <d v="2025-08-25T18:31:50" u="1"/>
        <d v="2025-08-22T17:55:54" u="1"/>
        <d v="2025-08-05T10:01:59" u="1"/>
        <d v="2025-08-25T11:57:50" u="1"/>
        <d v="2025-08-25T16:47:04" u="1"/>
        <d v="2025-08-25T16:54:05" u="1"/>
        <d v="2025-08-22T18:44:16" u="1"/>
        <d v="2025-08-25T16:46:57" u="1"/>
        <d v="2025-08-25T18:49:12" u="1"/>
        <d v="2025-08-25T18:49:13" u="1"/>
        <d v="2025-08-21T11:16:49" u="1"/>
        <d v="2025-08-25T16:47:59" u="1"/>
        <d v="2025-08-25T17:07:59" u="1"/>
        <d v="2025-08-25T16:52:19" u="1"/>
        <d v="2025-08-25T16:27:44" u="1"/>
        <d v="2025-06-03T15:34:29" u="1"/>
        <d v="2025-08-25T13:49:44" u="1"/>
        <d v="2025-08-25T16:50:35" u="1"/>
        <d v="2025-08-23T01:03:21" u="1"/>
        <d v="2025-08-24T05:07:19" u="1"/>
        <d v="2025-08-13T13:30:43" u="1"/>
        <d v="2025-08-20T18:21:44" u="1"/>
        <d v="2025-08-25T18:01:16" u="1"/>
        <d v="2025-08-25T16:55:26" u="1"/>
        <d v="2025-08-21T20:39:51" u="1"/>
        <d v="2025-08-22T18:04:40" u="1"/>
        <d v="2025-08-25T16:57:37" u="1"/>
        <d v="2025-08-25T16:50:17" u="1"/>
        <d v="2025-08-25T11:45:47" u="1"/>
        <d v="2025-08-25T16:50:30" u="1"/>
        <d v="2025-08-25T16:48:26" u="1"/>
        <d v="2025-08-15T17:34:15" u="1"/>
        <d v="2025-08-25T16:49:51" u="1"/>
        <d v="2025-08-25T16:57:23" u="1"/>
        <d v="2025-08-25T15:58:06" u="1"/>
        <d v="2025-08-25T12:14:18" u="1"/>
        <d v="2025-08-25T08:32:21" u="1"/>
        <d v="2025-08-25T16:57:16" u="1"/>
        <d v="2025-08-25T18:03:26" u="1"/>
        <d v="2025-08-25T16:52:46" u="1"/>
        <d v="2025-08-18T10:46:01" u="1"/>
        <d v="2025-08-25T12:18:50" u="1"/>
        <d v="2025-08-25T15:56:48" u="1"/>
        <d v="2025-08-24T05:54:18" u="1"/>
        <d v="2025-08-26T06:27:16" u="1"/>
        <d v="2025-08-24T03:39:36" u="1"/>
        <d v="2025-08-25T03:28:18" u="1"/>
        <d v="2025-08-25T11:29:43" u="1"/>
        <d v="2025-08-25T09:43:46" u="1"/>
        <d v="2025-08-25T18:31:51" u="1"/>
        <d v="2025-08-25T12:29:48" u="1"/>
        <d v="2025-08-25T12:44:47" u="1"/>
        <d v="2025-08-25T17:16:43" u="1"/>
        <d v="2025-08-25T19:09:50" u="1"/>
        <d v="2025-08-25T09:37:49" u="1"/>
        <d v="2025-08-25T10:23:45" u="1"/>
        <d v="2025-08-25T09:31:46" u="1"/>
        <d v="2025-08-25T17:38:20" u="1"/>
        <d v="2025-08-25T12:38:43" u="1"/>
        <d v="2025-08-20T14:56:03" u="1"/>
        <d v="2025-08-20T14:56:04" u="1"/>
        <d v="2025-08-21T09:45:36" u="1"/>
        <d v="2025-08-08T10:00:33" u="1"/>
        <d v="2025-08-07T14:02:20" u="1"/>
        <d v="2025-08-12T18:20:45" u="1"/>
        <d v="2025-08-12T18:56:38" u="1"/>
        <d v="2025-08-12T12:01:25" u="1"/>
        <d v="2025-08-12T17:02:26" u="1"/>
        <d v="2025-08-11T18:01:03" u="1"/>
        <d v="2025-08-11T18:01:39" u="1"/>
        <d v="2025-08-12T16:01:31" u="1"/>
        <d v="2025-08-08T15:46:01" u="1"/>
        <d v="2025-08-14T13:15:00" u="1"/>
        <d v="2025-08-14T13:15:01" u="1"/>
        <d v="2025-08-19T12:42:22" u="1"/>
        <d v="2025-08-19T12:42:32" u="1"/>
        <d v="2025-08-19T12:42:55" u="1"/>
        <d v="2025-08-19T12:43:50" u="1"/>
        <d v="2025-08-19T12:44:28" u="1"/>
        <d v="2025-08-19T12:44:34" u="1"/>
        <d v="2025-08-15T15:44:50" u="1"/>
        <d v="2025-08-19T12:12:48" u="1"/>
        <d v="2025-08-19T12:16:46" u="1"/>
        <d v="2025-08-19T12:30:21" u="1"/>
        <d v="2025-08-18T19:11:47" u="1"/>
        <d v="2025-08-19T13:15:59" u="1"/>
        <d v="2025-08-15T13:30:59" u="1"/>
        <d v="2025-08-19T15:47:28" u="1"/>
        <d v="2025-08-15T13:31:13" u="1"/>
        <d v="2025-08-15T13:31:24" u="1"/>
        <d v="2025-08-15T09:47:46" u="1"/>
        <d v="2025-08-18T10:02:03" u="1"/>
        <d v="2025-08-18T18:29:34" u="1"/>
        <d v="2025-08-18T18:32:44" u="1"/>
        <d v="2025-08-18T11:00:49" u="1"/>
        <d v="2025-08-18T11:03:14" u="1"/>
        <d v="2025-08-19T14:02:11" u="1"/>
        <d v="2025-08-19T16:00:22" u="1"/>
        <d v="2025-08-18T18:06:25" u="1"/>
        <d v="2025-08-19T18:05:11" u="1"/>
        <d v="2025-08-19T12:24:32" u="1"/>
        <d v="2025-08-18T12:01:50" u="1"/>
        <d v="2025-08-19T12:14:52" u="1"/>
        <d v="2025-08-19T12:38:33" u="1"/>
        <d v="2025-08-18T18:36:21" u="1"/>
        <d v="2025-08-19T12:18:02" u="1"/>
        <d v="2025-08-14T21:17:06" u="1"/>
        <d v="2025-08-19T12:15:28" u="1"/>
        <d v="2025-08-14T18:42:03" u="1"/>
        <d v="2025-08-14T18:49:45" u="1"/>
        <d v="2025-08-19T12:17:56" u="1"/>
        <d v="2025-08-20T17:44:23" u="1"/>
        <d v="2025-08-20T18:59:58" u="1"/>
        <d v="2025-08-21T00:18:03" u="1"/>
        <d v="2025-08-20T12:48:40" u="1"/>
        <d v="2025-08-20T12:49:22" u="1"/>
        <d v="2025-08-20T12:50:11" u="1"/>
        <d v="2025-08-20T12:50:41" u="1"/>
        <d v="2025-08-19T19:09:00" u="1"/>
        <d v="2025-08-19T19:09:18" u="1"/>
        <d v="2025-08-19T19:09:28" u="1"/>
        <d v="2025-08-21T12:57:37" u="1"/>
        <d v="2025-08-21T12:57:45" u="1"/>
        <d v="2025-08-20T18:35:31" u="1"/>
        <d v="2025-08-19T18:43:03" u="1"/>
        <d v="2025-08-21T12:38:20" u="1"/>
        <d v="2025-08-21T14:47:02" u="1"/>
        <d v="2025-08-20T18:53:48" u="1"/>
        <d v="2025-08-20T18:58:08" u="1"/>
        <d v="2025-08-21T18:02:20" u="1"/>
        <d v="2025-08-21T16:02:06" u="1"/>
        <d v="2025-08-21T10:03:39" u="1"/>
        <d v="2025-08-21T10:03:42" u="1"/>
        <d v="2025-08-21T11:03:18" u="1"/>
        <d v="2025-08-21T11:03:21" u="1"/>
        <d v="2025-08-21T11:03:26" u="1"/>
        <d v="2025-08-21T11:03:29" u="1"/>
        <d v="2025-08-21T11:03:44" u="1"/>
        <d v="2025-08-21T11:03:46" u="1"/>
        <d v="2025-08-20T12:03:36" u="1"/>
        <d v="2025-08-20T14:01:08" u="1"/>
        <d v="2025-08-20T15:07:45" u="1"/>
        <d v="2025-08-20T18:17:49" u="1"/>
        <d v="2025-08-21T12:36:32" u="1"/>
        <d v="2025-08-21T12:36:35" u="1"/>
        <d v="2025-08-21T17:04:42" u="1"/>
        <d v="2025-08-21T17:04:50" u="1"/>
        <d v="2025-08-21T12:43:41" u="1"/>
        <d v="2025-08-21T12:46:24" u="1"/>
        <d v="2025-08-21T06:04:34" u="1"/>
        <d v="2025-08-21T06:04:46" u="1"/>
        <d v="2025-08-21T06:05:14" u="1"/>
        <d v="2025-08-20T18:26:38" u="1"/>
        <d v="2025-08-20T19:02:26" u="1"/>
        <d v="2025-08-19T18:28:00" u="1"/>
        <d v="2025-08-20T06:02:49" u="1"/>
        <d v="2025-08-20T18:05:44" u="1"/>
        <d v="2025-08-20T18:03:31" u="1"/>
        <d v="2025-08-20T12:38:05" u="1"/>
        <d v="2025-08-20T12:38:12" u="1"/>
        <d v="2025-08-20T12:38:20" u="1"/>
        <d v="2025-08-21T12:01:40" u="1"/>
        <d v="2025-08-21T12:32:14" u="1"/>
        <d v="2025-08-20T12:25:54" u="1"/>
        <d v="2025-08-20T06:11:56" u="1"/>
        <d v="2025-08-21T06:10:35" u="1"/>
        <d v="2025-08-19T18:47:32" u="1"/>
        <d v="2025-08-19T18:51:12" u="1"/>
        <d v="2025-08-20T18:48:18" u="1"/>
        <d v="2025-08-21T06:09:12" u="1"/>
        <d v="2025-08-21T12:49:40" u="1"/>
        <d v="2025-08-21T12:52:00" u="1"/>
        <d v="2025-08-21T12:52:42" u="1"/>
        <d v="2025-08-19T18:46:03" u="1"/>
        <d v="2025-08-21T12:37:03" u="1"/>
        <d v="2025-08-21T12:37:05" u="1"/>
        <d v="2025-08-20T09:17:05" u="1"/>
        <d v="2025-08-21T11:31:30" u="1"/>
        <d v="2025-08-19T18:58:44" u="1"/>
        <d v="2025-08-20T18:52:36" u="1"/>
        <d v="2025-08-19T18:58:09" u="1"/>
        <d v="2025-08-19T18:59:03" u="1"/>
        <d v="2025-08-20T18:50:33" u="1"/>
        <d v="2025-08-20T18:50:44" u="1"/>
        <d v="2025-08-20T18:50:46" u="1"/>
        <d v="2025-08-20T18:50:57" u="1"/>
        <d v="2025-08-20T18:51:26" u="1"/>
        <d v="2025-08-20T18:51:28" u="1"/>
        <d v="2025-08-20T18:51:30" u="1"/>
        <d v="2025-08-20T18:52:13" u="1"/>
        <d v="2025-08-21T11:55:40" u="1"/>
        <d v="2025-08-21T10:55:46" u="1"/>
        <d v="2025-08-21T09:30:50" u="1"/>
        <d v="2025-08-20T18:18:43" u="1"/>
        <d v="2025-08-21T12:29:40" u="1"/>
        <d v="2025-08-21T17:03:09" u="1"/>
        <d v="2025-08-20T06:03:10" u="1"/>
        <d v="2025-08-20T18:07:12" u="1"/>
        <d v="2025-08-21T12:40:39" u="1"/>
        <d v="2025-08-20T06:12:28" u="1"/>
        <d v="2025-08-19T18:32:00" u="1"/>
        <d v="2025-08-20T18:21:16" u="1"/>
        <d v="2025-08-20T18:21:36" u="1"/>
        <d v="2025-08-20T18:22:56" u="1"/>
        <d v="2025-08-20T18:23:16" u="1"/>
        <d v="2025-08-20T18:23:33" u="1"/>
        <d v="2025-08-20T18:23:08" u="1"/>
        <d v="2025-08-20T14:51:00" u="1"/>
        <d v="2025-08-21T09:53:53" u="1"/>
        <d v="2025-08-21T11:13:57" u="1"/>
        <d v="2025-08-21T14:39:58" u="1"/>
        <d v="2025-08-21T10:13:53" u="1"/>
        <d v="2025-08-21T14:34:22" u="1"/>
        <d v="2025-08-21T15:02:27" u="1"/>
        <d v="2025-08-21T17:01:53" u="1"/>
        <d v="2025-08-21T12:56:02" u="1"/>
        <d v="2025-08-21T15:01:49" u="1"/>
        <d v="2025-08-21T15:01:55" u="1"/>
        <d v="2025-08-21T12:55:51" u="1"/>
        <d v="2025-08-21T17:20:30" u="1"/>
        <d v="2025-08-21T15:02:14" u="1"/>
        <d v="2025-08-21T16:42:33" u="1"/>
        <d v="2025-08-20T16:52:13" u="1"/>
        <d v="2025-08-21T10:30:41" u="1"/>
        <d v="2025-08-21T17:55:54" u="1"/>
        <d v="2025-08-21T11:13:55" u="1"/>
        <d v="2025-08-21T16:43:56" u="1"/>
        <d v="2025-08-21T17:01:51" u="1"/>
        <d v="2025-08-21T10:41:50" u="1"/>
        <d v="2025-08-21T09:40:01" u="1"/>
        <d v="2025-08-21T09:43:56" u="1"/>
        <d v="2025-08-21T12:27:51" u="1"/>
        <d v="2025-08-21T12:29:51" u="1"/>
        <d v="2025-08-21T14:04:21" u="1"/>
        <d v="2025-08-21T09:55:53" u="1"/>
        <d v="2025-08-21T09:57:52" u="1"/>
        <d v="2025-08-21T09:22:08" u="1"/>
        <d v="2025-08-21T11:03:58" u="1"/>
        <d v="2025-08-20T10:57:31" u="1"/>
        <d v="2025-08-21T16:17:34" u="1"/>
        <d v="2025-08-21T19:12:59" u="1"/>
        <d v="2025-08-21T19:14:47" u="1"/>
        <d v="2025-08-21T18:41:46" u="1"/>
        <d v="2025-08-21T19:10:29" u="1"/>
        <d v="2025-08-21T18:58:50" u="1"/>
        <d v="2025-08-22T00:21:21" u="1"/>
        <d v="2025-08-22T00:21:58" u="1"/>
        <d v="2025-08-21T18:50:47" u="1"/>
        <d v="2025-08-21T20:02:11" u="1"/>
        <d v="2025-08-21T18:48:37" u="1"/>
        <d v="2025-08-21T18:25:13" u="1"/>
        <d v="2025-08-21T18:37:57" u="1"/>
        <d v="2025-08-21T18:07:40" u="1"/>
        <d v="2025-08-22T00:24:58" u="1"/>
        <d v="2025-08-21T19:02:26" u="1"/>
        <d v="2025-08-22T00:24:55" u="1"/>
        <d v="2025-08-21T19:01:40" u="1"/>
        <d v="2025-08-21T19:01:48" u="1"/>
        <d v="2025-08-21T19:01:56" u="1"/>
        <d v="2025-08-21T19:03:18" u="1"/>
        <d v="2025-08-21T19:03:22" u="1"/>
        <d v="2025-08-21T19:04:10" u="1"/>
        <d v="2025-08-21T19:04:13" u="1"/>
        <d v="2025-08-21T19:04:15" u="1"/>
        <d v="2025-08-21T18:11:04" u="1"/>
        <d v="2025-08-21T18:11:14" u="1"/>
        <d v="2025-08-21T18:11:21" u="1"/>
        <d v="2025-08-21T18:11:31" u="1"/>
        <d v="2025-08-21T18:11:33" u="1"/>
        <d v="2025-08-21T18:11:48" u="1"/>
        <d v="2025-08-21T18:11:50" u="1"/>
        <d v="2025-08-21T18:11:53" u="1"/>
        <d v="2025-08-21T18:10:09" u="1"/>
        <d v="2025-08-21T18:10:12" u="1"/>
        <d v="2025-08-21T18:10:16" u="1"/>
        <d v="2025-08-21T18:10:23" u="1"/>
        <d v="2025-08-21T18:10:31" u="1"/>
        <d v="2025-08-21T18:10:34" u="1"/>
        <d v="2025-08-22T00:10:38" u="1"/>
        <d v="2025-08-22T00:11:20" u="1"/>
        <d v="2025-08-20T18:07:15" u="1"/>
        <d v="2025-08-21T18:31:37" u="1"/>
        <d v="2025-08-21T18:33:39" u="1"/>
        <d v="2025-08-21T18:34:33" u="1"/>
        <d v="2025-08-21T18:32:24" u="1"/>
        <d v="2025-08-21T18:47:00" u="1"/>
        <d v="2025-08-21T18:16:24" u="1"/>
        <d v="2025-08-21T12:21:24" u="1"/>
        <d v="2025-08-21T18:24:05" u="1"/>
        <d v="2025-08-21T18:12:07" u="1"/>
        <d v="2025-08-21T23:01:45" u="1"/>
        <d v="2025-08-21T19:06:02" u="1"/>
        <d v="2025-08-21T18:46:47" u="1"/>
        <d v="2025-08-22T05:30:58" u="1"/>
        <d v="2025-08-21T18:46:56" u="1"/>
        <d v="2025-08-21T18:28:52" u="1"/>
        <d v="2025-08-21T19:07:52" u="1"/>
        <d v="2025-08-21T19:23:50" u="1"/>
        <d v="2025-08-21T18:59:52" u="1"/>
        <d v="2025-08-21T18:46:50" u="1"/>
        <d v="2025-08-01T17:35:33" u="1"/>
        <d v="2025-08-07T13:05:47" u="1"/>
        <d v="2025-08-07T18:50:06" u="1"/>
        <d v="2025-08-13T16:46:45" u="1"/>
        <d v="2025-08-15T11:31:16" u="1"/>
        <d v="2025-08-18T08:48:01" u="1"/>
        <d v="2025-08-19T13:17:02" u="1"/>
        <d v="2025-08-19T10:25:54" u="1"/>
        <d v="2025-08-20T16:43:56" u="1"/>
        <d v="2025-08-18T11:50:29" u="1"/>
        <d v="2025-08-19T12:47:38" u="1"/>
        <d v="2025-08-20T16:31:12" u="1"/>
        <d v="2025-08-20T11:01:40" u="1"/>
        <d v="2025-08-19T20:02:12" u="1"/>
        <d v="2025-08-19T20:02:13" u="1"/>
        <d v="2025-08-20T18:30:00" u="1"/>
        <d v="2025-08-20T13:18:42" u="1"/>
        <d v="2025-08-20T15:02:04" u="1"/>
        <d v="2025-08-20T12:32:00" u="1"/>
        <d v="2025-08-20T11:37:44" u="1"/>
        <d v="2025-08-20T11:53:50" u="1"/>
        <d v="2025-08-20T21:33:34" u="1"/>
        <d v="2025-08-20T21:32:36" u="1"/>
        <d v="2025-08-20T15:47:26" u="1"/>
        <d v="2025-08-19T18:45:17" u="1"/>
        <d v="2025-08-19T20:24:28" u="1"/>
        <d v="2025-08-20T21:32:07" u="1"/>
        <d v="2025-08-20T13:27:49" u="1"/>
        <d v="2025-08-20T18:27:54" u="1"/>
        <d v="2025-08-20T12:44:24" u="1"/>
        <d v="2025-08-20T16:16:20" u="1"/>
        <d v="2025-08-20T11:25:51" u="1"/>
        <d v="2025-08-20T14:35:52" u="1"/>
        <d v="2025-08-20T14:56:02" u="1"/>
        <d v="2025-08-20T17:31:59" u="1"/>
        <d v="2025-08-20T14:18:24" u="1"/>
        <d v="2025-08-20T16:55:57" u="1"/>
        <d v="2025-08-20T19:00:40" u="1"/>
        <d v="2025-08-20T21:32:43" u="1"/>
        <d v="2025-08-20T14:46:36" u="1"/>
        <d v="2025-08-20T12:01:05" u="1"/>
        <d v="2025-08-20T17:28:23" u="1"/>
        <d v="2025-08-20T17:28:22" u="1"/>
        <d v="2025-08-20T10:55:53" u="1"/>
        <d v="2025-08-20T16:35:59" u="1"/>
        <d v="2025-08-20T14:16:19" u="1"/>
        <d v="2025-08-21T00:15:01" u="1"/>
        <d v="2025-08-20T11:31:54" u="1"/>
        <d v="2025-08-20T15:17:38" u="1"/>
        <d v="2025-08-20T12:33:51" u="1"/>
        <d v="2025-06-17T05:56:48" u="1"/>
        <d v="2025-07-02T18:02:33" u="1"/>
        <d v="2025-08-04T16:02:23" u="1"/>
        <d v="2025-08-08T10:46:44" u="1"/>
        <d v="2025-08-11T12:16:50" u="1"/>
        <d v="2025-08-11T16:01:14" u="1"/>
        <d v="2025-08-13T13:16:28" u="1"/>
        <d v="2025-08-12T17:25:46" u="1"/>
        <d v="2025-08-11T08:49:51" u="1"/>
        <d v="2025-08-18T19:42:42" u="1"/>
        <d v="2025-08-18T19:42:50" u="1"/>
        <d v="2025-08-18T08:31:51" u="1"/>
        <d v="2025-08-15T12:01:53" u="1"/>
        <d v="2025-08-18T08:32:07" u="1"/>
        <d v="2025-08-15T16:09:07" u="1"/>
        <d v="2025-08-15T16:09:12" u="1"/>
        <d v="2025-08-15T16:10:33" u="1"/>
        <d v="2025-08-18T18:57:29" u="1"/>
        <d v="2025-08-15T16:11:08" u="1"/>
        <d v="2025-08-15T16:11:14" u="1"/>
        <d v="2025-08-15T16:11:18" u="1"/>
        <d v="2025-08-15T16:11:22" u="1"/>
        <d v="2025-08-15T16:11:26" u="1"/>
        <d v="2025-08-15T16:11:30" u="1"/>
        <d v="2025-08-15T16:11:34" u="1"/>
        <d v="2025-08-15T16:11:39" u="1"/>
        <d v="2025-08-15T16:11:43" u="1"/>
        <d v="2025-08-15T16:12:06" u="1"/>
        <d v="2025-08-15T16:13:06" u="1"/>
        <d v="2025-08-15T16:13:19" u="1"/>
        <d v="2025-08-18T13:45:44" u="1"/>
        <d v="2025-08-14T17:16:47" u="1"/>
        <d v="2025-08-18T18:00:21" u="1"/>
        <d v="2025-08-15T16:05:51" u="1"/>
        <d v="2025-08-18T11:31:48" u="1"/>
        <d v="2025-08-14T13:03:50" u="1"/>
        <d v="2025-08-18T18:00:22" u="1"/>
        <d v="2025-08-15T14:49:29" u="1"/>
        <d v="2025-08-18T11:37:52" u="1"/>
        <d v="2025-08-18T17:52:50" u="1"/>
        <d v="2025-08-18T12:44:04" u="1"/>
        <d v="2025-08-18T16:37:51" u="1"/>
        <d v="2025-08-18T16:41:51" u="1"/>
        <d v="2025-08-18T12:45:49" u="1"/>
        <d v="2025-08-18T18:18:18" u="1"/>
        <d v="2025-08-18T09:07:46" u="1"/>
        <d v="2025-08-18T12:43:51" u="1"/>
        <d v="2025-08-18T12:44:18" u="1"/>
        <d v="2025-08-15T16:14:08" u="1"/>
        <d v="2025-08-18T12:08:20" u="1"/>
        <d v="2025-08-18T18:11:14" u="1"/>
        <d v="2025-08-19T19:05:56" u="1"/>
        <d v="2025-08-19T19:06:04" u="1"/>
        <d v="2025-08-19T19:06:11" u="1"/>
        <d v="2025-08-19T19:06:19" u="1"/>
        <d v="2025-08-19T19:06:27" u="1"/>
        <d v="2025-08-19T19:06:35" u="1"/>
        <d v="2025-08-19T19:06:42" u="1"/>
        <d v="2025-08-19T19:06:49" u="1"/>
        <d v="2025-08-19T19:06:56" u="1"/>
        <d v="2025-08-19T19:07:02" u="1"/>
        <d v="2025-08-19T19:07:09" u="1"/>
        <d v="2025-08-19T19:07:16" u="1"/>
        <d v="2025-08-19T19:07:23" u="1"/>
        <d v="2025-08-19T19:07:29" u="1"/>
        <d v="2025-08-19T19:04:52" u="1"/>
        <d v="2025-08-19T19:04:59" u="1"/>
        <d v="2025-08-19T19:05:06" u="1"/>
        <d v="2025-08-19T19:05:14" u="1"/>
        <d v="2025-08-19T19:05:20" u="1"/>
        <d v="2025-08-19T19:05:27" u="1"/>
        <d v="2025-08-19T19:05:35" u="1"/>
        <d v="2025-08-19T19:05:42" u="1"/>
        <d v="2025-08-19T19:05:49" u="1"/>
        <d v="2025-08-20T06:12:05" u="1"/>
        <d v="2025-08-19T16:17:07" u="1"/>
        <d v="2025-08-19T16:15:58" u="1"/>
        <d v="2025-08-19T18:01:55" u="1"/>
        <d v="2025-08-19T18:02:00" u="1"/>
        <d v="2025-08-19T17:47:33" u="1"/>
        <d v="2025-08-18T19:46:35" u="1"/>
        <d v="2025-08-19T18:02:21" u="1"/>
        <d v="2025-08-19T17:02:14" u="1"/>
        <d v="2025-08-19T17:02:06" u="1"/>
        <d v="2025-08-19T17:02:07" u="1"/>
        <d v="2025-08-20T06:09:31" u="1"/>
        <d v="2025-08-19T19:02:42" u="1"/>
        <d v="2025-08-19T17:02:37" u="1"/>
        <d v="2025-08-19T12:22:13" u="1"/>
        <d v="2025-08-20T06:14:39" u="1"/>
        <d v="2025-08-19T19:01:38" u="1"/>
        <d v="2025-08-19T12:24:35" u="1"/>
        <d v="2025-08-19T12:25:01" u="1"/>
        <d v="2025-08-19T10:25:57" u="1"/>
        <d v="2025-08-19T10:55:17" u="1"/>
        <d v="2025-08-19T14:16:51" u="1"/>
        <d v="2025-08-19T12:23:57" u="1"/>
        <d v="2025-08-19T13:01:57" u="1"/>
        <d v="2025-08-19T10:04:09" u="1"/>
        <d v="2025-08-19T16:56:09" u="1"/>
        <d v="2025-08-19T18:04:09" u="1"/>
        <d v="2025-08-19T19:24:13" u="1"/>
        <d v="2025-08-19T17:12:28" u="1"/>
        <d v="2025-08-19T17:15:08" u="1"/>
        <d v="2025-08-19T17:56:16" u="1"/>
        <d v="2025-08-19T14:40:20" u="1"/>
        <d v="2025-08-19T17:04:11" u="1"/>
        <d v="2025-08-19T13:01:59" u="1"/>
        <d v="2025-08-19T11:27:48" u="1"/>
        <d v="2025-08-19T18:57:47" u="1"/>
        <d v="2025-08-19T17:59:51" u="1"/>
        <d v="2025-08-19T18:03:57" u="1"/>
        <d v="2025-08-19T13:11:54" u="1"/>
        <d v="2025-08-19T19:05:50" u="1"/>
        <d v="2025-08-19T15:46:43" u="1"/>
        <d v="2025-08-19T17:30:45" u="1"/>
        <d v="2025-08-19T15:54:00" u="1"/>
        <d v="2025-08-19T16:39:56" u="1"/>
        <d v="2025-08-19T15:02:44" u="1"/>
        <d v="2025-08-19T18:01:35" u="1"/>
        <d v="2025-08-19T14:33:22" u="1"/>
        <d v="2025-08-19T18:39:48" u="1"/>
        <d v="2025-08-20T00:06:11" u="1"/>
        <d v="2025-08-19T15:02:07" u="1"/>
        <d v="2025-08-19T14:16:29" u="1"/>
        <d v="2025-08-19T14:16:40" u="1"/>
        <d v="2025-08-19T14:16:14" u="1"/>
        <d v="2025-08-19T11:02:49" u="1"/>
        <d v="2025-08-19T19:01:53" u="1"/>
        <d v="2025-08-19T18:53:47" u="1"/>
        <d v="2025-08-19T09:19:45" u="1"/>
        <d v="2025-08-19T13:05:52" u="1"/>
        <d v="2025-08-19T13:17:57" u="1"/>
        <d v="2025-08-19T09:17:45" u="1"/>
        <d v="2025-08-19T19:07:45" u="1"/>
        <d v="2025-08-19T12:00:06" u="1"/>
        <d v="2025-08-19T16:31:32" u="1"/>
        <d v="2025-08-19T17:12:32" u="1"/>
        <d v="2025-08-19T13:11:53" u="1"/>
        <d v="2025-08-19T14:50:55" u="1"/>
        <d v="2025-08-18T21:05:47" u="1"/>
        <d v="2025-08-19T08:51:44" u="1"/>
        <d v="2025-08-19T17:17:53" u="1"/>
        <d v="2025-08-19T12:17:17" u="1"/>
        <d v="2025-08-19T17:25:36" u="1"/>
        <d v="2025-08-19T00:04:55" u="1"/>
        <d v="2025-08-19T12:18:32" u="1"/>
        <d v="2025-08-19T14:32:00" u="1"/>
        <d v="2025-07-01T17:02:22" u="1"/>
        <d v="2025-07-08T11:01:08" u="1"/>
        <d v="2025-07-08T16:02:56" u="1"/>
        <d v="2025-07-15T18:43:42" u="1"/>
        <d v="2025-07-30T18:00:39" u="1"/>
        <d v="2025-07-30T09:03:42" u="1"/>
        <d v="2025-07-25T12:21:23" u="1"/>
        <d v="2025-07-29T11:05:14" u="1"/>
        <d v="2025-07-30T13:20:32" u="1"/>
        <d v="2025-07-25T18:28:35" u="1"/>
        <d v="2025-07-29T18:26:16" u="1"/>
        <d v="2025-08-01T12:40:14" u="1"/>
        <d v="2025-08-04T12:01:06" u="1"/>
        <d v="2025-08-04T09:02:14" u="1"/>
        <d v="2025-07-31T16:06:17" u="1"/>
        <d v="2025-07-31T16:06:18" u="1"/>
        <d v="2025-08-04T12:00:39" u="1"/>
        <d v="2025-08-04T12:00:42" u="1"/>
        <d v="2025-07-31T12:21:52" u="1"/>
        <d v="2025-08-08T18:03:34" u="1"/>
        <d v="2025-08-08T01:04:51" u="1"/>
        <d v="2025-08-11T09:01:07" u="1"/>
        <d v="2025-08-08T17:03:26" u="1"/>
        <d v="2025-08-12T18:26:46" u="1"/>
        <d v="2025-08-12T16:20:18" u="1"/>
        <d v="2025-08-13T18:02:02" u="1"/>
        <d v="2025-08-13T15:47:39" u="1"/>
        <d v="2025-08-15T18:02:30" u="1"/>
        <d v="2025-08-15T10:19:01" u="1"/>
        <d v="2025-08-15T09:37:53" u="1"/>
        <d v="2025-08-15T08:45:59" u="1"/>
        <d v="2025-08-15T10:19:20" u="1"/>
        <d v="2025-08-15T09:34:45" u="1"/>
        <d v="2025-08-15T16:31:10" u="1"/>
        <d v="2025-08-13T16:31:43" u="1"/>
        <d v="2025-08-13T17:26:15" u="1"/>
        <d v="2025-08-14T11:03:04" u="1"/>
        <d v="2025-08-15T09:03:24" u="1"/>
        <d v="2025-08-14T12:03:36" u="1"/>
        <d v="2025-08-14T12:03:38" u="1"/>
        <d v="2025-08-12T19:01:00" u="1"/>
        <d v="2025-08-15T17:03:28" u="1"/>
        <d v="2025-08-14T11:34:09" u="1"/>
        <d v="2025-08-14T11:48:50" u="1"/>
        <d v="2025-08-14T11:48:55" u="1"/>
        <d v="2025-08-14T17:47:34" u="1"/>
        <d v="2025-08-13T12:47:45" u="1"/>
        <d v="2025-08-13T15:48:18" u="1"/>
        <d v="2025-08-15T17:05:06" u="1"/>
        <d v="2025-08-15T09:54:17" u="1"/>
        <d v="2025-08-13T18:03:41" u="1"/>
        <d v="2025-08-13T00:16:27" u="1"/>
        <d v="2025-08-15T16:34:12" u="1"/>
        <d v="2025-08-15T12:01:33" u="1"/>
        <d v="2025-08-15T11:30:56" u="1"/>
        <d v="2025-08-15T14:25:53" u="1"/>
        <d v="2025-08-15T14:25:56" u="1"/>
        <d v="2025-08-18T10:00:20" u="1"/>
        <d v="2025-08-15T18:37:51" u="1"/>
        <d v="2025-08-15T09:32:49" u="1"/>
        <d v="2025-08-12T18:32:27" u="1"/>
        <d v="2025-08-15T14:55:54" u="1"/>
        <d v="2025-08-13T11:15:59" u="1"/>
        <d v="2025-08-15T14:30:08" u="1"/>
        <d v="2025-08-15T17:15:55" u="1"/>
        <d v="2025-08-14T12:27:50" u="1"/>
        <d v="2025-08-15T10:31:37" u="1"/>
        <d v="2025-08-15T17:06:12" u="1"/>
        <d v="2025-08-15T09:37:57" u="1"/>
        <d v="2025-08-15T12:18:53" u="1"/>
        <d v="2025-08-18T16:32:19" u="1"/>
        <d v="2025-08-18T15:04:40" u="1"/>
        <d v="2025-08-18T16:05:33" u="1"/>
        <d v="2025-08-18T19:41:43" u="1"/>
        <d v="2025-08-18T19:42:37" u="1"/>
        <d v="2025-08-18T19:44:08" u="1"/>
        <d v="2025-08-18T19:44:38" u="1"/>
        <d v="2025-08-18T08:47:32" u="1"/>
        <d v="2025-08-18T18:36:23" u="1"/>
        <d v="2025-08-18T18:36:26" u="1"/>
        <d v="2025-08-18T17:16:58" u="1"/>
        <d v="2025-08-18T15:46:34" u="1"/>
        <d v="2025-08-15T19:01:43" u="1"/>
        <d v="2025-08-18T10:46:24" u="1"/>
        <d v="2025-08-18T14:46:55" u="1"/>
        <d v="2025-08-18T14:21:07" u="1"/>
        <d v="2025-08-18T16:16:15" u="1"/>
        <d v="2025-08-18T11:34:23" u="1"/>
        <d v="2025-08-18T11:32:52" u="1"/>
        <d v="2025-08-18T11:33:02" u="1"/>
        <d v="2025-08-18T13:45:48" u="1"/>
        <d v="2025-08-18T13:45:54" u="1"/>
        <d v="2025-08-18T16:46:12" u="1"/>
        <d v="2025-08-18T16:46:27" u="1"/>
        <d v="2025-08-18T17:46:35" u="1"/>
        <d v="2025-08-18T11:03:30" u="1"/>
        <d v="2025-08-18T11:01:20" u="1"/>
        <d v="2025-08-18T11:01:37" u="1"/>
        <d v="2025-08-18T15:01:32" u="1"/>
        <d v="2025-08-18T15:01:36" u="1"/>
        <d v="2025-08-18T16:02:25" u="1"/>
        <d v="2025-08-18T17:01:48" u="1"/>
        <d v="2025-08-18T19:02:19" u="1"/>
        <d v="2025-08-18T10:01:07" u="1"/>
        <d v="2025-08-18T10:01:09" u="1"/>
        <d v="2025-08-18T17:46:25" u="1"/>
        <d v="2025-08-18T19:09:04" u="1"/>
        <d v="2025-08-18T19:09:13" u="1"/>
        <d v="2025-08-18T19:09:17" u="1"/>
        <d v="2025-08-18T19:09:21" u="1"/>
        <d v="2025-08-18T21:01:34" u="1"/>
        <d v="2025-08-18T10:01:01" u="1"/>
        <d v="2025-08-18T17:00:41" u="1"/>
        <d v="2025-08-18T18:01:43" u="1"/>
        <d v="2025-08-18T16:01:27" u="1"/>
        <d v="2025-08-18T09:17:38" u="1"/>
        <d v="2025-08-18T17:47:07" u="1"/>
        <d v="2025-08-18T12:03:55" u="1"/>
        <d v="2025-08-18T18:31:35" u="1"/>
        <d v="2025-08-18T18:31:52" u="1"/>
        <d v="2025-08-18T19:29:25" u="1"/>
        <d v="2025-08-18T19:29:27" u="1"/>
        <d v="2025-08-18T19:28:41" u="1"/>
        <d v="2025-08-18T19:28:50" u="1"/>
        <d v="2025-08-18T19:29:09" u="1"/>
        <d v="2025-08-18T16:02:15" u="1"/>
        <d v="2025-08-18T15:47:37" u="1"/>
        <d v="2025-08-18T15:47:41" u="1"/>
        <d v="2025-08-18T15:47:46" u="1"/>
        <d v="2025-08-18T19:00:30" u="1"/>
        <d v="2025-08-18T18:50:34" u="1"/>
        <d v="2025-08-18T18:28:21" u="1"/>
        <d v="2025-08-18T13:23:46" u="1"/>
        <d v="2025-08-15T19:49:57" u="1"/>
        <d v="2025-08-18T15:19:48" u="1"/>
        <d v="2025-08-18T17:36:25" u="1"/>
        <d v="2025-08-18T17:09:54" u="1"/>
        <d v="2025-08-18T17:09:55" u="1"/>
        <d v="2025-08-18T17:29:51" u="1"/>
        <d v="2025-08-18T15:25:50" u="1"/>
        <d v="2025-08-18T16:30:08" u="1"/>
        <d v="2025-08-18T08:51:48" u="1"/>
        <d v="2025-08-18T08:55:44" u="1"/>
        <d v="2025-08-18T08:47:46" u="1"/>
        <d v="2025-08-16T12:09:49" u="1"/>
        <d v="2025-08-18T15:30:02" u="1"/>
        <d v="2025-08-18T15:30:03" u="1"/>
        <d v="2025-08-18T15:30:04" u="1"/>
        <d v="2025-08-18T16:11:50" u="1"/>
        <d v="2025-08-18T10:15:45" u="1"/>
        <d v="2025-08-18T15:11:51" u="1"/>
        <d v="2025-08-18T14:21:46" u="1"/>
        <d v="2025-08-18T14:51:48" u="1"/>
        <d v="2025-08-18T20:06:06" u="1"/>
        <d v="2025-08-18T20:04:35" u="1"/>
        <d v="2025-08-18T20:06:32" u="1"/>
        <d v="2025-08-18T20:07:05" u="1"/>
        <d v="2025-08-18T16:46:33" u="1"/>
        <d v="2025-08-18T11:33:56" u="1"/>
        <d v="2025-08-18T11:51:53" u="1"/>
        <d v="2025-08-18T20:04:48" u="1"/>
        <d v="2025-08-18T20:04:59" u="1"/>
        <d v="2025-08-18T20:02:16" u="1"/>
        <d v="2025-08-18T20:07:12" u="1"/>
        <d v="2025-08-18T18:45:36" u="1"/>
        <d v="2025-08-18T18:16:00" u="1"/>
        <d v="2025-08-18T20:03:50" u="1"/>
        <d v="2025-08-18T20:06:17" u="1"/>
        <d v="2025-08-18T20:02:01" u="1"/>
        <d v="2025-08-18T20:05:41" u="1"/>
        <d v="2025-08-18T19:02:32" u="1"/>
        <d v="2025-08-18T20:02:48" u="1"/>
        <d v="2025-08-18T14:22:01" u="1"/>
        <d v="2025-08-18T20:05:20" u="1"/>
        <d v="2025-08-18T20:06:22" u="1"/>
        <d v="2025-08-18T11:38:44" u="1"/>
        <d v="2025-08-17T12:01:19" u="1"/>
        <d v="2025-08-18T16:31:19" u="1"/>
        <d v="2025-08-18T18:28:22" u="1"/>
        <d v="2025-08-18T21:02:19" u="1"/>
        <d v="2025-08-18T17:31:28" u="1"/>
        <d v="2025-08-18T13:57:46" u="1"/>
        <d v="2025-08-18T14:33:53" u="1"/>
        <d v="2025-08-18T12:33:12" u="1"/>
        <d v="2025-08-18T15:37:57" u="1"/>
        <d v="2025-08-17T14:07:42" u="1"/>
        <d v="2025-08-18T18:10:10" u="1"/>
        <d v="2025-08-18T18:13:03" u="1"/>
        <d v="2025-08-18T18:40:18" u="1"/>
        <d v="2025-08-18T18:40:44" u="1"/>
        <d v="2025-08-18T18:41:47" u="1"/>
        <d v="2025-08-18T18:42:54" u="1"/>
        <d v="2025-08-19T00:05:16" u="1"/>
        <d v="2025-08-19T00:05:18" u="1"/>
        <d v="2025-08-19T00:08:23" u="1"/>
        <d v="2025-08-19T00:03:45" u="1"/>
        <d v="2025-08-19T00:21:26" u="1"/>
        <d v="2025-08-19T00:21:18" u="1"/>
        <d v="2025-08-19T00:04:25" u="1"/>
        <d v="2025-08-19T01:01:22" u="1"/>
        <d v="2025-08-18T14:13:27" u="1"/>
        <d v="2025-08-05T18:17:10" u="1"/>
        <d v="2025-08-05T18:17:15" u="1"/>
        <d v="2025-08-05T18:17:29" u="1"/>
        <d v="2025-08-05T18:17:34" u="1"/>
        <d v="2025-08-05T12:28:10" u="1"/>
        <d v="2025-08-06T00:20:27" u="1"/>
        <d v="2025-08-06T12:47:08" u="1"/>
        <d v="2025-08-05T18:04:11" u="1"/>
        <d v="2025-08-05T00:04:41" u="1"/>
        <d v="2025-08-06T00:11:09" u="1"/>
        <d v="2025-08-05T00:15:53" u="1"/>
        <d v="2025-08-04T18:22:06" u="1"/>
        <d v="2025-08-05T18:56:07" u="1"/>
        <d v="2025-08-05T18:24:07" u="1"/>
        <d v="2025-08-01T10:05:44" u="1"/>
        <d v="2025-08-11T18:06:49" u="1"/>
        <d v="2025-08-06T16:27:13" u="1"/>
        <d v="2025-08-06T16:27:27" u="1"/>
        <d v="2025-08-11T18:09:18" u="1"/>
        <d v="2025-08-11T18:10:37" u="1"/>
        <d v="2025-08-11T18:10:38" u="1"/>
        <d v="2025-08-11T14:07:25" u="1"/>
        <d v="2025-08-11T19:07:55" u="1"/>
        <d v="2025-08-06T18:56:26" u="1"/>
        <d v="2025-08-07T00:16:47" u="1"/>
        <d v="2025-08-07T19:13:34" u="1"/>
        <d v="2025-08-07T19:13:42" u="1"/>
        <d v="2025-08-11T19:08:27" u="1"/>
        <d v="2025-08-07T18:12:51" u="1"/>
        <d v="2025-08-06T18:11:10" u="1"/>
        <d v="2025-08-11T12:02:41" u="1"/>
        <d v="2025-08-08T12:04:03" u="1"/>
        <d v="2025-08-11T18:05:28" u="1"/>
        <d v="2025-08-06T18:30:16" u="1"/>
        <d v="2025-08-11T18:27:05" u="1"/>
        <d v="2025-08-11T18:47:05" u="1"/>
        <d v="2025-08-07T10:35:31" u="1"/>
        <d v="2025-08-06T16:06:00" u="1"/>
        <d v="2025-08-11T10:45:26" u="1"/>
        <d v="2025-08-13T13:06:10" u="1"/>
        <d v="2025-08-14T10:56:24" u="1"/>
        <d v="2025-08-15T11:17:16" u="1"/>
        <d v="2025-08-13T12:21:38" u="1"/>
        <d v="2025-08-12T18:15:05" u="1"/>
        <d v="2025-08-12T18:25:54" u="1"/>
        <d v="2025-08-12T18:27:48" u="1"/>
        <d v="2025-08-12T18:28:00" u="1"/>
        <d v="2025-08-12T18:28:07" u="1"/>
        <d v="2025-08-12T18:28:13" u="1"/>
        <d v="2025-08-13T00:23:31" u="1"/>
        <d v="2025-08-14T12:26:56" u="1"/>
        <d v="2025-08-15T00:18:58" u="1"/>
        <d v="2025-08-12T19:03:17" u="1"/>
        <d v="2025-08-15T12:00:49" u="1"/>
        <d v="2025-08-13T11:36:20" u="1"/>
        <d v="2025-08-14T16:36:18" u="1"/>
        <d v="2025-08-14T16:36:21" u="1"/>
        <d v="2025-08-14T11:36:59" u="1"/>
        <d v="2025-08-12T18:47:03" u="1"/>
        <d v="2025-08-12T18:47:06" u="1"/>
        <d v="2025-08-12T00:10:50" u="1"/>
        <d v="2025-08-14T10:28:23" u="1"/>
        <d v="2025-08-13T18:08:12" u="1"/>
        <d v="2025-08-14T00:17:45" u="1"/>
        <d v="2025-08-14T00:17:48" u="1"/>
        <d v="2025-08-14T10:45:52" u="1"/>
        <d v="2025-08-15T09:37:59" u="1"/>
        <d v="2025-08-15T09:37:41" u="1"/>
        <d v="2025-08-13T19:37:46" u="1"/>
        <d v="2025-08-14T12:22:40" u="1"/>
        <d v="2025-08-13T00:09:48" u="1"/>
        <d v="2025-08-15T12:05:35" u="1"/>
        <d v="2025-08-15T12:05:47" u="1"/>
        <d v="2025-08-15T12:06:02" u="1"/>
        <d v="2025-08-15T12:06:16" u="1"/>
        <d v="2025-08-13T06:02:50" u="1"/>
        <d v="2025-08-12T00:12:04" u="1"/>
        <d v="2025-08-14T12:45:24" u="1"/>
        <d v="2025-08-15T09:16:37" u="1"/>
        <d v="2025-08-15T12:05:53" u="1"/>
        <d v="2025-08-15T09:49:51" u="1"/>
        <d v="2025-08-15T11:35:36" u="1"/>
        <d v="2025-08-14T17:19:51" u="1"/>
        <d v="2025-08-14T17:34:04" u="1"/>
        <d v="2025-08-14T17:50:12" u="1"/>
        <d v="2025-08-15T10:43:50" u="1"/>
        <d v="2025-08-15T10:41:47" u="1"/>
        <d v="2025-08-13T16:24:58" u="1"/>
        <d v="2025-08-14T15:46:20" u="1"/>
        <d v="2025-08-13T18:07:18" u="1"/>
        <d v="2025-08-13T11:56:11" u="1"/>
        <d v="2025-08-15T08:23:58" u="1"/>
        <d v="2025-08-14T12:27:29" u="1"/>
        <d v="2025-08-15T13:14:59" u="1"/>
        <d v="2025-08-15T17:14:51" u="1"/>
        <d v="2025-08-15T19:00:58" u="1"/>
        <d v="2025-08-15T19:01:23" u="1"/>
        <d v="2025-08-15T19:01:29" u="1"/>
        <d v="2025-08-15T19:03:08" u="1"/>
        <d v="2025-08-15T12:35:10" u="1"/>
        <d v="2025-08-15T12:35:13" u="1"/>
        <d v="2025-08-15T12:36:24" u="1"/>
        <d v="2025-08-15T12:37:23" u="1"/>
        <d v="2025-08-15T18:38:15" u="1"/>
        <d v="2025-08-15T12:32:09" u="1"/>
        <d v="2025-08-15T12:34:52" u="1"/>
        <d v="2025-08-15T12:35:00" u="1"/>
        <d v="2025-08-15T12:32:18" u="1"/>
        <d v="2025-08-15T12:32:45" u="1"/>
        <d v="2025-08-15T18:25:59" u="1"/>
        <d v="2025-08-15T18:26:08" u="1"/>
        <d v="2025-08-15T12:17:09" u="1"/>
        <d v="2025-08-15T12:17:22" u="1"/>
        <d v="2025-08-15T12:27:18" u="1"/>
        <d v="2025-08-15T12:27:30" u="1"/>
        <d v="2025-08-15T12:28:05" u="1"/>
        <d v="2025-08-15T18:51:29" u="1"/>
        <d v="2025-08-15T18:43:19" u="1"/>
        <d v="2025-08-15T15:01:08" u="1"/>
        <d v="2025-08-15T15:15:36" u="1"/>
        <d v="2025-08-15T13:31:31" u="1"/>
        <d v="2025-08-15T13:31:36" u="1"/>
        <d v="2025-08-15T18:31:10" u="1"/>
        <d v="2025-08-15T17:20:20" u="1"/>
        <d v="2025-08-15T17:03:18" u="1"/>
        <d v="2025-08-15T17:04:18" u="1"/>
        <d v="2025-08-15T17:04:26" u="1"/>
        <d v="2025-08-15T18:21:27" u="1"/>
        <d v="2025-08-15T18:21:35" u="1"/>
        <d v="2025-08-15T18:30:04" u="1"/>
        <d v="2025-08-15T18:34:38" u="1"/>
        <d v="2025-08-15T18:35:13" u="1"/>
        <d v="2025-08-15T18:34:45" u="1"/>
        <d v="2025-08-15T18:23:49" u="1"/>
        <d v="2025-08-15T18:23:53" u="1"/>
        <d v="2025-08-15T18:23:57" u="1"/>
        <d v="2025-08-15T18:24:06" u="1"/>
        <d v="2025-08-15T18:06:19" u="1"/>
        <d v="2025-08-15T18:09:28" u="1"/>
        <d v="2025-08-15T18:39:34" u="1"/>
        <d v="2025-08-15T18:03:45" u="1"/>
        <d v="2025-08-15T18:22:32" u="1"/>
        <d v="2025-08-15T12:29:18" u="1"/>
        <d v="2025-08-15T12:29:21" u="1"/>
        <d v="2025-08-15T12:30:02" u="1"/>
        <d v="2025-08-15T18:54:01" u="1"/>
        <d v="2025-08-15T18:53:58" u="1"/>
        <d v="2025-08-15T16:55:19" u="1"/>
        <d v="2025-08-15T18:11:34" u="1"/>
        <d v="2025-08-15T12:06:29" u="1"/>
        <d v="2025-08-15T12:18:56" u="1"/>
        <d v="2025-08-15T18:28:15" u="1"/>
        <d v="2025-08-15T18:27:58" u="1"/>
        <d v="2025-08-15T18:28:44" u="1"/>
        <d v="2025-08-15T18:27:43" u="1"/>
        <d v="2025-08-16T15:33:51" u="1"/>
        <d v="2025-08-15T16:07:17" u="1"/>
        <d v="2025-08-15T13:09:53" u="1"/>
        <d v="2025-08-15T19:08:03" u="1"/>
        <d v="2025-08-15T19:09:50" u="1"/>
        <d v="2025-08-15T15:01:57" u="1"/>
        <d v="2025-08-15T14:17:49" u="1"/>
        <d v="2025-08-15T15:13:50" u="1"/>
        <d v="2025-08-15T14:25:54" u="1"/>
        <d v="2025-08-15T14:49:49" u="1"/>
        <d v="2025-08-15T19:19:27" u="1"/>
        <d v="2025-08-15T19:21:53" u="1"/>
        <d v="2025-08-15T17:18:49" u="1"/>
        <d v="2025-08-15T18:09:08" u="1"/>
        <d v="2025-08-15T18:00:45" u="1"/>
        <d v="2025-08-15T18:15:27" u="1"/>
        <d v="2025-08-15T19:22:51" u="1"/>
        <d v="2025-08-15T19:23:08" u="1"/>
        <d v="2025-08-15T13:10:22" u="1"/>
        <d v="2025-08-15T11:02:25" u="1"/>
        <d v="2025-08-15T16:16:56" u="1"/>
        <d v="2025-08-15T18:18:19" u="1"/>
        <d v="2025-08-15T19:22:30" u="1"/>
        <d v="2025-08-15T16:06:53" u="1"/>
        <d v="2025-08-15T19:03:45" u="1"/>
        <d v="2025-08-15T16:33:51" u="1"/>
        <d v="2025-08-15T15:11:51" u="1"/>
        <d v="2025-08-15T15:25:56" u="1"/>
        <d v="2025-08-15T14:25:55" u="1"/>
        <d v="2025-08-15T15:23:55" u="1"/>
        <d v="2025-08-15T12:07:49" u="1"/>
        <d v="2025-08-15T13:09:40" u="1"/>
        <d v="2025-08-15T16:04:27" u="1"/>
        <d v="2025-08-16T12:02:53" u="1"/>
        <d v="2025-08-16T12:04:10" u="1"/>
        <d v="2025-08-16T12:03:03" u="1"/>
        <d v="2025-08-16T00:21:31" u="1"/>
        <d v="2025-08-16T12:01:30" u="1"/>
        <d v="2025-08-18T00:02:05" u="1"/>
        <d v="2025-08-18T00:02:13" u="1"/>
        <d v="2025-08-16T00:18:32" u="1"/>
        <d v="2025-08-17T18:01:23" u="1"/>
        <d v="2025-08-17T18:01:25" u="1"/>
        <d v="2025-08-17T18:01:27" u="1"/>
        <d v="2025-08-16T11:41:48" u="1"/>
        <d v="2025-08-15T21:34:22" u="1"/>
        <d v="2025-08-15T20:10:27" u="1"/>
        <d v="2025-08-15T21:33:53" u="1"/>
        <d v="2025-08-15T21:34:02" u="1"/>
        <d v="2025-08-15T20:01:58" u="1"/>
        <d v="2025-08-17T10:23:45" u="1"/>
        <d v="2025-08-15T19:11:49" u="1"/>
        <d v="2025-08-15T16:00:14" u="1"/>
        <d v="2025-08-15T21:33:24" u="1"/>
        <d v="2025-08-15T21:33:42" u="1"/>
        <d v="2025-08-15T21:34:27" u="1"/>
        <d v="2025-08-15T21:33:47" u="1"/>
        <d v="2025-08-15T21:33:20" u="1"/>
        <d v="2025-08-15T20:25:38" u="1"/>
        <d v="2025-08-15T21:34:32" u="1"/>
        <d v="2025-08-16T11:11:49" u="1"/>
        <d v="2025-08-16T12:09:48" u="1"/>
        <d v="2025-08-16T07:17:20" u="1"/>
        <d v="2025-08-16T07:17:35" u="1"/>
        <d v="2025-08-15T20:15:47" u="1"/>
        <d v="2025-08-16T17:17:48" u="1"/>
        <d v="2025-08-16T11:57:59" u="1"/>
        <d v="2025-08-15T21:34:08" u="1"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</sharedItems>
      <fieldGroup par="47"/>
    </cacheField>
    <cacheField name="Data Alteração" numFmtId="0">
      <sharedItems containsNonDate="0" containsDate="1" containsString="0" containsBlank="1" minDate="2025-08-21T22:25:37" maxDate="2025-09-12T06:58:30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5007631" maxValue="1174169057179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0-24T15:31:00" maxDate="2025-09-27T00:00:00" count="8000">
        <d v="2025-09-08T10:30:00"/>
        <d v="2025-08-28T09:48:00"/>
        <d v="2025-09-04T17:36:00"/>
        <d v="2025-09-02T12:45:00"/>
        <d v="2025-08-27T12:13:00"/>
        <d v="2025-09-03T13:55:00"/>
        <d v="2025-09-02T14:29:00"/>
        <d v="2025-09-11T08:36:00"/>
        <d v="2025-09-11T09:49:00"/>
        <d v="2025-09-11T12:18:00"/>
        <d v="2025-09-11T13:18:00"/>
        <d v="2025-08-28T00:00:00"/>
        <d v="2025-09-10T09:48:00"/>
        <d v="2025-09-01T13:07:00"/>
        <d v="2025-08-22T15:45:00"/>
        <d v="2025-08-26T16:00:00"/>
        <d v="2025-09-05T13:45:00"/>
        <d v="2025-08-21T17:57:00"/>
        <d v="2025-09-11T15:09:00"/>
        <d v="2025-09-04T16:23:00"/>
        <d v="2025-09-09T17:55:00"/>
        <d v="2025-09-01T12:26:00"/>
        <d v="2025-09-06T08:12:00"/>
        <d v="2025-09-11T16:43:00"/>
        <d v="2025-09-02T07:38:00"/>
        <d v="2025-09-01T10:01:00"/>
        <d v="2025-09-01T14:56:00"/>
        <d v="2025-09-01T16:59:00"/>
        <d v="2025-09-11T14:46:00"/>
        <d v="2025-09-11T20:28:00"/>
        <d v="2025-09-02T13:56:00"/>
        <d v="2025-08-25T19:06:00"/>
        <d v="2025-09-09T15:22:00"/>
        <d v="2025-09-09T12:57:00"/>
        <d v="2025-09-09T13:09:00"/>
        <d v="2025-09-11T13:53:00"/>
        <d v="2025-09-11T16:53:00"/>
        <d v="2025-09-03T18:00:00"/>
        <d v="2025-08-27T18:55:00"/>
        <d v="2025-09-09T15:01:00"/>
        <d v="2025-09-01T11:15:00"/>
        <d v="2025-09-05T10:18:00"/>
        <d v="2025-09-02T10:36:00"/>
        <d v="2025-09-05T11:21:00"/>
        <d v="2025-09-05T11:19:00"/>
        <d v="2025-08-29T17:06:00"/>
        <d v="2025-09-05T09:49:00"/>
        <d v="2025-09-05T09:33:00"/>
        <d v="2025-09-10T16:39:00"/>
        <d v="2025-09-08T17:19:00"/>
        <d v="2025-09-11T18:25:00"/>
        <d v="2025-09-11T16:03:00"/>
        <d v="2025-09-02T13:40:00"/>
        <d v="2025-09-01T10:46:00"/>
        <d v="2025-09-11T13:41:00"/>
        <d v="2025-08-28T16:14:00"/>
        <d v="2025-09-11T14:19:00"/>
        <d v="2025-09-11T15:46:00"/>
        <d v="2025-08-21T17:49:00"/>
        <d v="2025-08-21T12:42:00"/>
        <d v="2025-08-27T23:33:00"/>
        <d v="2025-09-08T18:29:00"/>
        <d v="2025-09-11T10:03:00"/>
        <d v="2025-09-09T14:13:00"/>
        <d v="2025-09-01T18:47:00"/>
        <d v="2025-09-01T18:51:00"/>
        <d v="2025-09-01T18:57:00"/>
        <d v="2025-09-08T09:24:00"/>
        <d v="2025-09-08T09:35:00"/>
        <d v="2025-09-03T09:42:00"/>
        <d v="2025-08-26T23:12:00"/>
        <d v="2025-08-22T11:32:00"/>
        <d v="2025-08-29T13:07:00"/>
        <d v="2025-09-01T13:10:00"/>
        <d v="2025-09-10T14:56:00"/>
        <d v="2025-09-03T15:14:00"/>
        <d v="2025-09-08T10:13:00"/>
        <d v="2025-09-09T16:53:00"/>
        <d v="2025-08-21T15:38:00"/>
        <d v="2025-08-28T11:24:00"/>
        <d v="2025-09-01T18:09:00"/>
        <d v="2025-09-01T18:10:00"/>
        <d v="2025-08-28T15:10:00"/>
        <d v="2025-08-29T14:30:00"/>
        <d v="2025-09-10T19:12:00"/>
        <d v="2025-08-29T13:05:00"/>
        <d v="2025-09-11T16:58:00"/>
        <d v="2025-08-26T17:59:00"/>
        <d v="2025-08-28T09:36:00"/>
        <d v="2025-08-29T16:21:00"/>
        <d v="2025-09-04T18:54:00"/>
        <d v="2025-09-04T18:58:00"/>
        <d v="2025-09-05T15:29:00"/>
        <d v="2025-09-05T15:33:00"/>
        <d v="2025-08-28T13:36:00"/>
        <d v="2025-09-09T12:53:00"/>
        <d v="2025-08-25T15:41:00"/>
        <d v="2025-09-09T07:12:00"/>
        <d v="2025-09-10T13:22:00"/>
        <d v="2025-07-01T08:49:00"/>
        <d v="2025-09-09T13:46:00"/>
        <d v="2025-09-11T08:51:00"/>
        <d v="2025-09-10T16:19:00"/>
        <d v="2025-09-11T07:25:00"/>
        <d v="2025-09-03T17:17:00"/>
        <d v="2025-09-02T21:19:00"/>
        <d v="2025-09-02T12:17:00"/>
        <d v="2025-09-10T08:56:00"/>
        <d v="2025-09-10T13:10:00"/>
        <d v="2025-09-11T07:48:00"/>
        <d v="2025-08-29T07:30:00"/>
        <d v="2025-08-29T16:28:00"/>
        <d v="2025-08-28T15:29:00"/>
        <d v="2025-09-01T12:50:00"/>
        <d v="2025-09-02T09:04:00"/>
        <d v="2025-09-01T06:57:00"/>
        <d v="2025-09-08T16:55:00"/>
        <d v="2025-09-03T14:00:00"/>
        <d v="2025-08-08T07:48:00"/>
        <d v="2025-09-01T08:55:00"/>
        <d v="2025-09-10T13:36:00"/>
        <d v="2025-08-20T13:39:00"/>
        <d v="2025-09-09T12:20:00"/>
        <d v="2025-09-10T15:16:00"/>
        <d v="2025-09-08T11:43:00"/>
        <d v="2025-09-08T13:14:00"/>
        <d v="2025-09-08T13:19:00"/>
        <d v="2025-09-01T12:36:00"/>
        <d v="2025-09-01T12:39:00"/>
        <d v="2025-08-28T08:20:00"/>
        <d v="2025-08-28T09:53:00"/>
        <d v="2025-09-09T15:25:00"/>
        <d v="2025-09-02T12:01:00"/>
        <d v="2025-09-09T07:28:00"/>
        <d v="2025-09-09T00:00:00"/>
        <d v="2025-09-08T00:00:00"/>
        <d v="2025-09-05T00:00:00"/>
        <d v="2025-08-30T00:00:00"/>
        <d v="2025-09-04T00:00:00"/>
        <d v="2025-09-03T10:01:00"/>
        <d v="2025-09-02T00:00:00"/>
        <d v="2025-09-04T09:08:00"/>
        <d v="2025-09-04T14:31:00"/>
        <d v="2025-09-01T00:00:00"/>
        <d v="2025-09-03T00:00:00"/>
        <d v="2025-09-10T08:42:00"/>
        <d v="2025-09-10T00:00:00"/>
        <d v="2025-09-03T12:10:00"/>
        <d v="2025-09-04T16:35:00"/>
        <d v="2025-08-25T12:02:00"/>
        <d v="2025-09-02T11:05:00"/>
        <d v="2025-08-29T00:00:00"/>
        <d v="2025-08-27T15:03:00"/>
        <d v="2025-08-27T00:00:00"/>
        <d v="2025-08-28T10:15:00"/>
        <d v="2025-08-28T14:20:00"/>
        <d v="2025-09-01T11:43:00"/>
        <d v="2025-08-26T10:35:00"/>
        <d v="2025-09-10T10:13:00"/>
        <d v="2025-09-01T10:15:00"/>
        <d v="2025-08-26T00:00:00"/>
        <d v="2025-09-05T10:36:00"/>
        <d v="2025-08-25T09:19:00"/>
        <d v="2025-09-09T13:52:00"/>
        <d v="2025-09-09T11:15:00"/>
        <d v="2025-08-26T14:27:00"/>
        <d v="2025-08-29T17:15:00"/>
        <d v="2025-09-04T09:57:00"/>
        <d v="2025-09-02T10:55:00"/>
        <d v="2025-09-04T15:04:00"/>
        <d v="2025-09-09T15:07:00"/>
        <d v="2025-09-10T16:28:00"/>
        <d v="2025-09-11T16:00:00"/>
        <d v="2025-09-11T16:59:00"/>
        <d v="2025-09-11T12:39:00"/>
        <d v="2025-09-11T14:12:00"/>
        <d v="2025-09-11T18:20:00"/>
        <d v="2025-09-02T17:56:00"/>
        <d v="2025-08-26T07:52:00"/>
        <d v="2025-08-25T17:21:00"/>
        <d v="2025-09-08T15:48:00"/>
        <d v="2025-09-08T16:14:00"/>
        <d v="2025-09-09T20:18:00"/>
        <d v="2025-09-05T14:29:00"/>
        <d v="2025-09-11T12:57:00"/>
        <d v="2025-09-11T18:44:00"/>
        <d v="2025-08-29T15:31:00"/>
        <d v="2025-09-11T10:32:00"/>
        <d v="2025-09-01T17:05:00"/>
        <d v="2025-09-05T17:16:00"/>
        <d v="2025-09-05T17:03:00"/>
        <d v="2025-08-28T13:38:00"/>
        <d v="2025-09-08T08:15:00"/>
        <d v="2025-09-11T12:28:00"/>
        <d v="2025-09-04T13:18:00"/>
        <d v="2025-09-04T12:54:00"/>
        <d v="2025-09-04T12:49:00"/>
        <d v="2025-09-04T12:42:00"/>
        <d v="2025-09-05T13:37:00"/>
        <d v="2025-09-09T14:29:00"/>
        <d v="2025-09-03T13:26:00"/>
        <d v="2025-09-10T15:42:00"/>
        <d v="2025-09-10T15:45:00"/>
        <d v="2025-09-10T11:14:00"/>
        <d v="2025-09-09T16:43:00"/>
        <d v="2025-09-10T16:18:00"/>
        <d v="2025-09-10T17:55:00"/>
        <d v="2025-09-08T09:14:00"/>
        <d v="2025-09-11T13:08:00"/>
        <d v="2025-09-11T13:48:00"/>
        <d v="2025-09-09T13:45:00"/>
        <d v="2025-09-09T14:10:00"/>
        <d v="2025-09-09T14:21:00"/>
        <d v="2025-09-09T14:28:00"/>
        <d v="2025-09-09T14:30:00"/>
        <d v="2025-09-09T14:35:00"/>
        <d v="2025-09-09T14:46:00"/>
        <d v="2025-09-09T15:53:00"/>
        <d v="2025-09-10T12:56:00"/>
        <d v="2025-09-10T14:50:00"/>
        <d v="2025-09-11T13:55:00"/>
        <d v="2025-09-11T14:40:00"/>
        <d v="2025-09-11T14:42:00"/>
        <d v="2025-09-11T15:07:00"/>
        <d v="2025-09-11T15:28:00"/>
        <d v="2025-09-09T09:26:00"/>
        <d v="2025-09-05T14:17:00"/>
        <d v="2025-09-09T10:48:00"/>
        <d v="2025-09-05T13:51:00"/>
        <d v="2025-09-09T09:01:00"/>
        <d v="2025-08-26T14:24:00"/>
        <d v="2025-09-05T08:37:00"/>
        <d v="2025-09-05T08:49:00"/>
        <d v="2025-09-05T13:55:00"/>
        <d v="2025-09-05T14:03:00"/>
        <d v="2025-09-04T08:34:00"/>
        <d v="2025-09-04T08:47:00"/>
        <d v="2025-09-04T15:41:00"/>
        <d v="2025-09-05T07:26:00"/>
        <d v="2025-09-05T07:29:00"/>
        <d v="2025-09-05T07:39:00"/>
        <d v="2025-09-05T07:48:00"/>
        <d v="2025-09-05T07:54:00"/>
        <d v="2025-09-05T07:57:00"/>
        <d v="2025-09-05T07:59:00"/>
        <d v="2025-09-05T08:06:00"/>
        <d v="2025-09-11T07:44:00"/>
        <d v="2025-09-08T15:46:00"/>
        <d v="2025-09-08T16:39:00"/>
        <d v="2025-09-08T16:12:00"/>
        <d v="2025-09-10T09:52:00"/>
        <d v="2025-09-10T10:00:00"/>
        <d v="2025-09-10T10:11:00"/>
        <d v="2025-08-13T10:37:00"/>
        <d v="2025-09-09T13:40:00"/>
        <d v="2025-09-11T10:25:00"/>
        <d v="2025-09-11T17:42:00"/>
        <d v="2025-09-11T17:11:00"/>
        <d v="2025-09-11T12:51:00"/>
        <d v="2025-09-11T15:12:00"/>
        <d v="2025-08-29T18:16:00"/>
        <d v="2025-09-01T17:20:00"/>
        <d v="2025-08-23T07:53:00"/>
        <d v="2025-09-11T12:50:00"/>
        <d v="2025-09-08T19:01:00"/>
        <d v="2025-09-02T20:29:00"/>
        <d v="2025-09-09T10:31:00"/>
        <d v="2025-09-11T13:38:00"/>
        <d v="2025-09-11T16:40:00"/>
        <d v="2025-09-11T16:04:00"/>
        <d v="2025-09-11T20:01:00"/>
        <d v="2025-09-05T15:53:00"/>
        <d v="2025-09-05T15:50:00"/>
        <d v="2025-09-05T15:44:00"/>
        <d v="2025-09-11T15:03:00"/>
        <d v="2025-09-11T15:06:00"/>
        <d v="2025-08-28T09:18:00"/>
        <d v="2025-09-03T17:24:00"/>
        <d v="2025-09-11T13:49:00"/>
        <d v="2025-08-26T17:45:00"/>
        <d v="2025-09-02T12:35:00"/>
        <d v="2025-09-11T16:22:00"/>
        <d v="2025-08-28T16:41:00"/>
        <d v="2025-09-05T16:00:00"/>
        <d v="2025-09-11T18:14:00"/>
        <d v="2025-09-08T15:22:00"/>
        <d v="2025-09-08T15:31:00"/>
        <d v="2025-09-08T15:49:00"/>
        <d v="2025-09-04T10:55:00"/>
        <d v="2025-09-05T20:12:00"/>
        <d v="2025-09-11T12:05:00"/>
        <d v="2025-09-11T12:03:00"/>
        <d v="2025-09-11T10:43:00"/>
        <d v="2025-09-11T04:59:00"/>
        <d v="2025-09-11T05:07:00"/>
        <d v="2025-09-11T02:53:00"/>
        <d v="2025-09-11T19:59:00"/>
        <d v="2025-09-11T16:13:00"/>
        <d v="2025-09-05T21:54:00"/>
        <d v="2025-09-11T17:08:00"/>
        <d v="2025-09-02T17:32:00"/>
        <d v="2025-09-10T07:38:00"/>
        <d v="2025-09-10T07:40:00"/>
        <d v="2025-09-10T07:41:00"/>
        <d v="2025-09-10T07:37:00"/>
        <d v="2025-09-05T08:28:00"/>
        <d v="2025-09-03T12:25:00"/>
        <d v="2025-09-03T12:22:00"/>
        <d v="2025-09-03T05:01:00"/>
        <d v="2025-09-09T11:31:00"/>
        <d v="2025-09-05T09:41:00"/>
        <d v="2025-08-22T00:00:00"/>
        <d v="2025-09-11T12:52:00"/>
        <d v="2025-09-11T00:00:00"/>
        <d v="2025-09-11T12:15:00"/>
        <d v="2025-09-02T07:42:00"/>
        <d v="2025-08-28T08:11:00"/>
        <d v="2025-09-11T13:10:00"/>
        <d v="2025-09-11T16:09:00"/>
        <d v="2025-09-05T20:44:00"/>
        <d v="2025-09-11T11:27:00"/>
        <d v="2025-09-11T16:11:00"/>
        <d v="2025-09-11T13:35:00"/>
        <d v="2025-09-09T16:45:00"/>
        <d v="2025-09-08T17:23:00"/>
        <d v="2025-09-08T17:13:00"/>
        <d v="2025-09-11T17:26:00"/>
        <d v="2025-09-09T12:12:00"/>
        <d v="2025-09-11T18:35:00"/>
        <d v="2025-09-11T16:49:00"/>
        <d v="2025-09-10T17:57:00"/>
        <d v="2025-09-11T07:33:00"/>
        <d v="2025-09-11T01:40:00"/>
        <d v="2025-09-10T10:42:00"/>
        <d v="2025-09-11T07:26:00"/>
        <d v="2025-09-05T14:16:00"/>
        <d v="2025-09-10T17:50:00"/>
        <d v="2025-09-01T08:16:00"/>
        <d v="2025-09-08T15:19:00"/>
        <d v="2025-09-02T05:45:00"/>
        <d v="2025-09-11T10:16:00"/>
        <d v="2025-09-10T15:15:00"/>
        <d v="2025-09-10T19:29:00"/>
        <d v="2025-09-09T14:05:00"/>
        <d v="2025-09-10T17:53:00"/>
        <d v="2025-09-10T14:34:00"/>
        <d v="2025-09-03T12:48:00"/>
        <d v="2025-09-11T09:24:00"/>
        <d v="2025-09-08T14:28:00"/>
        <d v="2025-09-11T15:35:00"/>
        <d v="2025-08-29T10:58:00"/>
        <d v="2025-09-04T13:27:00"/>
        <d v="2025-04-07T07:30:00"/>
        <d v="2025-08-28T11:48:00"/>
        <d v="2025-08-27T14:44:00"/>
        <d v="2025-08-18T08:15:00"/>
        <d v="2025-08-22T14:07:00"/>
        <d v="2025-09-01T08:11:00"/>
        <d v="2025-08-06T14:43:00"/>
        <d v="2025-09-09T14:19:00"/>
        <d v="2025-09-11T11:47:00"/>
        <d v="2025-07-07T17:00:00"/>
        <d v="2025-09-05T16:26:00"/>
        <d v="2025-09-11T10:41:00"/>
        <d v="2025-01-23T08:27:00"/>
        <d v="2025-09-03T11:57:00"/>
        <d v="2025-09-09T13:44:00"/>
        <d v="2025-09-04T07:09:00"/>
        <d v="2025-09-04T14:50:00"/>
        <d v="2025-09-05T12:02:00"/>
        <d v="2025-09-11T12:44:00"/>
        <d v="2025-09-10T17:41:00"/>
        <d v="2025-09-04T15:07:00"/>
        <d v="2025-09-09T16:54:00"/>
        <d v="2025-08-29T11:21:00"/>
        <d v="2025-09-11T14:01:00"/>
        <d v="2025-08-15T14:53:00"/>
        <d v="2025-09-08T13:09:00"/>
        <d v="2025-06-03T11:47:00"/>
        <d v="2025-03-24T10:26:00"/>
        <d v="2025-08-21T17:07:00"/>
        <d v="2025-09-05T10:26:00"/>
        <d v="2025-09-09T20:03:00"/>
        <d v="2025-09-06T12:50:00"/>
        <d v="2025-09-05T17:11:00"/>
        <d v="2025-09-08T09:20:00"/>
        <d v="2025-09-11T06:13:00"/>
        <d v="2025-09-11T12:53:00"/>
        <d v="2025-09-08T07:20:00"/>
        <d v="2025-09-02T17:20:00"/>
        <d v="2025-07-14T17:51:00"/>
        <d v="2025-09-09T09:11:00"/>
        <d v="2025-09-10T10:54:00"/>
        <d v="2025-09-11T13:31:00"/>
        <d v="2025-08-21T20:56:00"/>
        <d v="2025-09-01T15:16:00"/>
        <d v="2025-09-02T08:41:00"/>
        <d v="2025-09-09T17:00:00"/>
        <d v="2025-09-11T16:17:00"/>
        <d v="2025-08-28T13:06:00"/>
        <d v="2025-08-27T13:06:00"/>
        <d v="2025-09-10T13:12:00"/>
        <d v="2025-09-10T14:41:00"/>
        <d v="2025-08-29T11:44:00"/>
        <d v="2025-09-01T12:16:00"/>
        <d v="2025-09-09T20:02:00"/>
        <d v="2025-09-11T09:23:00"/>
        <d v="2025-09-03T10:04:00"/>
        <d v="2025-09-11T17:03:00"/>
        <d v="2025-09-09T13:06:00"/>
        <d v="2025-08-29T11:49:00"/>
        <d v="2025-09-09T09:45:00"/>
        <d v="2025-09-08T08:33:00"/>
        <d v="2025-09-08T08:29:00"/>
        <m/>
        <d v="2025-07-16T18:39:00" u="1"/>
        <d v="2025-07-16T16:53:00" u="1"/>
        <d v="2025-07-17T19:29:00" u="1"/>
        <d v="2025-09-04T14:55:00" u="1"/>
        <d v="2025-09-05T08:47:00" u="1"/>
        <d v="2025-09-04T13:58:00" u="1"/>
        <d v="2025-09-10T08:04:00" u="1"/>
        <d v="2025-07-15T12:50:00" u="1"/>
        <d v="2025-09-04T13:41:00" u="1"/>
        <d v="2025-09-08T11:11:00" u="1"/>
        <d v="2025-09-08T11:07:00" u="1"/>
        <d v="2025-09-10T18:06:00" u="1"/>
        <d v="2025-09-10T16:02:00" u="1"/>
        <d v="2025-09-10T14:43:00" u="1"/>
        <d v="2025-09-08T14:54:00" u="1"/>
        <d v="2025-09-09T18:42:00" u="1"/>
        <d v="2025-09-09T18:34:00" u="1"/>
        <d v="2025-09-09T18:17:00" u="1"/>
        <d v="2025-09-09T17:30:00" u="1"/>
        <d v="2025-09-10T10:16:00" u="1"/>
        <d v="2025-08-22T17:45:00" u="1"/>
        <d v="2025-09-10T10:58:00" u="1"/>
        <d v="2025-09-10T10:25:00" u="1"/>
        <d v="2025-09-09T09:46:00" u="1"/>
        <d v="2025-09-09T09:07:00" u="1"/>
        <d v="2025-09-05T16:44:00" u="1"/>
        <d v="2025-09-05T15:16:00" u="1"/>
        <d v="2025-09-10T10:34:00" u="1"/>
        <d v="2025-09-08T12:40:00" u="1"/>
        <d v="2025-09-09T09:06:00" u="1"/>
        <d v="2025-09-10T16:29:00" u="1"/>
        <d v="2025-09-10T13:40:00" u="1"/>
        <d v="2025-09-10T12:16:00" u="1"/>
        <d v="2025-09-10T13:04:00" u="1"/>
        <d v="2025-09-09T16:11:00" u="1"/>
        <d v="2025-09-09T16:23:00" u="1"/>
        <d v="2025-09-05T16:36:00" u="1"/>
        <d v="2025-09-09T16:14:00" u="1"/>
        <d v="2025-09-08T17:53:00" u="1"/>
        <d v="2025-09-09T11:49:00" u="1"/>
        <d v="2025-08-07T16:04:00" u="1"/>
        <d v="2025-09-05T10:29:00" u="1"/>
        <d v="2025-09-10T15:13:00" u="1"/>
        <d v="2025-08-27T09:48:00" u="1"/>
        <d v="2025-09-09T18:38:00" u="1"/>
        <d v="2025-09-08T10:20:00" u="1"/>
        <d v="2025-08-26T11:12:00" u="1"/>
        <d v="2025-08-11T15:01:00" u="1"/>
        <d v="2025-08-13T08:13:00" u="1"/>
        <d v="2025-08-11T14:59:00" u="1"/>
        <d v="2025-08-11T14:55:00" u="1"/>
        <d v="2025-09-10T11:01:00" u="1"/>
        <d v="2025-09-09T12:37:00" u="1"/>
        <d v="2025-09-10T22:11:00" u="1"/>
        <d v="2025-09-08T17:15:00" u="1"/>
        <d v="2025-09-10T15:48:00" u="1"/>
        <d v="2025-09-09T08:06:00" u="1"/>
        <d v="2025-09-09T12:27:00" u="1"/>
        <d v="2025-09-09T14:15:00" u="1"/>
        <d v="2025-09-09T14:31:00" u="1"/>
        <d v="2025-09-10T10:45:00" u="1"/>
        <d v="2025-09-10T11:00:00" u="1"/>
        <d v="2025-09-10T10:57:00" u="1"/>
        <d v="2025-09-09T18:50:00" u="1"/>
        <d v="2025-07-15T11:00:00" u="1"/>
        <d v="2025-09-04T08:24:00" u="1"/>
        <d v="2025-09-04T08:26:00" u="1"/>
        <d v="2025-09-04T08:28:00" u="1"/>
        <d v="2025-08-21T16:35:00" u="1"/>
        <d v="2025-09-10T09:01:00" u="1"/>
        <d v="2025-09-08T13:55:00" u="1"/>
        <d v="2025-09-03T15:11:00" u="1"/>
        <d v="2025-09-10T10:47:00" u="1"/>
        <d v="2025-08-15T01:36:00" u="1"/>
        <d v="2025-08-18T14:16:00" u="1"/>
        <d v="2025-08-20T14:19:00" u="1"/>
        <d v="2025-09-08T19:51:00" u="1"/>
        <d v="2025-09-10T12:20:00" u="1"/>
        <d v="2025-09-08T14:05:00" u="1"/>
        <d v="2025-09-04T21:12:00" u="1"/>
        <d v="2025-09-10T16:20:00" u="1"/>
        <d v="2025-08-14T10:56:00" u="1"/>
        <d v="2025-08-11T21:34:00" u="1"/>
        <d v="2025-08-19T11:08:00" u="1"/>
        <d v="2025-09-10T20:51:00" u="1"/>
        <d v="2025-09-08T13:47:00" u="1"/>
        <d v="2025-09-08T13:44:00" u="1"/>
        <d v="2025-09-08T13:46:00" u="1"/>
        <d v="2025-09-08T13:48:00" u="1"/>
        <d v="2025-09-05T15:59:00" u="1"/>
        <d v="2025-09-06T10:17:00" u="1"/>
        <d v="2025-09-04T14:21:00" u="1"/>
        <d v="2025-09-05T11:01:00" u="1"/>
        <d v="2025-09-10T13:31:00" u="1"/>
        <d v="2025-09-08T20:38:00" u="1"/>
        <d v="2025-08-26T16:42:00" u="1"/>
        <d v="2025-08-11T18:03:00" u="1"/>
        <d v="2025-09-08T21:50:00" u="1"/>
        <d v="2025-09-10T15:18:00" u="1"/>
        <d v="2025-07-23T14:28:00" u="1"/>
        <d v="2025-09-09T16:15:00" u="1"/>
        <d v="2025-09-03T11:30:00" u="1"/>
        <d v="2025-09-03T11:24:00" u="1"/>
        <d v="2025-09-05T16:16:00" u="1"/>
        <d v="2025-09-09T09:25:00" u="1"/>
        <d v="2025-09-02T07:33:00" u="1"/>
        <d v="2025-09-03T17:09:00" u="1"/>
        <d v="2025-09-08T09:37:00" u="1"/>
        <d v="2025-09-10T11:09:00" u="1"/>
        <d v="2025-08-11T00:00:00" u="1"/>
        <d v="2025-08-15T00:00:00" u="1"/>
        <d v="2025-09-03T14:17:00" u="1"/>
        <d v="2025-08-20T12:56:00" u="1"/>
        <d v="2025-08-29T13:41:00" u="1"/>
        <d v="2025-09-05T17:47:00" u="1"/>
        <d v="2025-09-08T10:11:00" u="1"/>
        <d v="2025-09-10T15:50:00" u="1"/>
        <d v="2025-09-09T14:08:00" u="1"/>
        <d v="2025-09-05T09:12:00" u="1"/>
        <d v="2025-08-18T10:07:00" u="1"/>
        <d v="2025-07-30T00:00:00" u="1"/>
        <d v="2025-09-05T15:05:00" u="1"/>
        <d v="2025-09-04T16:28:00" u="1"/>
        <d v="2025-09-08T14:43:00" u="1"/>
        <d v="2025-09-08T20:28:00" u="1"/>
        <d v="2025-09-09T13:26:00" u="1"/>
        <d v="2025-09-08T09:54:00" u="1"/>
        <d v="2025-08-08T10:30:00" u="1"/>
        <d v="2025-08-08T12:00:00" u="1"/>
        <d v="2025-08-08T12:12:00" u="1"/>
        <d v="2025-08-08T12:23:00" u="1"/>
        <d v="2025-08-15T09:26:00" u="1"/>
        <d v="2025-09-04T17:50:00" u="1"/>
        <d v="2025-08-04T11:30:00" u="1"/>
        <d v="2025-09-05T17:58:00" u="1"/>
        <d v="2025-09-05T18:31:00" u="1"/>
        <d v="2025-08-28T17:10:00" u="1"/>
        <d v="2025-09-06T14:20:00" u="1"/>
        <d v="2025-09-05T15:15:00" u="1"/>
        <d v="2025-09-05T07:40:00" u="1"/>
        <d v="2025-09-04T17:54:00" u="1"/>
        <d v="2025-09-10T19:46:00" u="1"/>
        <d v="2025-09-02T14:16:00" u="1"/>
        <d v="2025-09-10T17:22:00" u="1"/>
        <d v="2025-09-10T15:09:00" u="1"/>
        <d v="2025-09-08T18:32:00" u="1"/>
        <d v="2025-09-09T10:18:00" u="1"/>
        <d v="2025-09-08T16:13:00" u="1"/>
        <d v="2025-09-08T15:51:00" u="1"/>
        <d v="2025-08-23T13:06:00" u="1"/>
        <d v="2025-09-10T20:32:00" u="1"/>
        <d v="2025-09-10T19:05:00" u="1"/>
        <d v="2025-09-05T15:08:00" u="1"/>
        <d v="2025-09-08T14:29:00" u="1"/>
        <d v="2025-09-05T16:33:00" u="1"/>
        <d v="2025-08-15T10:46:00" u="1"/>
        <d v="2025-08-15T10:47:00" u="1"/>
        <d v="2025-09-04T14:00:00" u="1"/>
        <d v="2025-09-08T08:36:00" u="1"/>
        <d v="2025-09-08T10:00:00" u="1"/>
        <d v="2025-09-10T19:20:00" u="1"/>
        <d v="2025-09-10T09:57:00" u="1"/>
        <d v="2025-09-09T16:24:00" u="1"/>
        <d v="2025-09-08T11:29:00" u="1"/>
        <d v="2025-08-27T16:54:00" u="1"/>
        <d v="2025-09-09T18:06:00" u="1"/>
        <d v="2025-09-09T18:02:00" u="1"/>
        <d v="2025-09-05T09:48:00" u="1"/>
        <d v="2025-09-03T19:07:00" u="1"/>
        <d v="2025-09-08T09:05:00" u="1"/>
        <d v="2025-09-08T08:51:00" u="1"/>
        <d v="2025-09-09T08:38:00" u="1"/>
        <d v="2025-09-08T22:35:00" u="1"/>
        <d v="2025-09-08T11:32:00" u="1"/>
        <d v="2025-09-05T18:27:00" u="1"/>
        <d v="2025-09-09T18:56:00" u="1"/>
        <d v="2025-09-02T20:24:00" u="1"/>
        <d v="2025-09-09T16:55:00" u="1"/>
        <d v="2025-09-10T16:10:00" u="1"/>
        <d v="2025-09-09T13:38:00" u="1"/>
        <d v="2025-09-05T17:19:00" u="1"/>
        <d v="2025-09-05T16:54:00" u="1"/>
        <d v="2025-09-08T17:49:00" u="1"/>
        <d v="2025-09-08T17:39:00" u="1"/>
        <d v="2025-09-08T15:56:00" u="1"/>
        <d v="2025-09-08T14:45:00" u="1"/>
        <d v="2025-09-08T09:55:00" u="1"/>
        <d v="2025-08-11T19:00:00" u="1"/>
        <d v="2025-09-10T09:31:00" u="1"/>
        <d v="2025-09-05T18:44:00" u="1"/>
        <d v="2025-09-10T11:40:00" u="1"/>
        <d v="2025-09-04T17:12:00" u="1"/>
        <d v="2025-08-11T10:57:00" u="1"/>
        <d v="2025-09-05T18:59:00" u="1"/>
        <d v="2025-08-08T12:08:00" u="1"/>
        <d v="2025-08-12T15:11:00" u="1"/>
        <d v="2025-09-08T18:51:00" u="1"/>
        <d v="2025-09-08T18:53:00" u="1"/>
        <d v="2025-09-08T17:42:00" u="1"/>
        <d v="2025-09-08T13:59:00" u="1"/>
        <d v="2025-09-05T15:42:00" u="1"/>
        <d v="2025-09-02T20:28:00" u="1"/>
        <d v="2025-09-09T18:27:00" u="1"/>
        <d v="2025-09-10T10:55:00" u="1"/>
        <d v="2025-09-01T08:17:00" u="1"/>
        <d v="2025-09-08T19:00:00" u="1"/>
        <d v="2025-09-08T19:02:00" u="1"/>
        <d v="2025-09-08T19:03:00" u="1"/>
        <d v="2025-09-08T17:32:00" u="1"/>
        <d v="2025-09-08T18:56:00" u="1"/>
        <d v="2025-09-10T10:49:00" u="1"/>
        <d v="2025-09-09T18:26:00" u="1"/>
        <d v="2025-08-13T18:06:00" u="1"/>
        <d v="2025-09-08T08:49:00" u="1"/>
        <d v="2025-08-19T12:10:00" u="1"/>
        <d v="2025-08-12T10:07:00" u="1"/>
        <d v="2025-09-05T08:16:00" u="1"/>
        <d v="2025-09-09T13:22:00" u="1"/>
        <d v="2025-09-09T08:07:00" u="1"/>
        <d v="2025-09-09T15:37:00" u="1"/>
        <d v="2025-09-08T17:31:00" u="1"/>
        <d v="2025-09-03T15:28:00" u="1"/>
        <d v="2025-09-10T10:19:00" u="1"/>
        <d v="2025-09-08T08:39:00" u="1"/>
        <d v="2025-09-08T08:31:00" u="1"/>
        <d v="2025-09-05T11:08:00" u="1"/>
        <d v="2025-09-10T14:23:00" u="1"/>
        <d v="2025-09-10T12:23:00" u="1"/>
        <d v="2025-09-09T14:38:00" u="1"/>
        <d v="2025-09-09T09:18:00" u="1"/>
        <d v="2025-08-26T18:57:00" u="1"/>
        <d v="2025-08-28T08:08:00" u="1"/>
        <d v="2025-09-09T14:59:00" u="1"/>
        <d v="2025-09-10T20:41:00" u="1"/>
        <d v="2025-09-09T17:48:00" u="1"/>
        <d v="2025-09-08T11:36:00" u="1"/>
        <d v="2025-09-09T19:04:00" u="1"/>
        <d v="2025-08-28T09:15:00" u="1"/>
        <d v="2025-09-04T15:22:00" u="1"/>
        <d v="2025-09-04T15:09:00" u="1"/>
        <d v="2025-09-10T11:44:00" u="1"/>
        <d v="2025-09-08T13:54:00" u="1"/>
        <d v="2025-09-09T14:16:00" u="1"/>
        <d v="2025-09-08T07:59:00" u="1"/>
        <d v="2025-09-08T07:06:00" u="1"/>
        <d v="2025-09-09T14:37:00" u="1"/>
        <d v="2025-09-08T09:18:00" u="1"/>
        <d v="2025-08-01T06:04:00" u="1"/>
        <d v="2025-08-14T00:00:00" u="1"/>
        <d v="2025-08-15T13:55:00" u="1"/>
        <d v="2025-09-09T15:00:00" u="1"/>
        <d v="2025-09-08T16:03:00" u="1"/>
        <d v="2025-09-10T11:16:00" u="1"/>
        <d v="2025-09-09T10:39:00" u="1"/>
        <d v="2025-09-08T08:14:00" u="1"/>
        <d v="2025-09-09T05:55:00" u="1"/>
        <d v="2025-09-09T06:01:00" u="1"/>
        <d v="2025-09-10T02:51:00" u="1"/>
        <d v="2025-08-18T12:24:53" u="1"/>
        <d v="2025-09-09T09:43:00" u="1"/>
        <d v="2025-09-09T13:00:00" u="1"/>
        <d v="2025-09-09T03:21:00" u="1"/>
        <d v="2025-09-02T04:42:00" u="1"/>
        <d v="2025-09-09T03:55:00" u="1"/>
        <d v="2025-09-10T11:08:00" u="1"/>
        <d v="2025-09-09T14:24:00" u="1"/>
        <d v="2025-09-09T10:03:00" u="1"/>
        <d v="2025-09-06T09:44:00" u="1"/>
        <d v="2025-09-02T18:57:00" u="1"/>
        <d v="2025-09-08T09:29:00" u="1"/>
        <d v="2025-09-08T09:32:00" u="1"/>
        <d v="2025-09-02T14:15:00" u="1"/>
        <d v="2025-09-08T09:34:00" u="1"/>
        <d v="2025-04-29T08:15:00" u="1"/>
        <d v="2025-09-09T19:20:00" u="1"/>
        <d v="2025-09-09T12:44:00" u="1"/>
        <d v="2025-09-10T08:31:00" u="1"/>
        <d v="2025-08-13T14:07:00" u="1"/>
        <d v="2025-08-15T11:25:00" u="1"/>
        <d v="2025-08-13T07:08:00" u="1"/>
        <d v="2025-09-08T08:26:00" u="1"/>
        <d v="2025-08-28T11:55:00" u="1"/>
        <d v="2025-09-08T10:15:00" u="1"/>
        <d v="2025-09-08T10:27:00" u="1"/>
        <d v="2025-09-08T13:00:00" u="1"/>
        <d v="2025-09-08T12:39:00" u="1"/>
        <d v="2025-09-05T14:42:00" u="1"/>
        <d v="2025-09-03T15:40:00" u="1"/>
        <d v="2025-09-01T15:00:00" u="1"/>
        <d v="2025-08-29T08:30:00" u="1"/>
        <d v="2025-08-15T07:48:00" u="1"/>
        <d v="2025-08-01T08:54:00" u="1"/>
        <d v="2025-09-08T13:40:00" u="1"/>
        <d v="2025-09-08T13:49:00" u="1"/>
        <d v="2025-09-08T12:49:00" u="1"/>
        <d v="2025-09-02T07:54:00" u="1"/>
        <d v="2025-09-01T06:15:00" u="1"/>
        <d v="2025-09-01T13:49:00" u="1"/>
        <d v="2025-09-02T08:20:00" u="1"/>
        <d v="2025-08-07T10:20:00" u="1"/>
        <d v="2025-04-01T00:00:00" u="1"/>
        <d v="2025-09-10T10:39:00" u="1"/>
        <d v="2025-06-17T00:00:00" u="1"/>
        <d v="2025-09-09T13:51:00" u="1"/>
        <d v="2025-09-09T14:03:00" u="1"/>
        <d v="2025-09-10T05:15:00" u="1"/>
        <d v="2025-09-08T07:08:00" u="1"/>
        <d v="2025-09-08T13:20:00" u="1"/>
        <d v="2025-09-08T13:42:00" u="1"/>
        <d v="2025-09-08T12:53:00" u="1"/>
        <d v="2025-09-09T13:03:00" u="1"/>
        <d v="2025-09-04T21:00:00" u="1"/>
        <d v="2025-09-03T14:29:00" u="1"/>
        <d v="2025-09-09T11:08:00" u="1"/>
        <d v="2025-09-10T09:04:00" u="1"/>
        <d v="2025-09-10T10:26:00" u="1"/>
        <d v="2025-09-09T11:02:00" u="1"/>
        <d v="2025-03-17T08:27:00" u="1"/>
        <d v="2025-09-09T09:54:00" u="1"/>
        <d v="2025-09-10T14:24:00" u="1"/>
        <d v="2025-04-17T00:00:00" u="1"/>
        <d v="2025-09-08T13:10:00" u="1"/>
        <d v="2025-09-08T08:00:00" u="1"/>
        <d v="2025-09-08T16:32:00" u="1"/>
        <d v="2025-09-09T14:47:00" u="1"/>
        <d v="2025-05-08T00:00:00" u="1"/>
        <d v="2025-09-09T14:44:00" u="1"/>
        <d v="2025-07-18T12:05:00" u="1"/>
        <d v="2025-08-13T16:07:00" u="1"/>
        <d v="2025-09-05T15:01:00" u="1"/>
        <d v="2025-03-25T09:34:00" u="1"/>
        <d v="2025-08-04T17:58:00" u="1"/>
        <d v="2025-09-09T11:05:00" u="1"/>
        <d v="2025-09-10T08:14:00" u="1"/>
        <d v="2025-09-08T15:58:00" u="1"/>
        <d v="2025-09-10T08:40:00" u="1"/>
        <d v="2025-09-10T04:40:00" u="1"/>
        <d v="2025-09-10T01:51:00" u="1"/>
        <d v="2025-09-10T01:07:00" u="1"/>
        <d v="2025-09-09T06:19:00" u="1"/>
        <d v="2025-09-10T06:55:00" u="1"/>
        <d v="2025-09-10T07:30:00" u="1"/>
        <d v="2025-09-10T01:26:00" u="1"/>
        <d v="2025-09-10T15:31:00" u="1"/>
        <d v="2025-09-10T11:02:00" u="1"/>
        <d v="2025-09-10T09:23:00" u="1"/>
        <d v="2025-07-17T14:14:00" u="1"/>
        <d v="2025-09-09T17:11:00" u="1"/>
        <d v="2025-07-07T00:00:00" u="1"/>
        <d v="2025-09-05T09:47:00" u="1"/>
        <d v="2025-08-10T19:54:00" u="1"/>
        <d v="2025-08-04T18:00:00" u="1"/>
        <d v="2025-08-04T19:00:00" u="1"/>
        <d v="2025-08-19T07:57:00" u="1"/>
        <d v="2025-08-15T10:59:00" u="1"/>
        <d v="2025-08-07T06:19:00" u="1"/>
        <d v="2025-08-04T14:32:00" u="1"/>
        <d v="2025-07-28T13:52:00" u="1"/>
        <d v="2025-07-24T17:45:00" u="1"/>
        <d v="2025-07-24T17:41:00" u="1"/>
        <d v="2025-05-01T13:40:00" u="1"/>
        <d v="2025-08-08T17:36:00" u="1"/>
        <d v="2025-09-10T15:27:00" u="1"/>
        <d v="2025-03-05T16:46:00" u="1"/>
        <d v="2025-09-07T09:26:00" u="1"/>
        <d v="2025-08-13T14:22:00" u="1"/>
        <d v="2025-09-09T17:33:00" u="1"/>
        <d v="2025-09-08T13:21:00" u="1"/>
        <d v="2025-08-26T14:19:00" u="1"/>
        <d v="2025-09-03T07:57:00" u="1"/>
        <d v="2025-08-27T15:13:00" u="1"/>
        <d v="2025-08-29T12:45:00" u="1"/>
        <d v="2025-09-02T09:21:00" u="1"/>
        <d v="2025-09-05T09:11:00" u="1"/>
        <d v="2025-09-04T11:34:00" u="1"/>
        <d v="2025-09-26T00:00:00" u="1"/>
        <d v="2025-08-20T14:04:00" u="1"/>
        <d v="2025-08-27T18:03:00" u="1"/>
        <d v="2025-08-28T13:41:00" u="1"/>
        <d v="2025-09-04T17:44:00" u="1"/>
        <d v="2025-09-08T15:37:00" u="1"/>
        <d v="2025-09-05T17:46:00" u="1"/>
        <d v="2025-09-02T11:48:00" u="1"/>
        <d v="2025-09-02T09:43:00" u="1"/>
        <d v="2025-09-02T12:00:00" u="1"/>
        <d v="2025-08-21T16:20:00" u="1"/>
        <d v="2025-08-27T13:21:00" u="1"/>
        <d v="2025-08-27T13:19:00" u="1"/>
        <d v="2025-08-26T14:23:00" u="1"/>
        <d v="2025-08-14T14:17:00" u="1"/>
        <d v="2025-08-21T14:23:00" u="1"/>
        <d v="2025-08-21T13:28:00" u="1"/>
        <d v="2025-09-09T04:18:00" u="1"/>
        <d v="2025-09-09T01:17:00" u="1"/>
        <d v="2025-09-07T10:00:00" u="1"/>
        <d v="2025-09-07T10:09:00" u="1"/>
        <d v="2025-09-08T03:57:00" u="1"/>
        <d v="2025-09-09T07:54:00" u="1"/>
        <d v="2025-09-09T08:26:00" u="1"/>
        <d v="2025-09-08T12:04:00" u="1"/>
        <d v="2025-09-09T13:08:00" u="1"/>
        <d v="2025-09-03T23:59:00" u="1"/>
        <d v="2025-09-09T08:03:00" u="1"/>
        <d v="2025-09-04T01:38:00" u="1"/>
        <d v="2025-09-09T14:01:00" u="1"/>
        <d v="2025-09-06T09:49:00" u="1"/>
        <d v="2025-09-09T10:34:00" u="1"/>
        <d v="2025-09-09T19:42:00" u="1"/>
        <d v="2025-09-09T10:04:00" u="1"/>
        <d v="2025-09-09T11:03:00" u="1"/>
        <d v="2025-09-09T11:50:00" u="1"/>
        <d v="2025-08-27T11:45:00" u="1"/>
        <d v="2025-09-08T18:08:00" u="1"/>
        <d v="2025-09-09T02:33:00" u="1"/>
        <d v="2025-09-09T17:47:00" u="1"/>
        <d v="2025-09-09T18:24:00" u="1"/>
        <d v="2025-09-08T18:30:00" u="1"/>
        <d v="2025-09-09T11:34:00" u="1"/>
        <d v="2025-09-03T13:50:00" u="1"/>
        <d v="2025-08-27T14:23:00" u="1"/>
        <d v="2025-09-10T04:59:00" u="1"/>
        <d v="2025-09-09T17:03:00" u="1"/>
        <d v="2025-09-09T15:39:00" u="1"/>
        <d v="2025-09-09T15:41:00" u="1"/>
        <d v="2025-09-09T09:14:00" u="1"/>
        <d v="2025-09-01T18:55:00" u="1"/>
        <d v="2025-09-09T11:36:00" u="1"/>
        <d v="2025-09-09T02:49:00" u="1"/>
        <d v="2025-09-08T06:50:00" u="1"/>
        <d v="2025-09-09T10:06:00" u="1"/>
        <d v="2025-09-09T16:59:00" u="1"/>
        <d v="2025-09-08T13:57:00" u="1"/>
        <d v="2025-09-05T15:49:00" u="1"/>
        <d v="2025-09-08T13:05:00" u="1"/>
        <d v="2025-09-08T14:12:00" u="1"/>
        <d v="2025-09-08T14:41:00" u="1"/>
        <d v="2025-09-08T15:34:00" u="1"/>
        <d v="2025-09-03T12:41:00" u="1"/>
        <d v="2025-09-05T07:28:00" u="1"/>
        <d v="2025-09-05T08:48:00" u="1"/>
        <d v="2025-09-04T13:07:00" u="1"/>
        <d v="2025-09-02T15:56:00" u="1"/>
        <d v="2025-09-03T15:15:00" u="1"/>
        <d v="2025-09-03T09:38:00" u="1"/>
        <d v="2025-09-01T12:35:00" u="1"/>
        <d v="2025-09-01T12:52:00" u="1"/>
        <d v="2025-09-02T07:04:00" u="1"/>
        <d v="2025-09-02T07:08:00" u="1"/>
        <d v="2025-09-05T09:24:00" u="1"/>
        <d v="2025-08-29T17:42:00" u="1"/>
        <d v="2025-09-01T15:13:00" u="1"/>
        <d v="2025-08-19T16:06:00" u="1"/>
        <d v="2025-08-22T12:56:00" u="1"/>
        <d v="2025-09-08T09:59:00" u="1"/>
        <d v="2025-09-05T09:26:00" u="1"/>
        <d v="2025-09-05T09:23:00" u="1"/>
        <d v="2025-09-08T16:42:00" u="1"/>
        <d v="2025-09-08T16:41:00" u="1"/>
        <d v="2025-09-08T16:36:00" u="1"/>
        <d v="2025-09-08T08:40:00" u="1"/>
        <d v="2025-09-02T07:59:00" u="1"/>
        <d v="2025-09-03T07:35:00" u="1"/>
        <d v="2025-09-08T13:43:00" u="1"/>
        <d v="2025-09-08T15:24:00" u="1"/>
        <d v="2025-09-08T16:01:00" u="1"/>
        <d v="2025-09-04T17:25:00" u="1"/>
        <d v="2025-09-04T14:48:00" u="1"/>
        <d v="2025-09-04T14:14:00" u="1"/>
        <d v="2025-09-08T14:25:00" u="1"/>
        <d v="2025-09-08T03:43:00" u="1"/>
        <d v="2025-09-05T06:57:00" u="1"/>
        <d v="2025-09-05T06:01:00" u="1"/>
        <d v="2025-09-08T10:35:00" u="1"/>
        <d v="2025-09-08T16:53:00" u="1"/>
        <d v="2025-09-08T01:09:00" u="1"/>
        <d v="2025-09-08T01:24:00" u="1"/>
        <d v="2025-09-08T13:22:00" u="1"/>
        <d v="2025-09-09T01:16:00" u="1"/>
        <d v="2025-09-08T03:05:00" u="1"/>
        <d v="2025-09-08T02:47:00" u="1"/>
        <d v="2025-09-06T18:00:00" u="1"/>
        <d v="2025-09-08T03:22:00" u="1"/>
        <d v="2025-09-08T02:41:00" u="1"/>
        <d v="2025-09-08T02:51:00" u="1"/>
        <d v="2025-09-08T04:09:00" u="1"/>
        <d v="2025-09-07T04:45:00" u="1"/>
        <d v="2025-09-08T03:19:00" u="1"/>
        <d v="2025-09-08T09:08:00" u="1"/>
        <d v="2025-09-05T12:05:00" u="1"/>
        <d v="2025-09-08T16:15:00" u="1"/>
        <d v="2025-09-05T19:00:00" u="1"/>
        <d v="2025-09-08T09:27:00" u="1"/>
        <d v="2025-09-04T12:05:00" u="1"/>
        <d v="2025-09-01T10:20:00" u="1"/>
        <d v="2025-09-09T05:31:00" u="1"/>
        <d v="2025-09-08T09:44:00" u="1"/>
        <d v="2025-09-08T03:49:00" u="1"/>
        <d v="2025-09-08T01:34:00" u="1"/>
        <d v="2025-09-08T04:19:00" u="1"/>
        <d v="2025-09-07T11:34:00" u="1"/>
        <d v="2025-09-08T08:21:00" u="1"/>
        <d v="2025-09-07T06:36:00" u="1"/>
        <d v="2025-09-07T04:56:00" u="1"/>
        <d v="2025-09-08T07:30:00" u="1"/>
        <d v="2025-09-08T10:23:00" u="1"/>
        <d v="2025-09-08T03:58:00" u="1"/>
        <d v="2025-09-08T04:05:00" u="1"/>
        <d v="2025-08-29T14:15:00" u="1"/>
        <d v="2025-09-01T10:41:00" u="1"/>
        <d v="2025-09-01T10:56:00" u="1"/>
        <d v="2025-09-01T15:23:00" u="1"/>
        <d v="2025-09-02T10:00:00" u="1"/>
        <d v="2025-09-02T10:59:00" u="1"/>
        <d v="2025-09-05T16:27:00" u="1"/>
        <d v="2025-09-05T15:19:00" u="1"/>
        <d v="2025-09-07T18:49:00" u="1"/>
        <d v="2025-09-04T18:39:00" u="1"/>
        <d v="2025-09-04T17:18:00" u="1"/>
        <d v="2025-09-04T15:00:00" u="1"/>
        <d v="2025-09-01T11:48:00" u="1"/>
        <d v="2025-09-05T12:55:00" u="1"/>
        <d v="2025-08-19T10:28:00" u="1"/>
        <d v="2025-09-04T06:55:00" u="1"/>
        <d v="2025-09-05T11:47:00" u="1"/>
        <d v="2025-09-05T15:14:00" u="1"/>
        <d v="2025-09-03T14:25:00" u="1"/>
        <d v="2025-09-05T15:09:00" u="1"/>
        <d v="2025-09-05T16:39:00" u="1"/>
        <d v="2025-09-05T16:47:00" u="1"/>
        <d v="2025-08-22T13:47:00" u="1"/>
        <d v="2025-08-29T16:10:00" u="1"/>
        <d v="2025-08-19T15:06:00" u="1"/>
        <d v="2025-08-18T14:41:00" u="1"/>
        <d v="2025-09-05T17:42:00" u="1"/>
        <d v="2025-08-11T17:29:00" u="1"/>
        <d v="2025-08-11T08:41:00" u="1"/>
        <d v="2025-08-29T11:01:00" u="1"/>
        <d v="2025-09-01T21:41:00" u="1"/>
        <d v="2025-09-03T13:35:00" u="1"/>
        <d v="2025-09-01T17:59:00" u="1"/>
        <d v="2025-09-01T17:58:00" u="1"/>
        <d v="2025-09-02T15:27:00" u="1"/>
        <d v="2025-09-02T15:28:00" u="1"/>
        <d v="2025-09-05T12:24:00" u="1"/>
        <d v="2025-09-03T14:13:00" u="1"/>
        <d v="2025-09-05T11:51:00" u="1"/>
        <d v="2025-09-04T15:27:00" u="1"/>
        <d v="2025-09-04T15:33:00" u="1"/>
        <d v="2025-09-04T09:56:00" u="1"/>
        <d v="2025-09-04T12:20:00" u="1"/>
        <d v="2025-08-28T14:29:00" u="1"/>
        <d v="2025-08-15T17:36:00" u="1"/>
        <d v="2025-09-05T13:05:00" u="1"/>
        <d v="2025-09-01T15:55:00" u="1"/>
        <d v="2025-09-04T17:59:00" u="1"/>
        <d v="2025-09-05T16:57:00" u="1"/>
        <d v="2025-09-03T08:56:00" u="1"/>
        <d v="2025-09-03T09:07:00" u="1"/>
        <d v="2025-09-01T16:12:00" u="1"/>
        <d v="2025-08-20T12:44:00" u="1"/>
        <d v="2025-08-20T12:53:00" u="1"/>
        <d v="2025-08-21T12:36:00" u="1"/>
        <d v="2025-09-05T15:41:00" u="1"/>
        <d v="2025-09-06T05:35:00" u="1"/>
        <d v="2025-09-05T07:16:00" u="1"/>
        <d v="2025-09-05T03:40:00" u="1"/>
        <d v="2025-09-04T12:06:00" u="1"/>
        <d v="2025-09-05T02:33:00" u="1"/>
        <d v="2025-09-05T07:06:00" u="1"/>
        <d v="2025-09-06T07:15:00" u="1"/>
        <d v="2025-09-05T04:04:00" u="1"/>
        <d v="2025-09-04T19:28:00" u="1"/>
        <d v="2025-09-05T07:33:00" u="1"/>
        <d v="2025-09-02T17:30:00" u="1"/>
        <d v="2025-09-05T11:09:00" u="1"/>
        <d v="2025-09-06T02:59:00" u="1"/>
        <d v="2025-09-07T03:58:00" u="1"/>
        <d v="2025-08-28T09:55:00" u="1"/>
        <d v="2025-09-04T10:47:00" u="1"/>
        <d v="2025-09-05T05:49:00" u="1"/>
        <d v="2025-09-05T05:07:00" u="1"/>
        <d v="2025-09-05T05:21:00" u="1"/>
        <d v="2025-08-22T17:53:00" u="1"/>
        <d v="2025-09-05T09:43:00" u="1"/>
        <d v="2025-09-04T11:33:00" u="1"/>
        <d v="2025-09-04T11:39:00" u="1"/>
        <d v="2025-09-05T06:03:00" u="1"/>
        <d v="2025-09-05T11:25:00" u="1"/>
        <d v="2025-09-05T12:51:00" u="1"/>
        <d v="2025-09-05T10:03:00" u="1"/>
        <d v="2025-09-05T11:42:00" u="1"/>
        <d v="2025-09-03T16:31:00" u="1"/>
        <d v="2025-09-04T11:35:00" u="1"/>
        <d v="2025-09-05T05:26:00" u="1"/>
        <d v="2025-09-05T05:27:00" u="1"/>
        <d v="2025-09-04T19:44:00" u="1"/>
        <d v="2025-09-08T02:35:00" u="1"/>
        <d v="2025-09-06T01:31:00" u="1"/>
        <d v="2025-09-06T01:28:00" u="1"/>
        <d v="2025-09-05T04:15:00" u="1"/>
        <d v="2025-09-05T04:08:00" u="1"/>
        <d v="2025-09-05T04:32:00" u="1"/>
        <d v="2025-09-04T05:03:00" u="1"/>
        <d v="2025-09-06T06:58:00" u="1"/>
        <d v="2025-09-05T09:18:00" u="1"/>
        <d v="2025-09-02T09:26:00" u="1"/>
        <d v="2025-09-05T19:15:00" u="1"/>
        <d v="2025-09-03T09:32:00" u="1"/>
        <d v="2025-08-29T10:48:00" u="1"/>
        <d v="2025-08-30T09:59:00" u="1"/>
        <d v="2025-09-06T00:00:00" u="1"/>
        <d v="2025-09-04T07:05:00" u="1"/>
        <d v="2025-09-04T07:07:00" u="1"/>
        <d v="2025-09-04T07:20:00" u="1"/>
        <d v="2025-09-04T07:22:00" u="1"/>
        <d v="2025-09-05T12:39:00" u="1"/>
        <d v="2025-09-05T06:25:00" u="1"/>
        <d v="2025-09-04T12:09:00" u="1"/>
        <d v="2025-08-26T10:44:00" u="1"/>
        <d v="2025-08-29T17:25:00" u="1"/>
        <d v="2025-09-04T17:00:00" u="1"/>
        <d v="2025-09-04T06:28:00" u="1"/>
        <d v="2025-09-04T12:53:00" u="1"/>
        <d v="2025-09-02T13:49:00" u="1"/>
        <d v="2025-09-04T15:39:00" u="1"/>
        <d v="2025-09-04T09:03:00" u="1"/>
        <d v="2025-09-04T14:04:00" u="1"/>
        <d v="2025-09-04T03:43:00" u="1"/>
        <d v="2025-09-03T04:25:00" u="1"/>
        <d v="2025-09-04T04:23:00" u="1"/>
        <d v="2025-09-04T02:37:00" u="1"/>
        <d v="2025-09-03T08:07:00" u="1"/>
        <d v="2025-09-04T12:41:00" u="1"/>
        <d v="2025-09-04T04:17:00" u="1"/>
        <d v="2025-09-04T04:33:00" u="1"/>
        <d v="2025-09-02T04:17:00" u="1"/>
        <d v="2025-08-29T17:37:00" u="1"/>
        <d v="2025-08-26T13:59:00" u="1"/>
        <d v="2025-09-02T11:18:00" u="1"/>
        <d v="2025-09-02T11:12:00" u="1"/>
        <d v="2025-09-03T14:48:00" u="1"/>
        <d v="2025-09-01T14:27:00" u="1"/>
        <d v="2025-09-01T14:31:00" u="1"/>
        <d v="2025-09-01T14:29:00" u="1"/>
        <d v="2025-08-01T17:32:00" u="1"/>
        <d v="2025-09-04T13:50:00" u="1"/>
        <d v="2025-09-04T13:25:00" u="1"/>
        <d v="2025-08-26T16:50:00" u="1"/>
        <d v="2025-08-26T16:48:00" u="1"/>
        <d v="2025-08-28T14:51:00" u="1"/>
        <d v="2025-08-26T15:24:00" u="1"/>
        <d v="2025-09-04T18:05:00" u="1"/>
        <d v="2025-09-04T18:03:00" u="1"/>
        <d v="2025-09-04T17:16:00" u="1"/>
        <d v="2025-09-03T10:42:00" u="1"/>
        <d v="2025-09-04T17:09:00" u="1"/>
        <d v="2025-08-15T16:14:00" u="1"/>
        <d v="2025-09-04T19:00:00" u="1"/>
        <d v="2025-08-28T14:44:00" u="1"/>
        <d v="2025-09-03T12:33:00" u="1"/>
        <d v="2025-09-02T17:19:00" u="1"/>
        <d v="2025-09-02T10:27:00" u="1"/>
        <d v="2025-09-01T12:15:00" u="1"/>
        <d v="2025-09-01T11:32:00" u="1"/>
        <d v="2025-08-25T14:49:00" u="1"/>
        <d v="2025-08-29T17:33:00" u="1"/>
        <d v="2025-09-03T18:26:00" u="1"/>
        <d v="2025-09-03T14:42:00" u="1"/>
        <d v="2025-08-21T18:46:00" u="1"/>
        <d v="2025-09-03T15:51:00" u="1"/>
        <d v="2025-09-03T16:13:00" u="1"/>
        <d v="2025-08-29T09:29:00" u="1"/>
        <d v="2025-08-29T13:01:00" u="1"/>
        <d v="2025-09-04T14:03:00" u="1"/>
        <d v="2025-08-27T09:36:00" u="1"/>
        <d v="2025-08-27T09:43:00" u="1"/>
        <d v="2025-09-01T11:40:00" u="1"/>
        <d v="2025-06-10T11:01:00" u="1"/>
        <d v="2025-09-04T14:25:00" u="1"/>
        <d v="2025-09-04T14:10:00" u="1"/>
        <d v="2025-09-04T13:52:00" u="1"/>
        <d v="2025-09-04T14:11:00" u="1"/>
        <d v="2025-08-29T11:45:00" u="1"/>
        <d v="2025-08-29T11:11:00" u="1"/>
        <d v="2025-08-28T14:27:00" u="1"/>
        <d v="2025-09-01T10:48:00" u="1"/>
        <d v="2025-09-01T14:07:00" u="1"/>
        <d v="2025-09-03T15:23:00" u="1"/>
        <d v="2025-09-03T07:55:00" u="1"/>
        <d v="2025-09-02T12:40:00" u="1"/>
        <d v="2025-09-03T12:07:00" u="1"/>
        <d v="2025-09-03T06:56:00" u="1"/>
        <d v="2025-09-04T19:39:00" u="1"/>
        <d v="2025-09-04T11:51:00" u="1"/>
        <d v="2025-09-04T11:47:00" u="1"/>
        <d v="2025-09-02T16:03:00" u="1"/>
        <d v="2025-09-04T08:37:00" u="1"/>
        <d v="2025-09-04T09:44:00" u="1"/>
        <d v="2025-09-03T13:39:00" u="1"/>
        <d v="2025-09-04T00:22:00" u="1"/>
        <d v="2025-09-04T16:46:00" u="1"/>
        <d v="2025-08-29T13:28:00" u="1"/>
        <d v="2025-09-04T15:14:00" u="1"/>
        <d v="2025-09-02T07:22:00" u="1"/>
        <d v="2025-09-03T14:16:00" u="1"/>
        <d v="2025-08-07T17:40:00" u="1"/>
        <d v="2025-09-01T07:16:00" u="1"/>
        <d v="2025-08-15T16:20:00" u="1"/>
        <d v="2025-09-01T07:18:00" u="1"/>
        <d v="2025-09-01T07:17:00" u="1"/>
        <d v="2025-08-07T15:05:00" u="1"/>
        <d v="2025-09-02T11:36:00" u="1"/>
        <d v="2025-09-03T13:05:00" u="1"/>
        <d v="2025-09-04T08:22:00" u="1"/>
        <d v="2025-09-01T16:52:00" u="1"/>
        <d v="2025-08-28T11:16:00" u="1"/>
        <d v="2025-08-28T11:07:00" u="1"/>
        <d v="2025-09-03T15:46:00" u="1"/>
        <d v="2025-08-19T21:42:00" u="1"/>
        <d v="2025-08-28T11:00:00" u="1"/>
        <d v="2025-09-04T15:03:00" u="1"/>
        <d v="2025-09-04T18:48:00" u="1"/>
        <d v="2025-08-28T19:57:00" u="1"/>
        <d v="2025-08-28T19:31:00" u="1"/>
        <d v="2025-08-28T12:15:00" u="1"/>
        <d v="2025-09-04T16:42:00" u="1"/>
        <d v="2025-09-01T18:02:00" u="1"/>
        <d v="2025-08-25T16:19:00" u="1"/>
        <d v="2025-08-18T17:17:00" u="1"/>
        <d v="2025-08-28T12:16:00" u="1"/>
        <d v="2025-09-04T14:41:00" u="1"/>
        <d v="2025-09-04T19:01:00" u="1"/>
        <d v="2025-09-03T15:47:00" u="1"/>
        <d v="2025-09-02T07:00:00" u="1"/>
        <d v="2025-09-02T07:01:00" u="1"/>
        <d v="2025-09-02T07:03:00" u="1"/>
        <d v="2025-09-02T07:09:00" u="1"/>
        <d v="2025-09-04T07:21:00" u="1"/>
        <d v="2025-09-02T06:56:00" u="1"/>
        <d v="2025-09-02T06:57:00" u="1"/>
        <d v="2025-09-04T11:45:00" u="1"/>
        <d v="2025-09-04T18:24:00" u="1"/>
        <d v="2025-09-04T18:25:00" u="1"/>
        <d v="2025-09-03T08:05:00" u="1"/>
        <d v="2025-08-18T16:57:00" u="1"/>
        <d v="2025-07-16T14:19:00" u="1"/>
        <d v="2025-09-03T11:17:00" u="1"/>
        <d v="2025-08-31T19:15:00" u="1"/>
        <d v="2025-08-19T00:00:00" u="1"/>
        <d v="2025-08-21T00:00:00" u="1"/>
        <d v="2025-08-18T11:25:00" u="1"/>
        <d v="2025-08-05T00:00:00" u="1"/>
        <d v="2025-08-05T15:18:00" u="1"/>
        <d v="2025-03-26T00:00:00" u="1"/>
        <d v="2025-07-28T09:43:00" u="1"/>
        <d v="2025-03-24T07:28:00" u="1"/>
        <d v="2025-03-21T10:02:00" u="1"/>
        <d v="2025-04-16T06:51:00" u="1"/>
        <d v="2025-04-07T07:38:00" u="1"/>
        <d v="2025-04-29T09:15:00" u="1"/>
        <d v="2025-07-28T09:48:00" u="1"/>
        <d v="2025-04-29T09:05:00" u="1"/>
        <d v="2025-04-04T14:10:00" u="1"/>
        <d v="2025-07-28T09:50:00" u="1"/>
        <d v="2025-08-13T08:35:00" u="1"/>
        <d v="2025-04-07T12:07:00" u="1"/>
        <d v="2025-08-06T06:10:00" u="1"/>
        <d v="2025-05-03T12:39:00" u="1"/>
        <d v="2025-03-17T07:04:00" u="1"/>
        <d v="2025-02-06T00:00:00" u="1"/>
        <d v="2025-05-27T13:00:00" u="1"/>
        <d v="2025-05-27T00:00:00" u="1"/>
        <d v="2025-08-05T12:32:00" u="1"/>
        <d v="2025-08-19T11:43:00" u="1"/>
        <d v="2025-08-19T11:45:00" u="1"/>
        <d v="2025-08-15T09:35:00" u="1"/>
        <d v="2025-02-14T00:00:00" u="1"/>
        <d v="2025-08-18T12:08:00" u="1"/>
        <d v="2024-12-21T00:00:00" u="1"/>
        <d v="2025-04-17T11:40:00" u="1"/>
        <d v="2025-03-31T12:06:00" u="1"/>
        <d v="2025-03-19T06:33:00" u="1"/>
        <d v="2025-07-22T00:00:00" u="1"/>
        <d v="2025-07-22T13:21:00" u="1"/>
        <d v="2025-07-22T13:33:00" u="1"/>
        <d v="2025-02-11T06:38:00" u="1"/>
        <d v="2025-09-03T12:08:00" u="1"/>
        <d v="2025-09-03T12:44:00" u="1"/>
        <d v="2025-07-31T11:11:00" u="1"/>
        <d v="2025-05-19T13:16:00" u="1"/>
        <d v="2025-08-12T07:28:00" u="1"/>
        <d v="2025-09-03T14:51:00" u="1"/>
        <d v="2025-04-22T07:55:00" u="1"/>
        <d v="2025-08-25T07:11:00" u="1"/>
        <d v="2025-09-03T09:09:00" u="1"/>
        <d v="2025-09-02T14:52:00" u="1"/>
        <d v="2025-08-14T10:12:00" u="1"/>
        <d v="2025-08-27T12:09:00" u="1"/>
        <d v="2025-08-18T12:01:00" u="1"/>
        <d v="2025-08-18T12:09:00" u="1"/>
        <d v="2025-09-01T12:24:00" u="1"/>
        <d v="2024-12-17T14:16:00" u="1"/>
        <d v="2025-07-31T15:41:00" u="1"/>
        <d v="2025-08-22T13:44:00" u="1"/>
        <d v="2025-07-16T08:33:00" u="1"/>
        <d v="2025-09-03T11:06:00" u="1"/>
        <d v="2025-09-03T10:27:00" u="1"/>
        <d v="2025-09-02T03:19:00" u="1"/>
        <d v="2025-09-02T02:07:58" u="1"/>
        <d v="2025-09-02T04:21:00" u="1"/>
        <d v="2025-09-03T11:11:00" u="1"/>
        <d v="2025-09-03T03:03:00" u="1"/>
        <d v="2025-09-03T01:19:00" u="1"/>
        <d v="2025-09-02T01:52:00" u="1"/>
        <d v="2025-09-02T09:48:00" u="1"/>
        <d v="2025-09-01T08:01:00" u="1"/>
        <d v="2025-09-02T09:22:00" u="1"/>
        <d v="2025-09-01T08:22:00" u="1"/>
        <d v="2025-09-01T04:07:00" u="1"/>
        <d v="2025-09-01T09:03:00" u="1"/>
        <d v="2025-09-01T09:06:00" u="1"/>
        <d v="2025-09-02T08:12:00" u="1"/>
        <d v="2025-09-02T08:21:00" u="1"/>
        <d v="2025-09-01T09:40:50" u="1"/>
        <d v="2025-09-03T01:37:00" u="1"/>
        <d v="2025-09-03T07:37:00" u="1"/>
        <d v="2025-09-03T06:49:00" u="1"/>
        <d v="2025-09-03T04:37:00" u="1"/>
        <d v="2025-09-02T11:55:00" u="1"/>
        <d v="2025-09-02T06:54:00" u="1"/>
        <d v="2025-09-01T11:16:00" u="1"/>
        <d v="2025-09-02T01:49:00" u="1"/>
        <d v="2025-09-02T04:37:00" u="1"/>
        <d v="2025-09-03T10:37:00" u="1"/>
        <d v="2025-09-02T10:10:00" u="1"/>
        <d v="2025-09-02T11:07:00" u="1"/>
        <d v="2025-09-01T11:00:00" u="1"/>
        <d v="2025-07-25T15:24:00" u="1"/>
        <d v="2025-08-14T15:50:00" u="1"/>
        <d v="2025-08-14T16:28:00" u="1"/>
        <d v="2025-03-31T00:00:00" u="1"/>
        <d v="2025-08-12T14:26:00" u="1"/>
        <d v="2025-08-12T15:22:00" u="1"/>
        <d v="2025-08-27T11:26:00" u="1"/>
        <d v="2025-08-27T11:21:00" u="1"/>
        <d v="2025-06-17T09:18:00" u="1"/>
        <d v="2025-08-20T10:35:00" u="1"/>
        <d v="2025-08-26T18:39:00" u="1"/>
        <d v="2025-08-13T14:48:00" u="1"/>
        <d v="2025-09-03T19:14:00" u="1"/>
        <d v="2025-09-03T12:54:00" u="1"/>
        <d v="2025-09-01T18:11:00" u="1"/>
        <d v="2025-09-02T11:58:00" u="1"/>
        <d v="2025-09-03T15:36:00" u="1"/>
        <d v="2025-08-19T16:18:00" u="1"/>
        <d v="2025-09-02T19:13:00" u="1"/>
        <d v="2025-09-02T10:02:00" u="1"/>
        <d v="2025-09-03T10:26:00" u="1"/>
        <d v="2025-09-03T10:41:00" u="1"/>
        <d v="2025-08-22T14:02:00" u="1"/>
        <d v="2025-09-03T14:36:00" u="1"/>
        <d v="2025-09-03T15:20:00" u="1"/>
        <d v="2025-08-27T19:01:00" u="1"/>
        <d v="2025-08-27T19:04:00" u="1"/>
        <d v="2025-08-12T18:23:00" u="1"/>
        <d v="2025-08-07T12:14:00" u="1"/>
        <d v="2025-08-07T14:45:00" u="1"/>
        <d v="2025-08-26T16:15:00" u="1"/>
        <d v="2025-09-03T14:30:00" u="1"/>
        <d v="2025-08-08T08:43:00" u="1"/>
        <d v="2025-09-02T13:11:00" u="1"/>
        <d v="2025-08-29T17:09:00" u="1"/>
        <d v="2025-09-01T18:33:00" u="1"/>
        <d v="2025-08-20T15:38:00" u="1"/>
        <d v="2025-08-20T17:57:00" u="1"/>
        <d v="2025-08-20T15:40:00" u="1"/>
        <d v="2025-08-20T15:43:00" u="1"/>
        <d v="2025-08-20T15:46:00" u="1"/>
        <d v="2025-08-20T15:50:00" u="1"/>
        <d v="2025-08-20T15:48:00" u="1"/>
        <d v="2025-08-11T16:27:00" u="1"/>
        <d v="2025-08-07T17:04:00" u="1"/>
        <d v="2025-09-02T13:51:00" u="1"/>
        <d v="2025-09-02T16:27:00" u="1"/>
        <d v="2025-09-02T16:28:00" u="1"/>
        <d v="2025-09-02T16:19:00" u="1"/>
        <d v="2025-09-02T17:13:00" u="1"/>
        <d v="2025-09-02T14:40:00" u="1"/>
        <d v="2025-09-03T15:41:00" u="1"/>
        <d v="2025-09-02T18:33:00" u="1"/>
        <d v="2025-09-02T18:34:00" u="1"/>
        <d v="2025-09-02T17:25:00" u="1"/>
        <d v="2025-09-02T16:51:00" u="1"/>
        <d v="2025-09-02T17:12:00" u="1"/>
        <d v="2025-09-02T17:57:00" u="1"/>
        <d v="2025-09-02T14:18:00" u="1"/>
        <d v="2025-09-01T20:52:00" u="1"/>
        <d v="2025-08-16T17:00:00" u="1"/>
        <d v="2025-08-25T15:18:00" u="1"/>
        <d v="2025-08-13T14:04:00" u="1"/>
        <d v="2025-09-03T11:26:00" u="1"/>
        <d v="2025-09-02T14:25:00" u="1"/>
        <d v="2025-09-03T13:03:00" u="1"/>
        <d v="2025-08-07T17:10:00" u="1"/>
        <d v="2025-08-14T13:58:00" u="1"/>
        <d v="2025-08-14T11:39:00" u="1"/>
        <d v="2025-08-12T00:00:00" u="1"/>
        <d v="2025-08-07T10:39:00" u="1"/>
        <d v="2025-08-06T13:00:00" u="1"/>
        <d v="2025-08-06T11:24:00" u="1"/>
        <d v="2025-08-06T05:18:00" u="1"/>
        <d v="2025-08-06T11:42:00" u="1"/>
        <d v="2025-08-07T11:00:00" u="1"/>
        <d v="2025-08-06T00:00:00" u="1"/>
        <d v="2025-08-06T09:29:00" u="1"/>
        <d v="2025-08-08T13:14:00" u="1"/>
        <d v="2025-08-08T08:30:00" u="1"/>
        <d v="2025-08-07T15:17:00" u="1"/>
        <d v="2025-08-07T13:27:00" u="1"/>
        <d v="2025-08-07T13:17:00" u="1"/>
        <d v="2025-08-25T00:00:00" u="1"/>
        <d v="2025-08-25T13:00:00" u="1"/>
        <d v="2025-08-25T10:22:00" u="1"/>
        <d v="2025-08-25T13:02:00" u="1"/>
        <d v="2025-08-25T12:58:00" u="1"/>
        <d v="2025-08-25T14:13:00" u="1"/>
        <d v="2025-08-08T00:00:00" u="1"/>
        <d v="2025-08-08T13:12:00" u="1"/>
        <d v="2025-08-20T15:35:00" u="1"/>
        <d v="2025-08-20T12:40:00" u="1"/>
        <d v="2025-08-06T08:03:00" u="1"/>
        <d v="2025-08-08T15:11:00" u="1"/>
        <d v="2025-04-15T11:57:00" u="1"/>
        <d v="2025-08-18T15:01:00" u="1"/>
        <d v="2025-08-18T14:44:00" u="1"/>
        <d v="2025-08-08T10:23:00" u="1"/>
        <d v="2025-08-08T08:22:00" u="1"/>
        <d v="2025-08-08T08:29:00" u="1"/>
        <d v="2025-08-07T07:59:00" u="1"/>
        <d v="2025-08-06T09:34:00" u="1"/>
        <d v="2025-08-08T12:32:00" u="1"/>
        <d v="2025-08-07T00:00:00" u="1"/>
        <d v="2025-08-07T06:10:00" u="1"/>
        <d v="2025-08-08T10:28:00" u="1"/>
        <d v="2025-08-26T09:12:00" u="1"/>
        <d v="2025-08-12T16:45:00" u="1"/>
        <d v="2025-08-25T05:54:00" u="1"/>
        <d v="2025-08-25T06:12:00" u="1"/>
        <d v="2025-08-27T08:48:00" u="1"/>
        <d v="2025-08-08T10:47:00" u="1"/>
        <d v="2025-09-02T18:07:00" u="1"/>
        <d v="2025-09-03T19:22:00" u="1"/>
        <d v="2025-08-15T08:25:00" u="1"/>
        <d v="2025-09-03T19:12:00" u="1"/>
        <d v="2025-01-03T17:55:00" u="1"/>
        <d v="2025-08-29T18:00:00" u="1"/>
        <d v="2025-09-03T06:41:00" u="1"/>
        <d v="2025-09-03T11:02:00" u="1"/>
        <d v="2025-09-03T09:37:00" u="1"/>
        <d v="2025-08-15T21:11:00" u="1"/>
        <d v="2025-08-14T13:31:00" u="1"/>
        <d v="2025-08-14T13:25:00" u="1"/>
        <d v="2025-08-13T18:00:00" u="1"/>
        <d v="2025-08-01T18:00:00" u="1"/>
        <d v="2025-08-19T12:00:00" u="1"/>
        <d v="2025-08-14T19:55:00" u="1"/>
        <d v="2025-08-22T09:48:00" u="1"/>
        <d v="2025-08-21T19:05:00" u="1"/>
        <d v="2025-07-29T11:07:00" u="1"/>
        <d v="2025-06-17T21:00:00" u="1"/>
        <d v="2025-08-19T15:00:00" u="1"/>
        <d v="2025-08-29T19:06:00" u="1"/>
        <d v="2025-08-18T19:08:00" u="1"/>
        <d v="2025-08-29T13:45:00" u="1"/>
        <d v="2025-09-01T11:33:00" u="1"/>
        <d v="2025-08-27T16:43:00" u="1"/>
        <d v="2025-09-03T18:08:00" u="1"/>
        <d v="2025-09-03T14:24:00" u="1"/>
        <d v="2025-08-08T18:55:00" u="1"/>
        <d v="2025-09-03T21:19:00" u="1"/>
        <d v="2025-09-03T06:48:00" u="1"/>
        <d v="2025-09-03T17:58:00" u="1"/>
        <d v="2025-09-03T19:03:00" u="1"/>
        <d v="2025-08-08T18:30:00" u="1"/>
        <d v="2025-08-07T13:45:00" u="1"/>
        <d v="2025-08-25T15:37:00" u="1"/>
        <d v="2025-09-01T18:58:00" u="1"/>
        <d v="2025-08-22T15:00:00" u="1"/>
        <d v="2025-08-18T15:00:00" u="1"/>
        <d v="2025-06-06T10:30:00" u="1"/>
        <d v="2025-07-10T14:05:00" u="1"/>
        <d v="2025-09-03T15:57:00" u="1"/>
        <d v="2025-04-17T12:03:00" u="1"/>
        <d v="2025-08-15T16:28:00" u="1"/>
        <d v="2025-05-20T00:00:00" u="1"/>
        <d v="2025-09-02T12:32:00" u="1"/>
        <d v="2025-09-03T08:28:00" u="1"/>
        <d v="2025-09-03T08:32:00" u="1"/>
        <d v="2025-09-03T12:35:00" u="1"/>
        <d v="2025-09-03T08:16:00" u="1"/>
        <d v="2025-09-03T12:27:00" u="1"/>
        <d v="2025-05-16T09:53:00" u="1"/>
        <d v="2025-08-27T07:27:00" u="1"/>
        <d v="2025-09-03T12:16:00" u="1"/>
        <d v="2025-08-11T11:42:00" u="1"/>
        <d v="2025-08-08T10:52:00" u="1"/>
        <d v="2025-08-21T17:05:00" u="1"/>
        <d v="2025-09-03T15:53:00" u="1"/>
        <d v="2025-09-03T15:50:00" u="1"/>
        <d v="2025-09-03T12:45:00" u="1"/>
        <d v="2025-09-03T16:07:00" u="1"/>
        <d v="2025-09-03T11:54:00" u="1"/>
        <d v="2025-09-02T15:30:00" u="1"/>
        <d v="2025-08-28T14:17:00" u="1"/>
        <d v="2025-08-05T10:57:00" u="1"/>
        <d v="2025-07-31T19:34:00" u="1"/>
        <d v="2025-08-14T16:35:00" u="1"/>
        <d v="2025-08-05T12:44:00" u="1"/>
        <d v="2025-08-05T14:02:00" u="1"/>
        <d v="2025-08-11T08:43:00" u="1"/>
        <d v="2025-08-08T15:25:00" u="1"/>
        <d v="2025-08-29T15:33:00" u="1"/>
        <d v="2025-08-25T13:39:00" u="1"/>
        <d v="2025-08-13T12:07:00" u="1"/>
        <d v="2025-08-21T14:35:00" u="1"/>
        <d v="2025-08-27T14:28:00" u="1"/>
        <d v="2025-08-13T11:13:00" u="1"/>
        <d v="2025-08-13T06:50:00" u="1"/>
        <d v="2025-08-27T13:16:00" u="1"/>
        <d v="2025-07-17T10:07:00" u="1"/>
        <d v="2025-08-08T10:00:00" u="1"/>
        <d v="2025-08-06T12:11:00" u="1"/>
        <d v="2025-08-13T00:00:00" u="1"/>
        <d v="2025-07-18T06:24:00" u="1"/>
        <d v="2025-08-13T08:56:00" u="1"/>
        <d v="2025-08-13T07:36:00" u="1"/>
        <d v="2025-05-08T11:25:00" u="1"/>
        <d v="2025-07-24T00:00:00" u="1"/>
        <d v="2025-09-01T15:59:00" u="1"/>
        <d v="2025-08-27T10:27:00" u="1"/>
        <d v="2025-08-12T09:22:00" u="1"/>
        <d v="2025-08-22T14:46:00" u="1"/>
        <d v="2025-08-21T11:38:00" u="1"/>
        <d v="2025-08-20T11:51:00" u="1"/>
        <d v="2025-08-21T12:40:00" u="1"/>
        <d v="2025-06-12T12:06:00" u="1"/>
        <d v="2025-08-25T12:55:00" u="1"/>
        <d v="2025-07-22T10:43:00" u="1"/>
        <d v="2025-06-12T11:48:00" u="1"/>
        <d v="2025-08-13T16:08:00" u="1"/>
        <d v="2025-08-25T06:21:00" u="1"/>
        <d v="2025-08-25T05:57:00" u="1"/>
        <d v="2025-08-22T16:19:00" u="1"/>
        <d v="2025-01-21T07:22:00" u="1"/>
        <d v="2025-08-13T15:27:00" u="1"/>
        <d v="2025-06-25T18:15:00" u="1"/>
        <d v="2025-08-13T13:52:00" u="1"/>
        <d v="2025-08-22T16:12:00" u="1"/>
        <d v="2025-08-27T15:16:00" u="1"/>
        <d v="2025-08-27T14:36:00" u="1"/>
        <d v="2025-08-27T14:45:00" u="1"/>
        <d v="2025-08-07T08:39:00" u="1"/>
        <d v="2025-02-24T12:10:00" u="1"/>
        <d v="2025-08-22T13:08:00" u="1"/>
        <d v="2025-08-28T10:13:00" u="1"/>
        <d v="2025-09-01T12:23:00" u="1"/>
        <d v="2025-07-24T13:08:00" u="1"/>
        <d v="2025-08-22T12:50:00" u="1"/>
        <d v="2025-08-27T15:35:00" u="1"/>
        <d v="2025-08-26T07:32:00" u="1"/>
        <d v="2025-08-14T07:39:00" u="1"/>
        <d v="2025-08-13T11:53:00" u="1"/>
        <d v="2025-02-11T16:09:00" u="1"/>
        <d v="2025-08-12T13:57:00" u="1"/>
        <d v="2025-08-13T15:25:00" u="1"/>
        <d v="2025-04-25T12:59:00" u="1"/>
        <d v="2025-04-01T09:13:00" u="1"/>
        <d v="2025-06-20T08:34:00" u="1"/>
        <d v="2025-09-01T17:37:00" u="1"/>
        <d v="2025-08-25T15:12:00" u="1"/>
        <d v="2025-09-03T14:18:00" u="1"/>
        <d v="2025-08-21T09:38:00" u="1"/>
        <d v="2025-09-02T11:47:00" u="1"/>
        <d v="2025-09-02T10:19:00" u="1"/>
        <d v="2025-06-11T08:34:00" u="1"/>
        <d v="2025-08-29T16:51:00" u="1"/>
        <d v="2025-08-29T15:57:00" u="1"/>
        <d v="2025-09-03T10:55:00" u="1"/>
        <d v="2025-09-03T11:09:00" u="1"/>
        <d v="2025-09-03T10:56:00" u="1"/>
        <d v="2025-08-28T12:11:00" u="1"/>
        <d v="2025-09-02T16:38:00" u="1"/>
        <d v="2025-08-04T14:36:00" u="1"/>
        <d v="2025-09-03T17:42:00" u="1"/>
        <d v="2025-08-05T13:42:00" u="1"/>
        <d v="2025-08-18T19:42:00" u="1"/>
        <d v="2025-09-02T09:27:00" u="1"/>
        <d v="2025-09-03T10:49:00" u="1"/>
        <d v="2025-09-03T10:30:00" u="1"/>
        <d v="2025-08-21T22:03:00" u="1"/>
        <d v="2025-09-03T19:59:00" u="1"/>
        <d v="2025-09-03T16:36:00" u="1"/>
        <d v="2025-09-03T15:56:00" u="1"/>
        <d v="2025-09-03T15:06:00" u="1"/>
        <d v="2025-09-03T16:34:00" u="1"/>
        <d v="2025-09-02T10:58:00" u="1"/>
        <d v="2025-08-30T11:30:00" u="1"/>
        <d v="2025-09-02T09:57:00" u="1"/>
        <d v="2025-08-25T15:38:00" u="1"/>
        <d v="2025-09-02T12:39:00" u="1"/>
        <d v="2025-09-02T12:41:00" u="1"/>
        <d v="2025-09-03T18:58:00" u="1"/>
        <d v="2025-09-03T18:56:00" u="1"/>
        <d v="2025-09-03T20:03:00" u="1"/>
        <d v="2025-09-03T17:43:00" u="1"/>
        <d v="2025-09-03T17:39:00" u="1"/>
        <d v="2025-09-03T17:38:00" u="1"/>
        <d v="2025-09-03T14:23:00" u="1"/>
        <d v="2025-09-03T10:46:00" u="1"/>
        <d v="2025-09-03T09:35:00" u="1"/>
        <d v="2025-08-21T11:23:00" u="1"/>
        <d v="2025-08-27T18:00:00" u="1"/>
        <d v="2025-08-14T13:00:00" u="1"/>
        <d v="2025-08-15T11:11:00" u="1"/>
        <d v="2025-08-25T07:50:00" u="1"/>
        <d v="2025-08-25T07:41:00" u="1"/>
        <d v="2025-08-25T13:53:00" u="1"/>
        <d v="2025-09-02T08:45:00" u="1"/>
        <d v="2025-08-29T17:55:00" u="1"/>
        <d v="2025-08-27T12:54:00" u="1"/>
        <d v="2025-08-24T19:11:00" u="1"/>
        <d v="2025-08-24T19:05:00" u="1"/>
        <d v="2025-08-24T18:39:00" u="1"/>
        <d v="2025-08-24T18:30:00" u="1"/>
        <d v="2025-08-24T18:54:00" u="1"/>
        <d v="2025-08-18T15:14:00" u="1"/>
        <d v="2025-08-21T15:00:00" u="1"/>
        <d v="2025-09-03T19:19:00" u="1"/>
        <d v="2025-09-03T19:18:00" u="1"/>
        <d v="2025-09-03T19:17:00" u="1"/>
        <d v="2025-09-03T16:48:00" u="1"/>
        <d v="2025-09-03T13:21:00" u="1"/>
        <d v="2025-09-03T15:12:00" u="1"/>
        <d v="2025-08-29T17:13:00" u="1"/>
        <d v="2025-09-03T04:59:00" u="1"/>
        <d v="2025-09-03T03:22:00" u="1"/>
        <d v="2025-09-02T07:25:00" u="1"/>
        <d v="2025-08-29T12:47:00" u="1"/>
        <d v="2025-08-11T14:36:00" u="1"/>
        <d v="2025-08-11T14:41:00" u="1"/>
        <d v="2025-08-11T14:13:00" u="1"/>
        <d v="2025-08-01T13:24:00" u="1"/>
        <d v="2025-09-02T00:41:00" u="1"/>
        <d v="2025-09-02T02:57:00" u="1"/>
        <d v="2025-09-02T04:39:00" u="1"/>
        <d v="2025-09-02T02:58:00" u="1"/>
        <d v="2025-09-02T05:27:00" u="1"/>
        <d v="2025-09-02T10:52:00" u="1"/>
        <d v="2025-09-02T03:43:00" u="1"/>
        <d v="2025-09-02T10:39:00" u="1"/>
        <d v="2025-09-02T10:14:00" u="1"/>
        <d v="2025-09-01T04:49:00" u="1"/>
        <d v="2025-08-29T13:25:00" u="1"/>
        <d v="2025-09-02T16:46:00" u="1"/>
        <d v="2025-07-30T11:39:00" u="1"/>
        <d v="2025-08-14T16:16:00" u="1"/>
        <d v="2025-08-14T16:34:00" u="1"/>
        <d v="2025-09-02T16:21:00" u="1"/>
        <d v="2025-09-02T09:03:00" u="1"/>
        <d v="2025-09-02T08:32:00" u="1"/>
        <d v="2025-09-02T08:51:00" u="1"/>
        <d v="2025-08-04T15:59:00" u="1"/>
        <d v="2025-09-02T15:46:00" u="1"/>
        <d v="2025-04-14T00:00:00" u="1"/>
        <d v="2025-08-25T16:48:00" u="1"/>
        <d v="2025-08-25T16:50:00" u="1"/>
        <d v="2025-08-01T16:52:00" u="1"/>
        <d v="2025-09-02T11:50:00" u="1"/>
        <d v="2025-09-02T11:53:00" u="1"/>
        <d v="2025-08-30T17:54:00" u="1"/>
        <d v="2025-09-02T11:45:00" u="1"/>
        <d v="2025-09-02T18:16:00" u="1"/>
        <d v="2025-08-21T11:19:00" u="1"/>
        <d v="2025-09-02T16:55:00" u="1"/>
        <d v="2025-09-02T17:23:00" u="1"/>
        <d v="2025-09-02T17:43:00" u="1"/>
        <d v="2025-08-14T15:07:00" u="1"/>
        <d v="2025-08-29T14:14:00" u="1"/>
        <d v="2025-08-28T08:22:00" u="1"/>
        <d v="2025-08-27T15:05:00" u="1"/>
        <d v="2025-07-28T12:31:00" u="1"/>
        <d v="2025-09-01T14:57:00" u="1"/>
        <d v="2025-09-01T15:41:00" u="1"/>
        <d v="2025-09-02T15:04:00" u="1"/>
        <d v="2025-09-02T11:26:00" u="1"/>
        <d v="2025-09-02T10:09:00" u="1"/>
        <d v="2025-09-01T19:05:00" u="1"/>
        <d v="2025-09-01T18:48:00" u="1"/>
        <d v="2025-09-02T15:52:00" u="1"/>
        <d v="2025-09-02T14:39:00" u="1"/>
        <d v="2025-09-02T10:54:00" u="1"/>
        <d v="2025-09-02T10:01:00" u="1"/>
        <d v="2025-07-25T15:33:00" u="1"/>
        <d v="2025-08-29T16:13:00" u="1"/>
        <d v="2025-08-29T16:55:00" u="1"/>
        <d v="2025-08-18T12:22:00" u="1"/>
        <d v="2025-08-07T10:19:00" u="1"/>
        <d v="2025-08-06T09:45:00" u="1"/>
        <d v="2025-08-04T11:07:00" u="1"/>
        <d v="2025-08-29T16:27:00" u="1"/>
        <d v="2025-09-02T20:30:00" u="1"/>
        <d v="2025-09-02T20:27:00" u="1"/>
        <d v="2025-09-02T03:28:00" u="1"/>
        <d v="2025-08-28T11:02:00" u="1"/>
        <d v="2025-09-01T06:22:00" u="1"/>
        <d v="2025-09-01T06:26:00" u="1"/>
        <d v="2025-09-01T06:32:00" u="1"/>
        <d v="2025-09-01T13:29:00" u="1"/>
        <d v="2025-09-01T14:08:00" u="1"/>
        <d v="2025-09-01T14:21:00" u="1"/>
        <d v="2025-08-29T17:34:00" u="1"/>
        <d v="2025-09-01T05:18:00" u="1"/>
        <d v="2025-09-01T05:21:00" u="1"/>
        <d v="2025-09-01T03:14:00" u="1"/>
        <d v="2025-09-01T05:34:00" u="1"/>
        <d v="2025-09-01T05:44:00" u="1"/>
        <d v="2025-09-01T05:51:00" u="1"/>
        <d v="2025-09-01T04:12:00" u="1"/>
        <d v="2025-09-01T05:17:00" u="1"/>
        <d v="2025-09-01T04:53:00" u="1"/>
        <d v="2025-09-01T12:44:00" u="1"/>
        <d v="2025-09-01T12:49:00" u="1"/>
        <d v="2025-09-01T03:25:00" u="1"/>
        <d v="2025-09-01T10:47:00" u="1"/>
        <d v="2025-09-01T01:10:00" u="1"/>
        <d v="2025-08-26T08:47:00" u="1"/>
        <d v="2025-08-26T09:50:00" u="1"/>
        <d v="2025-08-29T06:18:00" u="1"/>
        <d v="2025-08-31T07:29:00" u="1"/>
        <d v="2025-08-31T08:41:00" u="1"/>
        <d v="2025-08-27T10:36:00" u="1"/>
        <d v="2025-08-29T14:50:00" u="1"/>
        <d v="2025-08-29T12:57:00" u="1"/>
        <d v="2025-08-28T15:55:00" u="1"/>
        <d v="2025-08-16T17:47:00" u="1"/>
        <d v="2025-08-20T09:22:00" u="1"/>
        <d v="2025-07-31T14:56:00" u="1"/>
        <d v="2025-08-01T11:07:00" u="1"/>
        <d v="2025-08-05T07:34:00" u="1"/>
        <d v="2025-08-07T11:57:00" u="1"/>
        <d v="2025-08-01T16:47:00" u="1"/>
        <d v="2025-09-01T11:27:00" u="1"/>
        <d v="2025-08-29T15:15:00" u="1"/>
        <d v="2025-09-01T13:05:00" u="1"/>
        <d v="2025-09-01T11:05:00" u="1"/>
        <d v="2025-09-01T11:57:00" u="1"/>
        <d v="2025-09-01T09:59:00" u="1"/>
        <d v="2025-09-01T08:13:00" u="1"/>
        <d v="2025-08-29T17:11:00" u="1"/>
        <d v="2025-08-28T12:03:00" u="1"/>
        <d v="2025-09-01T15:33:00" u="1"/>
        <d v="2025-08-25T10:36:00" u="1"/>
        <d v="2025-08-28T09:33:00" u="1"/>
        <d v="2025-08-22T15:02:00" u="1"/>
        <d v="2025-09-01T08:49:00" u="1"/>
        <d v="2025-08-29T15:19:00" u="1"/>
        <d v="2025-09-01T21:19:00" u="1"/>
        <d v="2025-08-29T19:40:00" u="1"/>
        <d v="2025-09-01T17:39:00" u="1"/>
        <d v="2025-08-28T14:00:00" u="1"/>
        <d v="2025-09-01T13:25:00" u="1"/>
        <d v="2025-08-28T11:23:00" u="1"/>
        <d v="2025-09-01T14:28:00" u="1"/>
        <d v="2025-08-28T11:25:00" u="1"/>
        <d v="2025-09-01T11:04:00" u="1"/>
        <d v="2025-08-29T14:08:00" u="1"/>
        <d v="2025-09-01T13:28:00" u="1"/>
        <d v="2025-09-01T15:35:00" u="1"/>
        <d v="2025-08-21T15:04:00" u="1"/>
        <d v="2025-09-01T11:18:00" u="1"/>
        <d v="2025-09-01T17:51:00" u="1"/>
        <d v="2025-08-29T11:05:00" u="1"/>
        <d v="2025-09-01T11:46:00" u="1"/>
        <d v="2025-09-01T11:01:00" u="1"/>
        <d v="2025-08-29T16:02:00" u="1"/>
        <d v="2025-08-29T14:37:00" u="1"/>
        <d v="2025-08-29T14:27:00" u="1"/>
        <d v="2025-09-01T16:41:00" u="1"/>
        <d v="2025-09-01T16:31:00" u="1"/>
        <d v="2025-08-28T12:07:00" u="1"/>
        <d v="2025-08-28T12:00:00" u="1"/>
        <d v="2025-09-01T12:51:00" u="1"/>
        <d v="2025-09-01T15:37:00" u="1"/>
        <d v="2025-09-01T14:03:00" u="1"/>
        <d v="2025-08-29T17:53:00" u="1"/>
        <d v="2025-08-29T16:35:00" u="1"/>
        <d v="2025-09-01T15:19:00" u="1"/>
        <d v="2025-08-28T15:43:00" u="1"/>
        <d v="2025-08-28T16:13:00" u="1"/>
        <d v="2025-08-28T10:12:00" u="1"/>
        <d v="2025-08-28T10:08:00" u="1"/>
        <d v="2025-08-29T14:21:00" u="1"/>
        <d v="2025-09-01T10:27:00" u="1"/>
        <d v="2025-09-01T10:26:00" u="1"/>
        <d v="2025-08-27T15:48:00" u="1"/>
        <d v="2025-09-01T17:11:00" u="1"/>
        <d v="2025-09-01T12:53:00" u="1"/>
        <d v="2025-08-29T21:49:00" u="1"/>
        <d v="2025-08-31T20:32:00" u="1"/>
        <d v="2025-08-28T17:26:00" u="1"/>
        <d v="2025-09-01T14:20:00" u="1"/>
        <d v="2025-09-01T11:23:00" u="1"/>
        <d v="2025-09-01T11:51:00" u="1"/>
        <d v="2025-08-25T14:09:00" u="1"/>
        <d v="2025-08-07T13:15:00" u="1"/>
        <d v="2025-08-29T12:52:00" u="1"/>
        <d v="2025-08-22T16:44:00" u="1"/>
        <d v="2025-09-01T13:00:00" u="1"/>
        <d v="2025-09-01T09:21:00" u="1"/>
        <d v="2025-09-02T00:42:00" u="1"/>
        <d v="2025-08-29T15:23:00" u="1"/>
        <d v="2025-08-28T10:05:00" u="1"/>
        <d v="2025-08-28T16:47:00" u="1"/>
        <d v="2025-08-29T12:12:00" u="1"/>
        <d v="2025-09-01T10:55:00" u="1"/>
        <d v="2025-09-01T17:45:00" u="1"/>
        <d v="2025-09-01T11:37:00" u="1"/>
        <d v="2025-09-01T08:47:00" u="1"/>
        <d v="2025-08-28T18:22:00" u="1"/>
        <d v="2025-08-29T17:23:00" u="1"/>
        <d v="2025-08-29T15:58:00" u="1"/>
        <d v="2025-08-29T10:42:00" u="1"/>
        <d v="2025-07-10T09:35:00" u="1"/>
        <d v="2025-08-28T15:46:00" u="1"/>
        <d v="2025-09-01T18:25:00" u="1"/>
        <d v="2025-09-01T12:58:00" u="1"/>
        <d v="2025-09-01T15:22:00" u="1"/>
        <d v="2025-08-28T09:19:00" u="1"/>
        <d v="2025-08-28T08:50:00" u="1"/>
        <d v="2025-08-28T12:23:00" u="1"/>
        <d v="2025-08-28T18:29:00" u="1"/>
        <d v="2025-08-28T18:28:00" u="1"/>
        <d v="2025-08-28T09:57:00" u="1"/>
        <d v="2025-08-28T10:32:00" u="1"/>
        <d v="2025-08-28T09:58:00" u="1"/>
        <d v="2025-08-25T14:54:00" u="1"/>
        <d v="2025-09-01T10:42:00" u="1"/>
        <d v="2025-09-01T10:43:00" u="1"/>
        <d v="2025-09-01T10:50:00" u="1"/>
        <d v="2025-08-29T16:05:00" u="1"/>
        <d v="2025-08-28T14:49:00" u="1"/>
        <d v="2025-09-01T19:00:00" u="1"/>
        <d v="2025-08-28T16:20:00" u="1"/>
        <d v="2025-09-01T15:02:00" u="1"/>
        <d v="2025-09-01T17:09:00" u="1"/>
        <d v="2025-09-01T18:24:00" u="1"/>
        <d v="2025-09-01T14:02:00" u="1"/>
        <d v="2025-09-01T11:44:00" u="1"/>
        <d v="2025-09-01T10:35:00" u="1"/>
        <d v="2025-09-01T11:25:00" u="1"/>
        <d v="2025-08-28T09:40:00" u="1"/>
        <d v="2025-08-29T09:45:00" u="1"/>
        <d v="2025-08-26T14:03:00" u="1"/>
        <d v="2025-08-28T09:49:00" u="1"/>
        <d v="2025-08-22T13:31:00" u="1"/>
        <d v="2025-08-22T14:49:00" u="1"/>
        <d v="2025-08-26T13:45:00" u="1"/>
        <d v="2025-08-08T11:52:00" u="1"/>
        <d v="2025-08-13T06:38:00" u="1"/>
        <d v="2025-08-12T07:39:00" u="1"/>
        <d v="2025-07-31T10:58:00" u="1"/>
        <d v="2025-08-15T10:36:00" u="1"/>
        <d v="2025-08-26T15:20:00" u="1"/>
        <d v="2025-08-28T16:53:00" u="1"/>
        <d v="2025-09-01T17:21:00" u="1"/>
        <d v="2025-09-01T18:50:00" u="1"/>
        <d v="2025-09-01T18:49:00" u="1"/>
        <d v="2025-08-29T18:40:00" u="1"/>
        <d v="2025-09-01T10:51:00" u="1"/>
        <d v="2025-09-01T08:28:00" u="1"/>
        <d v="2025-09-01T08:18:00" u="1"/>
        <d v="2025-08-28T16:42:00" u="1"/>
        <d v="2025-08-28T12:46:00" u="1"/>
        <d v="2025-08-28T16:54:00" u="1"/>
        <d v="2025-08-06T08:53:00" u="1"/>
        <d v="2025-08-06T08:51:00" u="1"/>
        <d v="2025-08-29T09:04:00" u="1"/>
        <d v="2025-08-30T04:59:25" u="1"/>
        <d v="2025-08-30T04:59:00" u="1"/>
        <d v="2025-08-31T00:59:00" u="1"/>
        <d v="2025-08-29T18:44:00" u="1"/>
        <d v="2025-08-25T20:40:00" u="1"/>
        <d v="2025-08-14T16:11:00" u="1"/>
        <d v="2025-08-14T16:15:00" u="1"/>
        <d v="2025-08-15T13:43:00" u="1"/>
        <d v="2025-08-15T13:47:00" u="1"/>
        <d v="2025-08-19T13:41:00" u="1"/>
        <d v="2025-08-29T07:29:00" u="1"/>
        <d v="2025-08-29T15:52:00" u="1"/>
        <d v="2025-08-29T13:46:00" u="1"/>
        <d v="2025-08-29T13:40:00" u="1"/>
        <d v="2025-08-29T06:11:00" u="1"/>
        <d v="2025-08-29T02:31:00" u="1"/>
        <d v="2025-08-29T02:11:00" u="1"/>
        <d v="2025-08-29T11:52:00" u="1"/>
        <d v="2025-08-29T08:24:00" u="1"/>
        <d v="2025-08-30T12:16:00" u="1"/>
        <d v="2025-08-29T04:11:00" u="1"/>
        <d v="2025-08-29T08:50:00" u="1"/>
        <d v="2025-08-30T01:23:00" u="1"/>
        <d v="2025-08-29T05:49:00" u="1"/>
        <d v="2025-08-29T07:08:00" u="1"/>
        <d v="2025-08-30T04:00:00" u="1"/>
        <d v="2025-08-30T02:04:00" u="1"/>
        <d v="2025-08-30T05:47:00" u="1"/>
        <d v="2025-08-30T12:24:00" u="1"/>
        <d v="2025-08-29T05:37:00" u="1"/>
        <d v="2025-08-29T03:22:00" u="1"/>
        <d v="2025-08-29T11:07:00" u="1"/>
        <d v="2025-08-29T10:38:00" u="1"/>
        <d v="2025-08-29T11:22:00" u="1"/>
        <d v="2025-08-29T12:19:00" u="1"/>
        <d v="2025-08-29T07:55:00" u="1"/>
        <d v="2025-08-29T11:20:00" u="1"/>
        <d v="2025-08-29T02:34:00" u="1"/>
        <d v="2025-08-29T04:00:00" u="1"/>
        <d v="2025-08-29T03:55:00" u="1"/>
        <d v="2025-08-29T04:29:00" u="1"/>
        <d v="2025-08-29T04:19:00" u="1"/>
        <d v="2025-08-29T09:49:00" u="1"/>
        <d v="2025-08-20T02:52:00" u="1"/>
        <d v="2025-08-25T15:09:00" u="1"/>
        <d v="2025-08-25T14:32:00" u="1"/>
        <d v="2025-08-25T15:27:00" u="1"/>
        <d v="2025-08-29T10:17:00" u="1"/>
        <d v="2025-08-25T11:31:00" u="1"/>
        <d v="2025-08-29T08:07:00" u="1"/>
        <d v="2025-08-29T10:43:00" u="1"/>
        <d v="2025-08-21T08:29:00" u="1"/>
        <d v="2025-05-15T12:45:00" u="1"/>
        <d v="2025-08-29T16:43:00" u="1"/>
        <d v="2025-08-15T10:14:00" u="1"/>
        <d v="2025-08-22T14:45:00" u="1"/>
        <d v="2025-08-11T19:25:00" u="1"/>
        <d v="2025-08-20T13:33:00" u="1"/>
        <d v="2025-08-22T14:29:00" u="1"/>
        <d v="2025-08-29T15:11:00" u="1"/>
        <d v="2025-08-28T07:23:00" u="1"/>
        <d v="2025-08-29T11:24:00" u="1"/>
        <d v="2025-08-28T13:33:00" u="1"/>
        <d v="2025-08-27T16:44:00" u="1"/>
        <d v="2025-08-28T14:40:00" u="1"/>
        <d v="2025-08-29T19:52:00" u="1"/>
        <d v="2025-08-29T14:32:00" u="1"/>
        <d v="2025-08-29T14:38:00" u="1"/>
        <d v="2025-08-29T08:54:00" u="1"/>
        <d v="2025-08-29T20:18:00" u="1"/>
        <d v="2025-08-28T15:05:00" u="1"/>
        <d v="2025-08-28T15:31:00" u="1"/>
        <d v="2025-08-28T16:52:00" u="1"/>
        <d v="2025-08-26T14:25:00" u="1"/>
        <d v="2025-08-28T15:38:00" u="1"/>
        <d v="2025-08-28T17:16:00" u="1"/>
        <d v="2025-08-27T14:40:00" u="1"/>
        <d v="2025-08-28T12:50:00" u="1"/>
        <d v="2025-08-28T08:09:00" u="1"/>
        <d v="2025-08-05T18:53:00" u="1"/>
        <d v="2025-08-05T18:02:00" u="1"/>
        <d v="2025-08-28T15:04:00" u="1"/>
        <d v="2025-08-11T09:36:00" u="1"/>
        <d v="2025-08-06T11:36:00" u="1"/>
        <d v="2025-08-04T09:31:00" u="1"/>
        <d v="2025-08-04T09:14:00" u="1"/>
        <d v="2025-08-28T12:29:00" u="1"/>
        <d v="2025-08-11T15:04:00" u="1"/>
        <d v="2025-08-28T08:47:00" u="1"/>
        <d v="2025-08-26T07:25:00" u="1"/>
        <d v="2025-08-27T08:45:00" u="1"/>
        <d v="2025-08-25T11:47:00" u="1"/>
        <d v="2025-08-25T08:43:00" u="1"/>
        <d v="2025-08-12T10:32:00" u="1"/>
        <d v="2025-08-13T14:34:00" u="1"/>
        <d v="2025-08-14T09:49:00" u="1"/>
        <d v="2025-08-14T12:40:00" u="1"/>
        <d v="2025-08-28T09:39:00" u="1"/>
        <d v="2025-08-28T14:13:00" u="1"/>
        <d v="2025-08-07T12:07:00" u="1"/>
        <d v="2025-08-27T14:08:00" u="1"/>
        <d v="2025-08-21T16:10:00" u="1"/>
        <d v="2025-08-27T16:03:00" u="1"/>
        <d v="2025-08-27T16:08:00" u="1"/>
        <d v="2025-08-28T08:58:00" u="1"/>
        <d v="2025-08-28T10:47:00" u="1"/>
        <d v="2025-08-27T16:10:00" u="1"/>
        <d v="2025-08-25T14:38:00" u="1"/>
        <d v="2025-08-27T16:06:00" u="1"/>
        <d v="2025-08-28T10:10:00" u="1"/>
        <d v="2025-08-26T13:30:00" u="1"/>
        <d v="2025-08-26T13:36:00" u="1"/>
        <d v="2025-08-26T13:25:00" u="1"/>
        <d v="2025-08-26T12:26:00" u="1"/>
        <d v="2025-08-28T17:25:00" u="1"/>
        <d v="2025-08-27T11:25:00" u="1"/>
        <d v="2025-07-28T11:12:00" u="1"/>
        <d v="2025-07-28T11:13:00" u="1"/>
        <d v="2025-07-30T15:04:00" u="1"/>
        <d v="2025-07-16T15:15:00" u="1"/>
        <d v="2025-07-16T15:23:00" u="1"/>
        <d v="2025-07-16T15:24:00" u="1"/>
        <d v="2025-07-16T15:08:00" u="1"/>
        <d v="2025-07-16T15:25:00" u="1"/>
        <d v="2025-07-16T15:11:00" u="1"/>
        <d v="2025-07-16T15:18:00" u="1"/>
        <d v="2025-07-16T15:27:00" u="1"/>
        <d v="2025-07-16T15:10:00" u="1"/>
        <d v="2025-07-17T14:11:00" u="1"/>
        <d v="2025-07-16T15:20:00" u="1"/>
        <d v="2025-07-16T15:21:00" u="1"/>
        <d v="2025-07-15T11:07:00" u="1"/>
        <d v="2025-07-16T14:23:00" u="1"/>
        <d v="2025-08-25T09:55:00" u="1"/>
        <d v="2025-08-27T09:33:00" u="1"/>
        <d v="2025-08-26T11:02:00" u="1"/>
        <d v="2025-08-27T15:32:00" u="1"/>
        <d v="2025-08-27T15:34:00" u="1"/>
        <d v="2025-08-12T18:18:00" u="1"/>
        <d v="2025-08-28T11:47:00" u="1"/>
        <d v="2025-08-27T19:16:00" u="1"/>
        <d v="2025-08-27T10:25:00" u="1"/>
        <d v="2025-08-27T19:14:00" u="1"/>
        <d v="2025-08-28T16:05:00" u="1"/>
        <d v="2025-08-28T20:15:00" u="1"/>
        <d v="2025-08-28T13:07:00" u="1"/>
        <d v="2025-08-28T13:18:00" u="1"/>
        <d v="2025-08-28T09:30:00" u="1"/>
        <d v="2025-08-28T02:59:00" u="1"/>
        <d v="2025-08-28T01:08:00" u="1"/>
        <d v="2025-08-28T05:15:00" u="1"/>
        <d v="2025-08-27T04:01:00" u="1"/>
        <d v="2025-08-28T03:17:00" u="1"/>
        <d v="2025-08-28T04:43:00" u="1"/>
        <d v="2025-08-26T15:43:00" u="1"/>
        <d v="2025-08-26T16:04:00" u="1"/>
        <d v="2025-08-28T05:53:00" u="1"/>
        <d v="2025-08-28T09:52:00" u="1"/>
        <d v="2025-08-28T02:36:00" u="1"/>
        <d v="2025-06-20T09:30:00" u="1"/>
        <d v="2025-08-28T01:18:00" u="1"/>
        <d v="2025-08-28T02:00:00" u="1"/>
        <d v="2025-08-28T05:44:00" u="1"/>
        <d v="2025-08-27T08:02:00" u="1"/>
        <d v="2025-08-28T12:05:00" u="1"/>
        <d v="2025-08-28T05:45:00" u="1"/>
        <d v="2025-08-26T15:55:00" u="1"/>
        <d v="2025-08-28T02:50:00" u="1"/>
        <d v="2025-08-28T04:13:00" u="1"/>
        <d v="2025-08-13T15:35:00" u="1"/>
        <d v="2025-08-29T00:59:00" u="1"/>
        <d v="2025-08-28T13:35:00" u="1"/>
        <d v="2025-08-27T17:27:00" u="1"/>
        <d v="2025-08-28T08:52:00" u="1"/>
        <d v="2025-08-28T09:12:00" u="1"/>
        <d v="2025-08-15T15:27:00" u="1"/>
        <d v="2025-06-30T12:48:00" u="1"/>
        <d v="2025-08-28T09:43:00" u="1"/>
        <d v="2025-08-14T09:30:00" u="1"/>
        <d v="2025-08-28T03:13:00" u="1"/>
        <d v="2025-08-28T12:33:00" u="1"/>
        <d v="2025-08-28T08:14:00" u="1"/>
        <d v="2025-08-26T11:05:00" u="1"/>
        <d v="2025-08-27T12:36:00" u="1"/>
        <d v="2025-08-27T02:46:00" u="1"/>
        <d v="2025-08-27T15:08:00" u="1"/>
        <d v="2025-08-28T05:20:00" u="1"/>
        <d v="2025-08-28T05:59:00" u="1"/>
        <d v="2025-08-26T08:53:00" u="1"/>
        <d v="2025-08-28T02:35:00" u="1"/>
        <d v="2025-08-27T10:02:00" u="1"/>
        <d v="2025-08-28T05:49:00" u="1"/>
        <d v="2025-08-28T01:53:00" u="1"/>
        <d v="2025-08-27T02:33:00" u="1"/>
        <d v="2025-08-27T02:56:00" u="1"/>
        <d v="2025-08-27T04:15:00" u="1"/>
        <d v="2025-08-28T12:39:00" u="1"/>
        <d v="2025-08-26T09:32:00" u="1"/>
        <d v="2025-08-28T13:05:00" u="1"/>
        <d v="2025-08-27T11:07:00" u="1"/>
        <d v="2025-08-25T15:47:00" u="1"/>
        <d v="2025-08-28T11:34:00" u="1"/>
        <d v="2025-08-25T10:51:00" u="1"/>
        <d v="2025-08-28T14:09:00" u="1"/>
        <d v="2025-08-28T05:58:00" u="1"/>
        <d v="2025-06-27T17:02:00" u="1"/>
        <d v="2025-08-27T10:23:00" u="1"/>
        <d v="2025-08-25T09:16:00" u="1"/>
        <d v="2025-08-27T10:08:00" u="1"/>
        <d v="2025-08-27T10:43:00" u="1"/>
        <d v="2025-08-26T16:09:00" u="1"/>
        <d v="2025-08-25T23:37:00" u="1"/>
        <d v="2025-08-26T09:03:00" u="1"/>
        <d v="2025-08-26T07:21:00" u="1"/>
        <d v="2025-08-27T08:30:00" u="1"/>
        <d v="2025-08-27T08:37:00" u="1"/>
        <d v="2025-08-27T08:25:00" u="1"/>
        <d v="2025-08-25T12:36:00" u="1"/>
        <d v="2025-08-27T11:16:00" u="1"/>
        <d v="2025-08-26T22:10:00" u="1"/>
        <d v="2025-08-26T12:08:00" u="1"/>
        <d v="2025-08-25T19:02:00" u="1"/>
        <d v="2025-08-21T16:52:00" u="1"/>
        <d v="2025-08-27T11:06:00" u="1"/>
        <d v="2025-08-27T10:14:00" u="1"/>
        <d v="2025-08-27T10:54:00" u="1"/>
        <d v="2025-08-26T14:29:00" u="1"/>
        <d v="2025-08-27T19:21:00" u="1"/>
        <d v="2025-08-27T15:30:00" u="1"/>
        <d v="2025-08-26T10:06:00" u="1"/>
        <d v="2025-08-25T19:44:00" u="1"/>
        <d v="2025-08-26T16:55:00" u="1"/>
        <d v="2025-08-27T17:59:00" u="1"/>
        <d v="2025-08-27T09:18:00" u="1"/>
        <d v="2025-08-26T11:39:00" u="1"/>
        <d v="2025-08-27T11:55:00" u="1"/>
        <d v="2025-08-26T06:53:00" u="1"/>
        <d v="2025-08-21T14:17:00" u="1"/>
        <d v="2025-08-27T14:43:00" u="1"/>
        <d v="2025-08-27T09:49:00" u="1"/>
        <d v="2025-08-26T11:45:00" u="1"/>
        <d v="2025-08-25T12:44:00" u="1"/>
        <d v="2025-08-25T17:53:00" u="1"/>
        <d v="2025-08-26T12:22:00" u="1"/>
        <d v="2025-08-26T16:22:00" u="1"/>
        <d v="2025-08-26T14:28:00" u="1"/>
        <d v="2025-08-26T10:54:00" u="1"/>
        <d v="2025-08-26T09:56:00" u="1"/>
        <d v="2025-08-26T14:00:00" u="1"/>
        <d v="2025-08-11T21:44:00" u="1"/>
        <d v="2025-08-22T12:52:00" u="1"/>
        <d v="2025-08-22T12:53:00" u="1"/>
        <d v="2025-08-19T07:50:00" u="1"/>
        <d v="2025-08-26T08:28:00" u="1"/>
        <d v="2025-08-25T12:38:00" u="1"/>
        <d v="2025-08-26T08:52:00" u="1"/>
        <d v="2025-08-27T06:23:00" u="1"/>
        <d v="2025-08-21T14:03:00" u="1"/>
        <d v="2025-08-26T16:18:00" u="1"/>
        <d v="2025-08-27T06:44:00" u="1"/>
        <d v="2025-08-21T12:45:00" u="1"/>
        <d v="2025-08-26T12:16:00" u="1"/>
        <d v="2025-08-27T15:18:00" u="1"/>
        <d v="2025-08-28T04:37:00" u="1"/>
        <d v="2025-08-27T12:46:00" u="1"/>
        <d v="2025-08-27T18:05:00" u="1"/>
        <d v="2025-08-26T13:03:00" u="1"/>
        <d v="2025-08-25T13:03:00" u="1"/>
        <d v="2025-08-26T08:18:00" u="1"/>
        <d v="2025-08-25T16:33:00" u="1"/>
        <d v="2025-08-25T16:00:00" u="1"/>
        <d v="2025-08-12T11:31:00" u="1"/>
        <d v="2025-08-15T14:43:00" u="1"/>
        <d v="2025-08-25T11:49:00" u="1"/>
        <d v="2025-08-27T08:41:00" u="1"/>
        <d v="2025-08-19T18:49:00" u="1"/>
        <d v="2025-08-20T17:25:00" u="1"/>
        <d v="2025-08-21T11:58:00" u="1"/>
        <d v="2025-08-26T11:52:00" u="1"/>
        <d v="2025-08-15T13:29:00" u="1"/>
        <d v="2025-08-26T12:25:00" u="1"/>
        <d v="2025-08-27T15:29:00" u="1"/>
        <d v="2025-08-26T14:21:00" u="1"/>
        <d v="2025-08-14T13:42:00" u="1"/>
        <d v="2025-08-21T18:25:00" u="1"/>
        <d v="2025-08-22T09:05:00" u="1"/>
        <d v="2025-08-27T14:26:00" u="1"/>
        <d v="2025-08-26T17:18:00" u="1"/>
        <d v="2025-08-25T15:03:00" u="1"/>
        <d v="2025-08-25T14:46:00" u="1"/>
        <d v="2025-08-25T14:52:00" u="1"/>
        <d v="2025-08-27T14:04:00" u="1"/>
        <d v="2025-08-25T14:34:00" u="1"/>
        <d v="2025-08-27T19:47:00" u="1"/>
        <d v="2025-08-26T10:23:00" u="1"/>
        <d v="2025-08-26T14:39:00" u="1"/>
        <d v="2025-08-27T10:17:00" u="1"/>
        <d v="2025-08-27T10:06:00" u="1"/>
        <d v="2025-08-27T17:21:00" u="1"/>
        <d v="2025-08-21T06:15:00" u="1"/>
        <d v="2025-08-21T06:39:00" u="1"/>
        <d v="2025-08-20T10:53:00" u="1"/>
        <d v="2025-08-18T07:49:00" u="1"/>
        <d v="2025-08-18T08:00:00" u="1"/>
        <d v="2025-08-22T13:41:00" u="1"/>
        <d v="2025-08-25T07:29:00" u="1"/>
        <d v="2025-08-27T11:09:00" u="1"/>
        <d v="2025-08-26T10:03:00" u="1"/>
        <d v="2025-08-25T16:41:00" u="1"/>
        <d v="2025-08-25T16:40:00" u="1"/>
        <d v="2025-08-26T13:22:00" u="1"/>
        <d v="2025-08-26T15:19:00" u="1"/>
        <d v="2025-08-27T10:26:00" u="1"/>
        <d v="2025-08-27T19:15:00" u="1"/>
        <d v="2025-08-27T19:18:00" u="1"/>
        <d v="2025-08-27T19:17:00" u="1"/>
        <d v="2025-08-26T19:25:00" u="1"/>
        <d v="2025-08-27T09:29:00" u="1"/>
        <d v="2025-08-26T14:10:00" u="1"/>
        <d v="2025-08-25T19:10:00" u="1"/>
        <d v="2025-08-26T14:37:00" u="1"/>
        <d v="2025-08-25T18:17:00" u="1"/>
        <d v="2025-08-25T17:46:00" u="1"/>
        <d v="2025-08-25T18:55:00" u="1"/>
        <d v="2025-08-27T06:28:00" u="1"/>
        <d v="2025-08-07T14:57:00" u="1"/>
        <d v="2025-08-13T10:26:00" u="1"/>
        <d v="2025-08-12T15:52:00" u="1"/>
        <d v="2025-08-27T17:09:00" u="1"/>
        <d v="2025-08-27T15:20:00" u="1"/>
        <d v="2025-08-26T22:47:00" u="1"/>
        <d v="2025-08-26T18:48:00" u="1"/>
        <d v="2025-08-27T18:07:00" u="1"/>
        <d v="2025-08-26T17:48:00" u="1"/>
        <d v="2025-08-26T17:46:00" u="1"/>
        <d v="2025-08-26T17:44:00" u="1"/>
        <d v="2025-08-26T17:42:00" u="1"/>
        <d v="2025-08-26T17:39:00" u="1"/>
        <d v="2025-08-12T20:16:00" u="1"/>
        <d v="2025-07-17T12:08:00" u="1"/>
        <d v="2025-08-21T13:30:00" u="1"/>
        <d v="2025-08-26T11:24:00" u="1"/>
        <d v="2025-08-24T15:45:00" u="1"/>
        <d v="2025-08-27T17:11:00" u="1"/>
        <d v="2025-08-26T06:22:00" u="1"/>
        <d v="2025-08-25T01:34:00" u="1"/>
        <d v="2025-08-27T11:57:00" u="1"/>
        <d v="2025-08-27T09:34:00" u="1"/>
        <d v="2025-08-25T07:16:00" u="1"/>
        <d v="2025-08-27T12:56:00" u="1"/>
        <d v="2025-08-27T10:15:00" u="1"/>
        <d v="2025-08-26T03:31:00" u="1"/>
        <d v="2025-05-23T14:17:00" u="1"/>
        <d v="2025-07-25T09:49:00" u="1"/>
        <d v="2025-08-27T05:35:00" u="1"/>
        <d v="2025-08-26T06:08:00" u="1"/>
        <d v="2025-08-26T09:48:00" u="1"/>
        <d v="2025-08-26T08:50:00" u="1"/>
        <d v="2025-08-27T03:00:00" u="1"/>
        <d v="2025-08-27T01:40:00" u="1"/>
        <d v="2025-08-27T09:45:00" u="1"/>
        <d v="2025-08-27T09:57:00" u="1"/>
        <d v="2025-08-26T06:31:00" u="1"/>
        <d v="2025-08-19T21:00:00" u="1"/>
        <d v="2025-08-19T22:00:00" u="1"/>
        <d v="2025-08-27T06:11:00" u="1"/>
        <d v="2025-08-27T03:04:00" u="1"/>
        <d v="2025-08-14T14:59:00" u="1"/>
        <d v="2025-08-27T16:57:00" u="1"/>
        <d v="2025-08-22T14:43:00" u="1"/>
        <d v="2025-07-24T07:27:00" u="1"/>
        <d v="2025-08-25T10:00:00" u="1"/>
        <d v="2025-08-14T16:41:00" u="1"/>
        <d v="2025-08-27T12:25:00" u="1"/>
        <d v="2025-08-13T11:26:00" u="1"/>
        <d v="2025-08-13T12:42:00" u="1"/>
        <d v="2025-08-21T12:39:00" u="1"/>
        <d v="2025-08-25T06:51:00" u="1"/>
        <d v="2025-08-08T10:40:00" u="1"/>
        <d v="2025-08-27T12:24:00" u="1"/>
        <d v="2025-08-27T18:30:00" u="1"/>
        <d v="2025-08-27T10:29:00" u="1"/>
        <d v="2025-06-04T02:28:00" u="1"/>
        <d v="2025-06-24T00:00:00" u="1"/>
        <d v="2025-08-13T07:26:00" u="1"/>
        <d v="2025-08-26T08:44:00" u="1"/>
        <d v="2025-06-13T10:22:00" u="1"/>
        <d v="2025-08-18T07:02:00" u="1"/>
        <d v="2025-03-25T11:36:00" u="1"/>
        <d v="2025-07-30T12:46:00" u="1"/>
        <d v="2025-07-28T12:41:00" u="1"/>
        <d v="2025-07-28T12:35:00" u="1"/>
        <d v="2024-12-16T12:14:00" u="1"/>
        <d v="2025-08-14T06:22:00" u="1"/>
        <d v="2025-07-07T15:43:00" u="1"/>
        <d v="2025-08-16T21:40:00" u="1"/>
        <d v="2025-08-27T03:58:00" u="1"/>
        <d v="2025-08-26T10:22:00" u="1"/>
        <d v="2025-08-26T05:00:00" u="1"/>
        <d v="2025-08-26T10:50:00" u="1"/>
        <d v="2025-08-27T02:35:00" u="1"/>
        <d v="2025-08-25T01:33:00" u="1"/>
        <d v="2025-08-27T11:18:00" u="1"/>
        <d v="2025-08-26T05:20:00" u="1"/>
        <d v="2025-08-26T03:15:00" u="1"/>
        <d v="2025-08-26T15:47:00" u="1"/>
        <d v="2025-08-27T04:05:00" u="1"/>
        <d v="2025-06-25T13:40:00" u="1"/>
        <d v="2025-08-27T08:12:00" u="1"/>
        <d v="2025-08-10T11:55:00" u="1"/>
        <d v="2025-08-26T14:11:00" u="1"/>
        <d v="2025-08-27T18:21:00" u="1"/>
        <d v="2025-08-05T16:10:00" u="1"/>
        <d v="2025-08-17T20:04:00" u="1"/>
        <d v="2025-08-25T15:07:00" u="1"/>
        <d v="2025-02-17T14:51:00" u="1"/>
        <d v="2025-08-22T13:43:00" u="1"/>
        <d v="2025-08-21T16:48:00" u="1"/>
        <d v="2025-08-24T13:43:00" u="1"/>
        <d v="2025-08-24T13:50:00" u="1"/>
        <d v="2025-08-25T19:20:00" u="1"/>
        <d v="2025-08-26T18:25:00" u="1"/>
        <d v="2025-08-26T15:22:00" u="1"/>
        <d v="2025-07-31T07:29:00" u="1"/>
        <d v="2025-08-22T07:25:00" u="1"/>
        <d v="2025-08-20T19:32:00" u="1"/>
        <d v="2025-08-20T20:06:00" u="1"/>
        <d v="2025-08-22T10:50:00" u="1"/>
        <d v="2025-08-20T15:18:00" u="1"/>
        <d v="2025-08-22T10:55:00" u="1"/>
        <d v="2025-08-22T08:52:00" u="1"/>
        <d v="2025-08-22T09:16:00" u="1"/>
        <d v="2025-08-22T09:24:00" u="1"/>
        <d v="2025-08-26T12:30:00" u="1"/>
        <d v="2025-08-26T09:08:00" u="1"/>
        <d v="2025-08-26T11:32:00" u="1"/>
        <d v="2025-08-21T16:00:00" u="1"/>
        <d v="2025-08-26T16:24:00" u="1"/>
        <d v="2025-08-22T17:14:00" u="1"/>
        <d v="2025-08-25T22:09:00" u="1"/>
        <d v="2025-08-22T09:50:00" u="1"/>
        <d v="2025-08-22T13:26:00" u="1"/>
        <d v="2025-08-26T16:52:00" u="1"/>
        <d v="2025-08-26T19:02:00" u="1"/>
        <d v="2025-08-26T16:57:00" u="1"/>
        <d v="2025-08-26T18:17:00" u="1"/>
        <d v="2025-08-26T10:17:00" u="1"/>
        <d v="2025-08-26T13:43:00" u="1"/>
        <d v="2025-08-20T10:13:00" u="1"/>
        <d v="2025-08-07T17:42:00" u="1"/>
        <d v="2025-08-07T17:14:00" u="1"/>
        <d v="2025-07-21T14:05:00" u="1"/>
        <d v="2025-07-17T14:33:00" u="1"/>
        <d v="2025-07-17T14:31:00" u="1"/>
        <d v="2025-07-17T14:28:00" u="1"/>
        <d v="2025-07-21T14:06:00" u="1"/>
        <d v="2025-07-17T14:40:00" u="1"/>
        <d v="2025-07-17T14:39:00" u="1"/>
        <d v="2025-07-17T14:30:00" u="1"/>
        <d v="2025-07-17T14:27:00" u="1"/>
        <d v="2025-07-17T14:25:00" u="1"/>
        <d v="2025-07-17T16:11:00" u="1"/>
        <d v="2025-07-17T16:10:00" u="1"/>
        <d v="2025-07-17T14:52:00" u="1"/>
        <d v="2025-07-17T14:53:00" u="1"/>
        <d v="2025-07-17T14:49:00" u="1"/>
        <d v="2025-07-17T14:51:00" u="1"/>
        <d v="2025-07-15T11:10:00" u="1"/>
        <d v="2025-08-13T11:39:00" u="1"/>
        <d v="2025-08-25T08:27:00" u="1"/>
        <d v="2025-08-22T14:52:00" u="1"/>
        <d v="2025-08-14T14:31:00" u="1"/>
        <d v="2025-08-26T07:49:00" u="1"/>
        <d v="2025-08-08T07:31:00" u="1"/>
        <d v="2025-08-06T12:57:00" u="1"/>
        <d v="2025-08-26T04:11:00" u="1"/>
        <d v="2025-08-26T18:26:00" u="1"/>
        <d v="2025-08-26T11:03:00" u="1"/>
        <d v="2025-08-26T03:13:00" u="1"/>
        <d v="2025-08-25T11:27:00" u="1"/>
        <d v="2025-08-26T18:04:00" u="1"/>
        <d v="2025-08-11T09:37:00" u="1"/>
        <d v="2025-08-26T08:30:00" u="1"/>
        <d v="2025-08-19T14:14:00" u="1"/>
        <d v="2025-08-26T16:39:00" u="1"/>
        <d v="2025-08-26T04:52:00" u="1"/>
        <d v="2025-08-26T03:54:00" u="1"/>
        <d v="2025-08-26T05:11:00" u="1"/>
        <d v="2025-08-26T02:36:00" u="1"/>
        <d v="2025-08-06T12:26:00" u="1"/>
        <d v="2025-08-12T15:14:00" u="1"/>
        <d v="2025-08-26T05:54:00" u="1"/>
        <d v="2025-08-26T15:36:00" u="1"/>
        <d v="2025-08-26T07:22:00" u="1"/>
        <d v="2025-08-26T06:43:00" u="1"/>
        <d v="2025-08-25T11:45:00" u="1"/>
        <d v="2025-08-14T10:00:00" u="1"/>
        <d v="2025-08-26T06:47:00" u="1"/>
        <d v="2025-08-26T15:52:00" u="1"/>
        <d v="2025-08-04T09:24:00" u="1"/>
        <d v="2025-08-04T09:30:00" u="1"/>
        <d v="2025-08-21T07:27:00" u="1"/>
        <d v="2025-08-22T12:31:00" u="1"/>
        <d v="2025-08-11T14:28:00" u="1"/>
        <d v="2025-08-15T15:15:00" u="1"/>
        <d v="2025-08-20T07:57:00" u="1"/>
        <d v="2025-08-25T11:46:00" u="1"/>
        <d v="2025-08-25T14:43:00" u="1"/>
        <d v="2025-08-25T17:34:00" u="1"/>
        <d v="2025-08-19T17:24:00" u="1"/>
        <d v="2025-08-20T14:01:00" u="1"/>
        <d v="2025-08-20T14:06:00" u="1"/>
        <d v="2025-08-25T13:40:00" u="1"/>
        <d v="2025-08-25T15:45:00" u="1"/>
        <d v="2025-08-25T15:20:00" u="1"/>
        <d v="2025-08-25T15:40:00" u="1"/>
        <d v="2025-08-22T08:43:00" u="1"/>
        <d v="2025-08-19T14:37:00" u="1"/>
        <d v="2025-08-25T16:49:00" u="1"/>
        <d v="2025-08-25T17:36:00" u="1"/>
        <d v="2025-08-23T18:00:00" u="1"/>
        <d v="2025-08-18T19:06:00" u="1"/>
        <d v="2025-08-26T18:49:00" u="1"/>
        <d v="2025-08-25T13:58:00" u="1"/>
        <d v="2025-08-25T14:15:00" u="1"/>
        <d v="2025-08-19T14:49:00" u="1"/>
        <d v="2025-08-25T10:35:00" u="1"/>
        <d v="2025-08-20T00:00:00" u="1"/>
        <d v="2025-08-18T00:00:00" u="1"/>
        <d v="2025-08-15T11:09:00" u="1"/>
        <d v="2025-08-25T08:49:00" u="1"/>
        <d v="2025-08-22T14:12:00" u="1"/>
        <d v="2025-08-18T11:35:00" u="1"/>
        <d v="2025-08-22T17:30:00" u="1"/>
        <d v="2025-08-22T16:40:00" u="1"/>
        <d v="2025-08-18T13:49:00" u="1"/>
        <d v="2025-08-18T17:47:00" u="1"/>
        <d v="2025-08-18T17:53:00" u="1"/>
        <d v="2025-08-19T19:16:00" u="1"/>
        <d v="2025-08-25T12:27:00" u="1"/>
        <d v="2025-08-25T15:10:00" u="1"/>
        <d v="2025-08-20T11:54:00" u="1"/>
        <d v="2025-08-19T09:56:00" u="1"/>
        <d v="2025-08-19T10:00:00" u="1"/>
        <d v="2025-08-19T10:03:00" u="1"/>
        <d v="2025-08-19T10:04:00" u="1"/>
        <d v="2025-08-19T10:07:00" u="1"/>
        <d v="2025-08-19T10:09:00" u="1"/>
        <d v="2025-08-19T10:11:00" u="1"/>
        <d v="2025-08-19T10:15:00" u="1"/>
        <d v="2025-08-19T10:16:00" u="1"/>
        <d v="2025-08-19T10:18:00" u="1"/>
        <d v="2025-08-25T15:36:00" u="1"/>
        <d v="2025-08-23T08:40:00" u="1"/>
        <d v="2025-08-18T15:11:00" u="1"/>
        <d v="2025-08-22T16:45:00" u="1"/>
        <d v="2025-08-22T16:48:00" u="1"/>
        <d v="2025-08-11T12:37:00" u="1"/>
        <d v="2025-08-06T11:25:00" u="1"/>
        <d v="2025-08-22T13:11:00" u="1"/>
        <d v="2025-08-21T05:13:00" u="1"/>
        <d v="2025-08-25T11:37:00" u="1"/>
        <d v="2025-08-25T02:22:00" u="1"/>
        <d v="2025-08-25T10:31:00" u="1"/>
        <d v="2025-08-25T05:21:00" u="1"/>
        <d v="2025-08-25T03:01:00" u="1"/>
        <d v="2025-08-15T02:56:00" u="1"/>
        <d v="2025-08-25T02:39:00" u="1"/>
        <d v="2025-08-25T06:15:00" u="1"/>
        <d v="2025-08-22T05:35:00" u="1"/>
        <d v="2025-08-04T13:13:00" u="1"/>
        <d v="2025-08-25T11:56:00" u="1"/>
        <d v="2025-08-13T16:56:00" u="1"/>
        <d v="2025-08-22T18:33:00" u="1"/>
        <d v="2025-08-25T06:38:00" u="1"/>
        <d v="2025-08-25T14:57:00" u="1"/>
        <d v="2025-08-21T11:04:00" u="1"/>
        <d v="2025-08-22T16:41:00" u="1"/>
        <d v="2025-08-25T04:02:00" u="1"/>
        <d v="2025-08-25T04:18:00" u="1"/>
        <d v="2025-08-25T03:18:00" u="1"/>
        <d v="2025-06-03T00:00:00" u="1"/>
        <d v="2025-08-25T10:56:00" u="1"/>
        <d v="2025-08-25T09:27:00" u="1"/>
        <d v="2025-08-23T01:01:00" u="1"/>
        <d v="2025-08-24T05:05:00" u="1"/>
        <d v="2025-07-22T13:30:00" u="1"/>
        <d v="2025-07-23T18:21:00" u="1"/>
        <d v="2025-08-21T12:59:00" u="1"/>
        <d v="2025-07-20T09:19:00" u="1"/>
        <d v="2025-08-21T01:11:00" u="1"/>
        <d v="2025-08-22T17:00:00" u="1"/>
        <d v="2025-08-25T08:33:00" u="1"/>
        <d v="2025-08-01T09:49:00" u="1"/>
        <d v="2025-08-25T09:02:00" u="1"/>
        <d v="2025-08-25T07:22:00" u="1"/>
        <d v="2025-08-11T13:23:00" u="1"/>
        <d v="2025-08-25T09:11:00" u="1"/>
        <d v="2025-08-20T13:57:00" u="1"/>
        <d v="2025-08-25T15:58:00" u="1"/>
        <d v="2025-08-25T08:40:00" u="1"/>
        <d v="2025-08-22T08:58:00" u="1"/>
        <d v="2025-08-25T07:32:00" u="1"/>
        <d v="2025-08-18T10:38:00" u="1"/>
        <d v="2025-08-25T11:43:00" u="1"/>
        <d v="2025-08-25T15:51:00" u="1"/>
        <d v="2025-08-24T05:52:00" u="1"/>
        <d v="2025-08-26T06:25:00" u="1"/>
        <d v="2025-08-24T03:37:00" u="1"/>
        <d v="2025-08-25T03:26:00" u="1"/>
        <d v="2025-08-25T09:54:00" u="1"/>
        <d v="2025-08-25T09:09:00" u="1"/>
        <d v="2025-08-25T12:28:00" u="1"/>
        <d v="2025-08-25T15:13:00" u="1"/>
        <d v="2025-08-25T07:09:00" u="1"/>
        <d v="2025-08-25T08:58:00" u="1"/>
        <d v="2025-08-25T10:23:00" u="1"/>
        <d v="2025-08-25T08:37:00" u="1"/>
        <d v="2025-08-25T05:16:00" u="1"/>
        <d v="2025-08-22T12:38:00" u="1"/>
        <d v="2025-08-20T14:44:00" u="1"/>
        <d v="2025-08-20T14:45:00" u="1"/>
        <d v="2025-08-21T09:37:00" u="1"/>
        <d v="2025-08-05T17:26:00" u="1"/>
        <d v="2025-08-07T13:57:00" u="1"/>
        <d v="2025-08-12T17:39:00" u="1"/>
        <d v="2025-08-12T15:03:00" u="1"/>
        <d v="2025-08-12T13:25:00" u="1"/>
        <d v="2025-08-11T10:32:00" u="1"/>
        <d v="2025-08-08T11:13:00" u="1"/>
        <d v="2025-08-14T12:53:00" u="1"/>
        <d v="2025-08-19T12:34:00" u="1"/>
        <d v="2025-08-19T12:14:00" u="1"/>
        <d v="2025-08-19T12:01:00" u="1"/>
        <d v="2025-08-19T09:42:00" u="1"/>
        <d v="2025-08-19T09:07:00" u="1"/>
        <d v="2025-08-19T10:02:00" u="1"/>
        <d v="2025-08-15T15:40:00" u="1"/>
        <d v="2025-08-19T11:15:00" u="1"/>
        <d v="2025-08-19T09:48:00" u="1"/>
        <d v="2025-08-19T06:29:00" u="1"/>
        <d v="2025-08-18T14:09:00" u="1"/>
        <d v="2025-08-19T09:54:00" u="1"/>
        <d v="2025-08-12T09:12:00" u="1"/>
        <d v="2025-08-19T13:29:00" u="1"/>
        <d v="2025-08-08T14:17:00" u="1"/>
        <d v="2025-08-08T15:06:00" u="1"/>
        <d v="2025-08-13T16:09:00" u="1"/>
        <d v="2025-08-18T08:25:00" u="1"/>
        <d v="2025-08-18T11:11:00" u="1"/>
        <d v="2025-08-18T12:54:00" u="1"/>
        <d v="2025-08-12T11:37:00" u="1"/>
        <d v="2025-08-18T10:23:00" u="1"/>
        <d v="2025-08-19T10:55:00" u="1"/>
        <d v="2025-08-12T10:23:00" u="1"/>
        <d v="2025-08-18T17:14:00" u="1"/>
        <d v="2025-08-19T15:43:00" u="1"/>
        <d v="2025-08-19T08:55:00" u="1"/>
        <d v="2025-08-18T08:29:00" u="1"/>
        <d v="2025-08-19T09:23:00" u="1"/>
        <d v="2025-08-19T09:30:00" u="1"/>
        <d v="2025-08-18T16:31:00" u="1"/>
        <d v="2025-08-19T09:15:00" u="1"/>
        <d v="2025-08-19T10:10:00" u="1"/>
        <d v="2025-08-14T06:40:00" u="1"/>
        <d v="2025-08-14T06:49:00" u="1"/>
        <d v="2025-08-19T09:20:00" u="1"/>
        <d v="2025-08-20T17:40:00" u="1"/>
        <d v="2025-08-20T14:14:00" u="1"/>
        <d v="2025-08-20T19:06:00" u="1"/>
        <d v="2025-08-20T12:01:00" u="1"/>
        <d v="2025-08-20T10:24:00" u="1"/>
        <d v="2025-08-20T08:30:00" u="1"/>
        <d v="2025-08-20T12:03:00" u="1"/>
        <d v="2025-08-19T14:22:00" u="1"/>
        <d v="2025-08-19T14:18:00" u="1"/>
        <d v="2025-08-19T15:22:00" u="1"/>
        <d v="2025-08-21T08:01:00" u="1"/>
        <d v="2025-08-21T07:57:00" u="1"/>
        <d v="2025-08-20T15:07:00" u="1"/>
        <d v="2025-08-19T15:13:00" u="1"/>
        <d v="2025-08-21T11:52:00" u="1"/>
        <d v="2025-08-20T18:16:00" u="1"/>
        <d v="2025-08-20T16:21:00" u="1"/>
        <d v="2025-08-21T15:52:00" u="1"/>
        <d v="2025-08-20T16:00:00" u="1"/>
        <d v="2025-08-20T15:59:00" u="1"/>
        <d v="2025-08-20T15:58:00" u="1"/>
        <d v="2025-08-20T18:26:00" u="1"/>
        <d v="2025-08-20T18:27:00" u="1"/>
        <d v="2025-08-14T17:47:00" u="1"/>
        <d v="2025-08-20T14:09:00" u="1"/>
        <d v="2025-08-20T16:24:00" u="1"/>
        <d v="2025-08-21T11:42:00" u="1"/>
        <d v="2025-08-21T11:21:00" u="1"/>
        <d v="2025-08-21T14:55:00" u="1"/>
        <d v="2025-08-21T09:14:00" u="1"/>
        <d v="2025-08-21T09:08:00" u="1"/>
        <d v="2025-08-20T23:20:00" u="1"/>
        <d v="2025-08-20T21:20:00" u="1"/>
        <d v="2025-08-20T09:01:00" u="1"/>
        <d v="2025-08-20T16:02:00" u="1"/>
        <d v="2025-08-20T16:35:00" u="1"/>
        <d v="2025-08-19T17:47:00" u="1"/>
        <d v="2025-08-19T18:10:00" u="1"/>
        <d v="2025-08-20T16:08:00" u="1"/>
        <d v="2025-08-20T15:16:00" u="1"/>
        <d v="2025-08-20T11:36:00" u="1"/>
        <d v="2025-08-21T10:39:00" u="1"/>
        <d v="2025-08-20T11:42:00" u="1"/>
        <d v="2025-08-19T19:07:00" u="1"/>
        <d v="2025-08-20T20:11:00" u="1"/>
        <d v="2025-08-19T17:15:00" u="1"/>
        <d v="2025-08-19T15:20:00" u="1"/>
        <d v="2025-08-20T13:40:00" u="1"/>
        <d v="2025-08-20T18:54:00" u="1"/>
        <d v="2025-08-21T10:25:00" u="1"/>
        <d v="2025-08-21T09:16:00" u="1"/>
        <d v="2025-08-19T16:21:00" u="1"/>
        <d v="2025-08-21T10:03:00" u="1"/>
        <d v="2025-08-21T07:56:00" u="1"/>
        <d v="2025-08-19T13:52:00" u="1"/>
        <d v="2025-08-19T18:27:00" u="1"/>
        <d v="2025-08-19T16:08:00" u="1"/>
        <d v="2025-08-20T12:33:00" u="1"/>
        <d v="2025-08-19T14:38:00" u="1"/>
        <d v="2025-08-19T14:44:00" u="1"/>
        <d v="2025-08-20T16:59:00" u="1"/>
        <d v="2025-08-20T16:27:00" u="1"/>
        <d v="2025-08-20T16:26:00" u="1"/>
        <d v="2025-08-20T12:46:00" u="1"/>
        <d v="2025-08-21T11:47:00" u="1"/>
        <d v="2025-08-21T10:27:00" u="1"/>
        <d v="2025-08-20T16:53:00" u="1"/>
        <d v="2025-08-20T15:04:00" u="1"/>
        <d v="2025-08-21T10:14:00" u="1"/>
        <d v="2025-08-21T13:34:00" u="1"/>
        <d v="2025-08-19T19:01:00" u="1"/>
        <d v="2025-08-20T12:18:00" u="1"/>
        <d v="2025-08-19T18:52:00" u="1"/>
        <d v="2025-08-19T14:03:00" u="1"/>
        <d v="2025-08-20T16:38:00" u="1"/>
        <d v="2025-08-20T16:03:00" u="1"/>
        <d v="2025-08-20T14:59:00" u="1"/>
        <d v="2025-08-20T13:54:00" u="1"/>
        <d v="2025-08-20T11:47:00" u="1"/>
        <d v="2025-08-20T10:44:00" u="1"/>
        <d v="2025-08-21T11:03:00" u="1"/>
        <d v="2025-08-21T02:00:00" u="1"/>
        <d v="2025-08-21T09:59:00" u="1"/>
        <d v="2025-08-21T11:07:00" u="1"/>
        <d v="2025-08-21T09:23:00" u="1"/>
        <d v="2025-08-21T04:46:00" u="1"/>
        <d v="2025-08-21T12:55:00" u="1"/>
        <d v="2025-08-21T09:18:00" u="1"/>
        <d v="2025-08-21T09:21:00" u="1"/>
        <d v="2025-08-21T12:22:00" u="1"/>
        <d v="2025-08-21T04:49:00" u="1"/>
        <d v="2025-08-21T06:32:00" u="1"/>
        <d v="2025-07-25T16:01:00" u="1"/>
        <d v="2025-07-25T19:11:00" u="1"/>
        <d v="2025-08-21T07:49:00" u="1"/>
        <d v="2025-08-21T13:00:00" u="1"/>
        <d v="2025-08-21T03:41:00" u="1"/>
        <d v="2025-08-21T10:20:00" u="1"/>
        <d v="2025-08-21T09:09:00" u="1"/>
        <d v="2025-08-21T10:56:00" u="1"/>
        <d v="2025-08-21T01:48:00" u="1"/>
        <d v="2025-08-20T06:25:00" u="1"/>
        <d v="2025-08-21T09:11:00" u="1"/>
        <d v="2025-08-21T08:33:00" u="1"/>
        <d v="2025-08-21T11:02:00" u="1"/>
        <d v="2025-08-13T23:11:00" u="1"/>
        <d v="2025-08-20T10:54:00" u="1"/>
        <d v="2025-08-21T15:17:00" u="1"/>
        <d v="2025-08-21T13:56:00" u="1"/>
        <d v="2025-08-21T17:22:00" u="1"/>
        <d v="2025-08-21T17:11:00" u="1"/>
        <d v="2025-08-21T13:43:00" u="1"/>
        <d v="2025-08-21T18:39:00" u="1"/>
        <d v="2025-08-21T18:09:00" u="1"/>
        <d v="2025-08-21T15:23:00" u="1"/>
        <d v="2025-08-21T13:59:00" u="1"/>
        <d v="2025-08-21T15:22:00" u="1"/>
        <d v="2025-08-21T15:27:00" u="1"/>
        <d v="2025-08-21T18:19:00" u="1"/>
        <d v="2025-08-21T15:55:00" u="1"/>
        <d v="2025-08-21T18:15:00" u="1"/>
        <d v="2025-08-21T15:51:00" u="1"/>
        <d v="2025-08-21T15:50:00" u="1"/>
        <d v="2025-08-21T14:50:00" u="1"/>
        <d v="2025-08-21T14:49:00" u="1"/>
        <d v="2025-08-21T13:25:00" u="1"/>
        <d v="2025-08-21T14:51:00" u="1"/>
        <d v="2025-08-21T14:52:00" u="1"/>
        <d v="2025-08-21T19:11:00" u="1"/>
        <d v="2025-08-21T18:18:00" u="1"/>
        <d v="2025-08-21T15:20:00" u="1"/>
        <d v="2025-08-21T15:21:00" u="1"/>
        <d v="2025-08-21T15:31:00" u="1"/>
        <d v="2025-08-21T15:07:00" u="1"/>
        <d v="2025-08-21T16:16:00" u="1"/>
        <d v="2025-08-21T16:01:00" u="1"/>
        <d v="2025-08-21T12:18:00" u="1"/>
        <d v="2025-08-21T06:09:00" u="1"/>
        <d v="2025-08-21T04:39:00" u="1"/>
        <d v="2025-08-21T16:12:00" u="1"/>
        <d v="2025-08-21T14:54:00" u="1"/>
        <d v="2025-08-21T06:49:00" u="1"/>
        <d v="2025-08-21T06:36:00" u="1"/>
        <d v="2025-08-21T06:38:00" u="1"/>
        <d v="2025-08-01T14:29:00" u="1"/>
        <d v="2025-08-06T21:56:00" u="1"/>
        <d v="2025-08-07T16:00:00" u="1"/>
        <d v="2025-08-15T15:14:00" u="1"/>
        <d v="2025-08-15T09:15:00" u="1"/>
        <d v="2025-08-15T14:49:00" u="1"/>
        <d v="2025-08-19T08:50:00" u="1"/>
        <d v="2025-08-19T19:00:00" u="1"/>
        <d v="2025-08-20T02:49:00" u="1"/>
        <d v="2025-08-18T11:50:00" u="1"/>
        <d v="2025-08-19T10:37:00" u="1"/>
        <d v="2025-08-20T14:24:00" u="1"/>
        <d v="2025-08-19T12:39:00" u="1"/>
        <d v="2025-08-19T12:54:00" u="1"/>
        <d v="2025-08-19T12:55:00" u="1"/>
        <d v="2025-08-19T09:00:00" u="1"/>
        <d v="2025-08-20T01:46:00" u="1"/>
        <d v="2025-08-20T12:29:00" u="1"/>
        <d v="2025-08-19T10:05:00" u="1"/>
        <d v="2025-08-19T03:51:00" u="1"/>
        <d v="2025-08-19T16:15:01" u="1"/>
        <d v="2025-08-17T18:57:00" u="1"/>
        <d v="2025-08-19T13:05:00" u="1"/>
        <d v="2025-08-20T01:27:00" u="1"/>
        <d v="2025-08-20T06:27:00" u="1"/>
        <d v="2025-08-20T12:42:00" u="1"/>
        <d v="2025-08-20T14:11:00" u="1"/>
        <d v="2025-08-20T11:24:00" u="1"/>
        <d v="2025-08-20T02:34:00" u="1"/>
        <d v="2025-08-20T02:54:00" u="1"/>
        <d v="2025-08-20T05:30:00" u="1"/>
        <d v="2025-08-07T14:20:00" u="1"/>
        <d v="2025-08-18T14:48:00" u="1"/>
        <d v="2025-08-20T12:49:00" u="1"/>
        <d v="2025-08-20T12:39:00" u="1"/>
        <d v="2025-08-14T12:35:00" u="1"/>
        <d v="2025-08-20T17:27:00" u="1"/>
        <d v="2025-08-20T09:25:00" u="1"/>
        <d v="2025-08-20T04:24:00" u="1"/>
        <d v="2025-08-20T12:14:00" u="1"/>
        <d v="2025-08-20T19:03:00" u="1"/>
        <d v="2025-08-19T05:22:00" u="1"/>
        <d v="2025-08-20T13:09:00" u="1"/>
        <d v="2025-08-20T08:44:00" u="1"/>
        <d v="2025-05-21T17:03:59" u="1"/>
        <d v="2025-07-02T17:03:00" u="1"/>
        <d v="2025-08-04T00:00:00" u="1"/>
        <d v="2025-08-08T06:59:00" u="1"/>
        <d v="2025-08-11T11:46:00" u="1"/>
        <d v="2025-08-08T14:30:00" u="1"/>
        <d v="2025-08-13T07:46:00" u="1"/>
        <d v="2025-07-28T19:00:00" u="1"/>
        <d v="2025-08-11T06:29:00" u="1"/>
        <d v="2025-08-18T16:08:00" u="1"/>
        <d v="2025-08-18T16:15:00" u="1"/>
        <d v="2025-08-15T17:09:00" u="1"/>
        <d v="2025-08-15T09:37:00" u="1"/>
        <d v="2025-08-17T06:01:00" u="1"/>
        <d v="2025-08-13T06:25:00" u="1"/>
        <d v="2025-08-13T06:42:00" u="1"/>
        <d v="2025-08-14T09:50:00" u="1"/>
        <d v="2025-08-18T11:09:00" u="1"/>
        <d v="2025-08-13T14:30:00" u="1"/>
        <d v="2025-08-13T14:38:00" u="1"/>
        <d v="2025-08-13T14:42:00" u="1"/>
        <d v="2025-08-13T14:44:00" u="1"/>
        <d v="2025-08-13T14:51:00" u="1"/>
        <d v="2025-08-13T14:53:00" u="1"/>
        <d v="2025-08-13T14:57:00" u="1"/>
        <d v="2025-08-14T08:34:00" u="1"/>
        <d v="2025-08-14T15:03:00" u="1"/>
        <d v="2025-08-14T15:36:00" u="1"/>
        <d v="2025-08-18T13:34:00" u="1"/>
        <d v="2025-08-14T07:19:00" u="1"/>
        <d v="2025-08-18T09:54:00" u="1"/>
        <d v="2025-08-15T04:01:00" u="1"/>
        <d v="2025-08-18T11:14:00" u="1"/>
        <d v="2025-08-13T06:59:00" u="1"/>
        <d v="2025-08-18T12:24:00" u="1"/>
        <d v="2025-08-18T05:16:00" u="1"/>
        <d v="2025-08-18T11:52:00" u="1"/>
        <d v="2025-08-18T03:56:00" u="1"/>
        <d v="2025-08-18T04:25:00" u="1"/>
        <d v="2025-08-18T11:30:00" u="1"/>
        <d v="2025-08-18T10:13:00" u="1"/>
        <d v="2025-08-18T12:38:00" u="1"/>
        <d v="2025-07-16T17:42:00" u="1"/>
        <d v="2025-08-15T08:39:00" u="1"/>
        <d v="2025-08-18T10:10:00" u="1"/>
        <d v="2025-08-18T15:25:00" u="1"/>
        <d v="2025-08-19T17:17:00" u="1"/>
        <d v="2025-08-19T17:18:00" u="1"/>
        <d v="2025-08-19T17:19:00" u="1"/>
        <d v="2025-08-19T17:21:00" u="1"/>
        <d v="2025-08-19T17:23:00" u="1"/>
        <d v="2025-08-19T17:25:00" u="1"/>
        <d v="2025-08-19T17:26:00" u="1"/>
        <d v="2025-08-19T17:28:00" u="1"/>
        <d v="2025-08-19T17:29:00" u="1"/>
        <d v="2025-08-19T17:30:00" u="1"/>
        <d v="2025-08-19T17:31:00" u="1"/>
        <d v="2025-08-19T17:33:00" u="1"/>
        <d v="2025-08-19T17:34:00" u="1"/>
        <d v="2025-08-19T17:35:00" u="1"/>
        <d v="2025-08-19T17:36:00" u="1"/>
        <d v="2025-08-19T17:37:00" u="1"/>
        <d v="2025-08-19T17:38:00" u="1"/>
        <d v="2025-08-19T17:40:00" u="1"/>
        <d v="2025-08-19T17:41:00" u="1"/>
        <d v="2025-08-19T17:42:00" u="1"/>
        <d v="2025-08-19T17:43:00" u="1"/>
        <d v="2025-08-19T17:16:00" u="1"/>
        <d v="2025-08-19T18:48:00" u="1"/>
        <d v="2025-08-19T13:37:00" u="1"/>
        <d v="2025-08-19T13:47:00" u="1"/>
        <d v="2025-08-19T15:02:00" u="1"/>
        <d v="2025-08-19T15:12:00" u="1"/>
        <d v="2025-08-19T13:56:00" u="1"/>
        <d v="2025-08-19T01:26:00" u="1"/>
        <d v="2025-08-19T09:58:00" u="1"/>
        <d v="2025-08-19T10:17:00" u="1"/>
        <d v="2025-08-19T10:19:00" u="1"/>
        <d v="2025-08-19T09:53:00" u="1"/>
        <d v="2025-08-19T10:22:00" u="1"/>
        <d v="2025-08-19T14:59:00" u="1"/>
        <d v="2025-08-19T00:52:00" u="1"/>
        <d v="2025-08-19T11:59:00" u="1"/>
        <d v="2025-08-19T10:50:00" u="1"/>
        <d v="2025-08-06T12:34:00" u="1"/>
        <d v="2025-08-19T09:57:00" u="1"/>
        <d v="2025-08-19T12:06:00" u="1"/>
        <d v="2025-08-19T04:52:00" u="1"/>
        <d v="2025-08-19T06:02:00" u="1"/>
        <d v="2025-08-19T05:14:00" u="1"/>
        <d v="2025-08-19T04:49:00" u="1"/>
        <d v="2025-08-19T17:05:00" u="1"/>
        <d v="2025-08-19T11:24:00" u="1"/>
        <d v="2025-08-19T05:01:00" u="1"/>
        <d v="2025-08-19T07:01:00" u="1"/>
        <d v="2025-08-19T06:55:00" u="1"/>
        <d v="2025-08-19T05:57:00" u="1"/>
        <d v="2025-08-19T04:13:00" u="1"/>
        <d v="2025-08-19T06:34:00" u="1"/>
        <d v="2025-08-19T07:03:00" u="1"/>
        <d v="2025-08-19T09:41:00" u="1"/>
        <d v="2025-08-19T03:52:00" u="1"/>
        <d v="2025-08-19T04:39:00" u="1"/>
        <d v="2025-08-19T10:06:00" u="1"/>
        <d v="2025-08-19T12:36:00" u="1"/>
        <d v="2025-07-22T06:44:00" u="1"/>
        <d v="2025-08-19T01:29:00" u="1"/>
        <d v="2025-08-19T14:53:00" u="1"/>
        <d v="2025-08-07T15:40:00" u="1"/>
        <d v="2025-08-06T12:16:00" u="1"/>
        <d v="2025-07-28T09:30:00" u="1"/>
        <d v="2025-08-19T05:24:00" u="1"/>
        <d v="2025-08-19T04:38:00" u="1"/>
        <d v="2025-08-19T08:11:00" u="1"/>
        <d v="2025-08-18T02:24:00" u="1"/>
        <d v="2025-08-19T01:15:00" u="1"/>
        <d v="2025-08-19T08:33:00" u="1"/>
        <d v="2025-08-19T06:25:00" u="1"/>
        <d v="2025-08-19T08:44:00" u="1"/>
        <d v="2025-08-08T09:12:00" u="1"/>
        <d v="2025-08-18T07:13:00" u="1"/>
        <d v="2025-08-19T07:44:00" u="1"/>
        <d v="2025-08-19T05:15:00" u="1"/>
        <d v="2025-08-19T11:52:00" u="1"/>
        <d v="2025-08-19T12:16:00" u="1"/>
        <d v="2025-08-18T08:03:00" u="1"/>
        <d v="2025-07-01T10:14:00" u="1"/>
        <d v="2025-07-08T00:00:00" u="1"/>
        <d v="2025-07-15T13:34:00" u="1"/>
        <d v="2025-07-25T11:02:00" u="1"/>
        <d v="2025-07-29T08:53:00" u="1"/>
        <d v="2025-07-30T11:11:00" u="1"/>
        <d v="2025-07-25T17:51:00" u="1"/>
        <d v="2025-07-29T15:02:00" u="1"/>
        <d v="2025-08-01T10:39:00" u="1"/>
        <d v="2025-07-31T00:00:00" u="1"/>
        <d v="2025-07-31T11:06:00" u="1"/>
        <d v="2025-07-16T00:00:00" u="1"/>
        <d v="2025-08-12T15:45:00" u="1"/>
        <d v="2025-07-03T09:37:00" u="1"/>
        <d v="2025-08-13T10:09:00" u="1"/>
        <d v="2025-08-13T13:32:00" u="1"/>
        <d v="2025-08-15T15:49:00" u="1"/>
        <d v="2025-08-05T09:52:00" u="1"/>
        <d v="2025-08-15T07:11:00" u="1"/>
        <d v="2025-08-15T06:30:00" u="1"/>
        <d v="2025-08-15T08:05:00" u="1"/>
        <d v="2025-08-13T12:48:00" u="1"/>
        <d v="2025-08-15T11:30:00" u="1"/>
        <d v="2025-08-12T16:09:00" u="1"/>
        <d v="2025-08-11T14:45:00" u="1"/>
        <d v="2025-08-12T16:32:00" u="1"/>
        <d v="2025-08-13T14:43:00" u="1"/>
        <d v="2025-08-14T09:32:00" u="1"/>
        <d v="2025-08-14T09:35:00" u="1"/>
        <d v="2025-08-14T09:38:00" u="1"/>
        <d v="2025-08-14T15:39:00" u="1"/>
        <d v="2025-08-13T10:35:00" u="1"/>
        <d v="2025-08-13T13:46:00" u="1"/>
        <d v="2025-08-15T14:59:00" u="1"/>
        <d v="2025-08-15T07:49:00" u="1"/>
        <d v="2025-08-13T14:29:00" u="1"/>
        <d v="2025-08-12T18:56:00" u="1"/>
        <d v="2025-08-15T13:28:00" u="1"/>
        <d v="2025-08-15T09:12:00" u="1"/>
        <d v="2025-08-15T08:56:00" u="1"/>
        <d v="2025-08-15T09:52:00" u="1"/>
        <d v="2025-08-18T09:57:00" u="1"/>
        <d v="2025-08-15T06:33:00" u="1"/>
        <d v="2025-03-19T11:58:00" u="1"/>
        <d v="2025-08-12T05:42:00" u="1"/>
        <d v="2025-08-15T02:25:00" u="1"/>
        <d v="2025-08-11T11:23:00" u="1"/>
        <d v="2025-08-15T01:33:00" u="1"/>
        <d v="2025-08-14T05:22:00" u="1"/>
        <d v="2025-08-14T12:26:00" u="1"/>
        <d v="2025-08-05T12:16:00" u="1"/>
        <d v="2025-08-15T07:07:00" u="1"/>
        <d v="2025-08-15T09:33:00" u="1"/>
        <d v="2025-08-18T14:17:00" u="1"/>
        <d v="2025-08-18T14:53:00" u="1"/>
        <d v="2025-08-18T16:42:00" u="1"/>
        <d v="2025-08-18T15:22:00" u="1"/>
        <d v="2025-08-18T12:27:00" u="1"/>
        <d v="2025-08-18T10:49:00" u="1"/>
        <d v="2025-08-15T14:37:00" u="1"/>
        <d v="2025-08-18T16:37:00" u="1"/>
        <d v="2025-08-18T16:36:00" u="1"/>
        <d v="2025-08-18T13:18:00" u="1"/>
        <d v="2025-08-18T08:35:00" u="1"/>
        <d v="2025-08-15T10:11:00" u="1"/>
        <d v="2025-08-18T13:51:00" u="1"/>
        <d v="2025-08-15T14:13:00" u="1"/>
        <d v="2025-08-18T09:23:00" u="1"/>
        <d v="2025-08-18T06:50:00" u="1"/>
        <d v="2025-08-18T08:22:00" u="1"/>
        <d v="2025-08-18T10:16:00" u="1"/>
        <d v="2025-08-18T13:27:00" u="1"/>
        <d v="2025-08-18T14:04:00" u="1"/>
        <d v="2025-08-18T15:06:00" u="1"/>
        <d v="2025-08-18T10:24:00" u="1"/>
        <d v="2025-08-14T10:32:00" u="1"/>
        <d v="2025-08-18T13:25:00" u="1"/>
        <d v="2025-08-15T11:22:00" u="1"/>
        <d v="2025-08-15T11:23:00" u="1"/>
        <d v="2025-08-18T14:56:00" u="1"/>
        <d v="2025-08-18T14:46:00" u="1"/>
        <d v="2025-08-18T14:12:00" u="1"/>
        <d v="2025-08-18T10:55:00" u="1"/>
        <d v="2025-08-18T10:57:00" u="1"/>
        <d v="2025-08-18T17:40:00" u="1"/>
        <d v="2025-08-18T10:42:00" u="1"/>
        <d v="2025-08-18T15:18:00" u="1"/>
        <d v="2025-08-18T17:01:00" u="1"/>
        <d v="2025-08-18T16:59:00" u="1"/>
        <d v="2025-08-18T17:56:00" u="1"/>
        <d v="2025-08-18T17:22:00" u="1"/>
        <d v="2025-08-18T15:46:00" u="1"/>
        <d v="2025-08-18T13:37:00" u="1"/>
        <d v="2025-08-18T13:40:00" u="1"/>
        <d v="2025-08-18T13:46:00" u="1"/>
        <d v="2025-08-18T11:27:00" u="1"/>
        <d v="2025-08-18T16:52:00" u="1"/>
        <d v="2025-08-17T02:21:00" u="1"/>
        <d v="2025-08-15T07:01:00" u="1"/>
        <d v="2025-08-18T12:18:00" u="1"/>
        <d v="2025-08-18T10:46:00" u="1"/>
        <d v="2025-08-18T12:12:00" u="1"/>
        <d v="2025-08-18T16:30:00" u="1"/>
        <d v="2025-08-17T09:46:00" u="1"/>
        <d v="2025-08-17T09:49:00" u="1"/>
        <d v="2025-08-17T09:40:00" u="1"/>
        <d v="2025-08-15T09:25:00" u="1"/>
        <d v="2025-08-18T11:22:00" u="1"/>
        <d v="2025-08-18T04:10:00" u="1"/>
        <d v="2025-08-18T10:14:00" u="1"/>
        <d v="2025-08-18T01:47:00" u="1"/>
        <d v="2025-08-18T02:19:00" u="1"/>
        <d v="2025-08-18T02:51:00" u="1"/>
        <d v="2025-06-23T15:19:00" u="1"/>
        <d v="2025-08-18T15:07:00" u="1"/>
        <d v="2025-08-18T11:38:00" u="1"/>
        <d v="2025-08-18T11:31:00" u="1"/>
        <d v="2025-08-18T11:51:00" u="1"/>
        <d v="2025-08-18T14:25:00" u="1"/>
        <d v="2025-08-18T14:37:00" u="1"/>
        <d v="2025-08-11T14:53:00" u="1"/>
        <d v="2025-08-18T15:40:00" u="1"/>
        <d v="2025-08-18T14:36:00" u="1"/>
        <d v="2025-08-18T09:41:00" u="1"/>
        <d v="2025-08-18T14:52:00" u="1"/>
        <d v="2025-08-18T09:47:00" u="1"/>
        <d v="2025-05-21T07:21:00" u="1"/>
        <d v="2025-08-04T07:09:00" u="1"/>
        <d v="2025-08-18T13:07:00" u="1"/>
        <d v="2025-08-18T11:17:00" u="1"/>
        <d v="2025-08-18T14:06:00" u="1"/>
        <d v="2025-08-13T18:13:00" u="1"/>
        <d v="2025-08-17T11:22:00" u="1"/>
        <d v="2025-08-18T14:27:00" u="1"/>
        <d v="2025-08-13T18:10:00" u="1"/>
        <d v="2025-08-18T15:10:00" u="1"/>
        <d v="2025-08-18T01:57:00" u="1"/>
        <d v="2025-08-18T02:07:00" u="1"/>
        <d v="2025-08-15T12:33:00" u="1"/>
        <d v="2025-08-18T03:37:00" u="1"/>
        <d v="2025-08-17T10:03:00" u="1"/>
        <d v="2025-08-18T11:20:00" u="1"/>
        <d v="2025-08-18T12:16:00" u="1"/>
        <d v="2025-08-18T15:42:00" u="1"/>
        <d v="2025-08-18T15:02:00" u="1"/>
        <d v="2025-08-18T16:28:00" u="1"/>
        <d v="2025-08-18T11:10:00" u="1"/>
        <d v="2025-08-18T14:28:00" u="1"/>
        <d v="2025-08-18T14:55:00" u="1"/>
        <d v="2025-08-18T19:03:00" u="1"/>
        <d v="2025-08-18T19:05:00" u="1"/>
        <d v="2025-08-18T19:51:00" u="1"/>
        <d v="2025-08-18T18:29:00" u="1"/>
        <d v="2025-08-19T00:59:00" u="1"/>
        <d v="2025-08-18T14:10:00" u="1"/>
        <d v="2025-08-05T15:25:00" u="1"/>
        <d v="2025-08-05T15:21:00" u="1"/>
        <d v="2025-08-05T15:09:00" u="1"/>
        <d v="2025-08-05T15:04:00" u="1"/>
        <d v="2025-08-05T11:21:00" u="1"/>
        <d v="2025-08-05T18:54:00" u="1"/>
        <d v="2025-08-05T15:46:00" u="1"/>
        <d v="2025-08-04T19:04:00" u="1"/>
        <d v="2025-08-05T18:39:00" u="1"/>
        <d v="2025-08-04T18:53:00" u="1"/>
        <d v="2025-08-04T17:32:00" u="1"/>
        <d v="2025-08-05T13:45:00" u="1"/>
        <d v="2025-08-05T13:02:00" u="1"/>
        <d v="2025-07-31T17:06:00" u="1"/>
        <d v="2025-08-11T16:59:00" u="1"/>
        <d v="2025-08-06T14:48:00" u="1"/>
        <d v="2025-08-06T14:44:00" u="1"/>
        <d v="2025-08-11T16:36:00" u="1"/>
        <d v="2025-08-11T17:05:00" u="1"/>
        <d v="2025-08-11T13:55:00" u="1"/>
        <d v="2025-08-06T14:04:00" u="1"/>
        <d v="2025-08-06T18:39:00" u="1"/>
        <d v="2025-08-07T14:14:00" u="1"/>
        <d v="2025-08-07T14:00:00" u="1"/>
        <d v="2025-08-11T17:52:00" u="1"/>
        <d v="2025-08-07T13:44:00" u="1"/>
        <d v="2025-08-06T14:59:00" u="1"/>
        <d v="2025-08-11T11:18:00" u="1"/>
        <d v="2025-08-08T11:28:00" u="1"/>
        <d v="2025-08-11T17:16:00" u="1"/>
        <d v="2025-08-06T17:19:00" u="1"/>
        <d v="2025-08-11T16:47:00" u="1"/>
        <d v="2025-08-11T16:20:00" u="1"/>
        <d v="2025-08-07T08:00:00" u="1"/>
        <d v="2025-08-12T16:27:00" u="1"/>
        <d v="2025-08-14T08:50:00" u="1"/>
        <d v="2025-08-15T08:40:00" u="1"/>
        <d v="2025-08-12T14:59:00" u="1"/>
        <d v="2025-08-12T18:03:00" u="1"/>
        <d v="2025-08-12T14:09:00" u="1"/>
        <d v="2025-08-12T14:12:00" u="1"/>
        <d v="2025-08-12T14:15:00" u="1"/>
        <d v="2025-08-12T14:19:00" u="1"/>
        <d v="2025-08-12T19:59:00" u="1"/>
        <d v="2025-08-14T11:03:00" u="1"/>
        <d v="2025-08-14T21:13:00" u="1"/>
        <d v="2025-08-12T16:21:00" u="1"/>
        <d v="2025-08-15T09:32:00" u="1"/>
        <d v="2025-08-14T14:15:00" u="1"/>
        <d v="2025-08-14T14:43:00" u="1"/>
        <d v="2025-08-14T11:16:00" u="1"/>
        <d v="2025-08-12T17:33:00" u="1"/>
        <d v="2025-08-12T16:34:00" u="1"/>
        <d v="2025-08-11T18:31:00" u="1"/>
        <d v="2025-08-13T16:00:00" u="1"/>
        <d v="2025-08-13T20:01:00" u="1"/>
        <d v="2025-08-13T20:06:00" u="1"/>
        <d v="2025-08-14T09:59:00" u="1"/>
        <d v="2025-08-13T16:28:00" u="1"/>
        <d v="2025-08-13T16:58:00" u="1"/>
        <d v="2025-08-14T11:18:00" u="1"/>
        <d v="2025-08-15T11:36:00" u="1"/>
        <d v="2025-08-15T10:39:00" u="1"/>
        <d v="2025-08-12T18:41:00" u="1"/>
        <d v="2025-08-11T18:23:00" u="1"/>
        <d v="2025-08-13T14:21:00" u="1"/>
        <d v="2025-08-15T11:00:00" u="1"/>
        <d v="2025-08-12T06:01:00" u="1"/>
        <d v="2025-08-15T11:26:00" u="1"/>
        <d v="2025-08-14T03:56:00" u="1"/>
        <d v="2025-08-14T04:09:00" u="1"/>
        <d v="2025-08-14T05:20:00" u="1"/>
        <d v="2025-08-15T10:06:00" u="1"/>
        <d v="2025-08-12T16:24:00" u="1"/>
        <d v="2025-08-14T01:54:00" u="1"/>
        <d v="2025-08-13T17:46:00" u="1"/>
        <d v="2025-08-13T11:41:00" u="1"/>
        <d v="2025-08-15T08:23:00" u="1"/>
        <d v="2025-08-14T12:27:00" u="1"/>
        <d v="2025-08-15T13:02:00" u="1"/>
        <d v="2025-08-15T17:05:00" u="1"/>
        <d v="2025-08-15T17:39:00" u="1"/>
        <d v="2025-08-15T18:29:00" u="1"/>
        <d v="2025-08-15T16:31:00" u="1"/>
        <d v="2025-08-15T12:41:00" u="1"/>
        <d v="2025-08-15T11:57:00" u="1"/>
        <d v="2025-08-15T10:43:00" u="1"/>
        <d v="2025-08-15T09:38:00" u="1"/>
        <d v="2025-08-15T17:19:00" u="1"/>
        <d v="2025-08-15T10:54:00" u="1"/>
        <d v="2025-08-15T08:48:00" u="1"/>
        <d v="2025-08-15T09:41:00" u="1"/>
        <d v="2025-08-15T12:24:00" u="1"/>
        <d v="2025-08-15T12:15:00" u="1"/>
        <d v="2025-08-15T10:04:00" u="1"/>
        <d v="2025-08-15T07:37:00" u="1"/>
        <d v="2025-08-15T10:35:00" u="1"/>
        <d v="2025-08-15T09:03:00" u="1"/>
        <d v="2025-08-15T15:47:00" u="1"/>
        <d v="2025-08-15T13:22:00" u="1"/>
        <d v="2025-08-15T12:07:00" u="1"/>
        <d v="2025-08-15T12:53:00" u="1"/>
        <d v="2025-08-15T11:16:00" u="1"/>
        <d v="2025-08-14T11:05:00" u="1"/>
        <d v="2025-08-15T17:21:00" u="1"/>
        <d v="2025-08-15T12:25:00" u="1"/>
        <d v="2025-08-15T17:32:00" u="1"/>
        <d v="2025-08-15T13:07:00" u="1"/>
        <d v="2025-08-15T13:08:00" u="1"/>
        <d v="2025-08-15T16:08:00" u="1"/>
        <d v="2025-08-15T17:07:00" u="1"/>
        <d v="2025-08-15T16:03:00" u="1"/>
        <d v="2025-08-15T16:05:00" u="1"/>
        <d v="2025-08-15T16:04:00" u="1"/>
        <d v="2025-08-15T15:46:00" u="1"/>
        <d v="2025-08-15T15:30:00" u="1"/>
        <d v="2025-08-15T17:00:00" u="1"/>
        <d v="2025-08-15T16:00:00" u="1"/>
        <d v="2025-08-15T13:09:00" u="1"/>
        <d v="2025-08-15T17:46:00" u="1"/>
        <d v="2025-08-15T19:00:00" u="1"/>
        <d v="2025-08-15T14:42:00" u="1"/>
        <d v="2025-08-15T13:31:00" u="1"/>
        <d v="2025-08-15T15:04:00" u="1"/>
        <d v="2025-08-15T12:59:00" u="1"/>
        <d v="2025-08-15T16:48:00" u="1"/>
        <d v="2025-08-16T01:53:00" u="1"/>
        <d v="2025-08-15T08:04:00" u="1"/>
        <d v="2025-08-15T08:14:00" u="1"/>
        <d v="2025-08-15T11:42:00" u="1"/>
        <d v="2025-08-15T02:16:00" u="1"/>
        <d v="2025-08-15T03:11:00" u="1"/>
        <d v="2025-08-15T02:26:00" u="1"/>
        <d v="2025-08-15T12:02:00" u="1"/>
        <d v="2025-08-15T14:30:00" u="1"/>
        <d v="2025-08-15T13:05:00" u="1"/>
        <d v="2025-08-14T18:09:00" u="1"/>
        <d v="2025-08-15T14:02:00" u="1"/>
        <d v="2025-08-15T16:01:00" u="1"/>
        <d v="2025-08-15T16:32:00" u="1"/>
        <d v="2025-08-15T06:19:00" u="1"/>
        <d v="2025-08-15T03:58:00" u="1"/>
        <d v="2025-08-15T02:50:00" u="1"/>
        <d v="2025-08-15T02:42:00" u="1"/>
        <d v="2025-08-15T11:33:00" u="1"/>
        <d v="2025-08-16T11:48:00" u="1"/>
        <d v="2025-08-16T08:12:00" u="1"/>
        <d v="2025-08-15T18:02:00" u="1"/>
        <d v="2025-08-15T18:51:00" u="1"/>
        <d v="2025-08-16T08:00:00" u="1"/>
        <d v="2025-08-17T18:45:00" u="1"/>
        <d v="2025-08-17T20:47:00" u="1"/>
        <d v="2025-08-15T19:42:00" u="1"/>
        <d v="2025-08-17T17:37:00" u="1"/>
        <d v="2025-08-17T17:22:00" u="1"/>
        <d v="2025-08-17T17:10:00" u="1"/>
        <d v="2025-08-16T10:09:00" u="1"/>
        <d v="2025-08-15T14:23:00" u="1"/>
        <d v="2025-08-14T20:10:00" u="1"/>
        <d v="2025-08-15T14:21:00" u="1"/>
        <d v="2025-08-15T12:18:00" u="1"/>
        <d v="2025-08-16T10:42:00" u="1"/>
        <d v="2025-08-15T08:16:00" u="1"/>
        <d v="2025-08-15T15:59:00" u="1"/>
        <d v="2025-08-15T09:51:00" u="1"/>
        <d v="2025-08-15T14:11:00" u="1"/>
        <d v="2025-08-15T16:23:00" u="1"/>
        <d v="2025-08-15T15:51:00" u="1"/>
        <d v="2025-08-15T15:31:00" u="1"/>
        <d v="2025-08-14T20:25:00" u="1"/>
        <d v="2025-08-15T14:03:00" u="1"/>
        <d v="2025-08-16T10:54:00" u="1"/>
        <d v="2025-08-16T07:15:00" u="1"/>
        <d v="2025-08-16T09:03:00" u="1"/>
        <d v="2025-08-16T11:45:00" u="1"/>
        <d v="2025-08-15T14:31:00" u="1"/>
        <d v="2025-08-13T15:57:00" u="1"/>
        <d v="2025-08-14T17:03:00" u="1"/>
        <d v="2025-07-23T12:43:00" u="1"/>
        <d v="2025-08-15T04:36:00" u="1"/>
        <d v="2025-08-14T13:46:00" u="1"/>
        <d v="2025-07-31T16:17:00" u="1"/>
        <d v="2025-07-16T14:35:00" u="1"/>
        <d v="2025-08-01T08:07:00" u="1"/>
        <d v="2025-08-01T07:28:00" u="1"/>
        <d v="2025-08-01T07:43:00" u="1"/>
        <d v="2025-08-13T08:27:00" u="1"/>
        <d v="2025-08-13T07:19:00" u="1"/>
        <d v="2025-08-13T07:43:00" u="1"/>
        <d v="2025-08-13T13:14:00" u="1"/>
        <d v="2025-08-11T15:14:00" u="1"/>
        <d v="2025-08-13T11:30:00" u="1"/>
        <d v="2025-08-13T13:59:00" u="1"/>
        <d v="2025-08-13T14:25:00" u="1"/>
        <d v="2025-08-13T14:32:00" u="1"/>
        <d v="2025-08-13T14:56:00" u="1"/>
        <d v="2025-08-12T13:41:00" u="1"/>
        <d v="2025-08-14T07:11:00" u="1"/>
        <d v="2025-08-14T09:34:00" u="1"/>
        <d v="2025-08-13T07:37:00" u="1"/>
        <d v="2025-08-12T03:23:00" u="1"/>
        <d v="2025-08-14T12:09:00" u="1"/>
        <d v="2025-08-13T02:21:00" u="1"/>
        <d v="2025-08-14T02:38:00" u="1"/>
        <d v="2025-08-14T02:03:00" u="1"/>
        <d v="2025-08-14T10:24:00" u="1"/>
        <d v="2025-08-14T09:40:00" u="1"/>
        <d v="2025-08-13T02:51:00" u="1"/>
        <d v="2025-08-13T11:55:00" u="1"/>
        <d v="2025-08-14T10:09:00" u="1"/>
        <d v="2025-08-14T10:07:00" u="1"/>
        <d v="2025-08-14T04:01:00" u="1"/>
        <d v="2025-08-14T08:05:00" u="1"/>
        <d v="2025-08-14T05:42:00" u="1"/>
        <d v="2025-08-14T06:35:00" u="1"/>
        <d v="2025-08-14T11:04:00" u="1"/>
        <d v="2025-08-14T03:29:00" u="1"/>
        <d v="2025-08-14T04:18:00" u="1"/>
        <d v="2025-08-14T05:38:00" u="1"/>
        <d v="2025-08-14T05:04:00" u="1"/>
        <d v="2025-08-14T04:06:00" u="1"/>
        <d v="2025-08-14T05:39:00" u="1"/>
        <d v="2025-08-14T04:22:00" u="1"/>
        <d v="2025-08-13T15:30:00" u="1"/>
        <d v="2025-08-14T13:59:00" u="1"/>
        <d v="2025-08-12T16:49:00" u="1"/>
        <d v="2025-08-14T17:49:00" u="1"/>
        <d v="2025-08-14T14:21:00" u="1"/>
        <d v="2025-08-14T15:21:00" u="1"/>
        <d v="2025-08-12T11:20:00" u="1"/>
        <d v="2025-08-12T10:06:00" u="1"/>
        <d v="2025-08-12T09:17:00" u="1"/>
        <d v="2025-08-13T12:17:00" u="1"/>
        <d v="2025-08-13T12:19:00" u="1"/>
        <d v="2025-08-12T11:27:00" u="1"/>
        <d v="2025-08-13T16:25:00" u="1"/>
        <d v="2025-08-14T13:39:00" u="1"/>
        <d v="2025-08-14T18:04:00" u="1"/>
        <d v="2025-08-13T17:55:00" u="1"/>
        <d v="2025-08-12T09:55:00" u="1"/>
        <d v="2025-08-14T11:46:00" u="1"/>
        <d v="2025-08-12T14:42:00" u="1"/>
        <d v="2025-08-12T14:38:00" u="1"/>
        <d v="2025-08-14T10:42:00" u="1"/>
        <d v="2025-08-14T17:52:00" u="1"/>
        <d v="2025-08-13T10:47:00" u="1"/>
        <d v="2025-08-13T08:53:00" u="1"/>
        <d v="2025-08-13T16:32:00" u="1"/>
        <d v="2025-08-14T15:22:00" u="1"/>
        <d v="2025-08-13T09:06:00" u="1"/>
        <d v="2025-08-14T08:40:00" u="1"/>
        <d v="2025-08-14T09:18:00" u="1"/>
        <d v="2025-08-12T15:43:00" u="1"/>
        <d v="2025-08-12T15:56:00" u="1"/>
        <d v="2025-08-12T16:11:00" u="1"/>
        <d v="2025-08-12T16:19:00" u="1"/>
        <d v="2025-08-13T11:34:00" u="1"/>
        <d v="2025-08-13T08:50:00" u="1"/>
        <d v="2025-08-14T11:45:00" u="1"/>
        <d v="2025-08-14T18:58:00" u="1"/>
        <d v="2025-08-14T19:30:00" u="1"/>
        <d v="2025-08-12T10:02:00" u="1"/>
        <d v="2025-08-14T12:15:00" u="1"/>
        <d v="2025-08-12T15:55:00" u="1"/>
        <d v="2025-07-16T13:14:00" u="1"/>
        <d v="2025-08-13T09:14:00" u="1"/>
        <d v="2025-08-12T06:40:00" u="1"/>
        <d v="2025-08-14T15:48:00" u="1"/>
        <d v="2025-08-13T17:51:00" u="1"/>
        <d v="2025-08-13T11:32:00" u="1"/>
        <d v="2025-08-12T16:01:00" u="1"/>
        <d v="2025-08-12T11:34:00" u="1"/>
        <d v="2025-08-11T17:08:00" u="1"/>
        <d v="2025-08-14T15:00:00" u="1"/>
        <d v="2025-08-12T19:22:00" u="1"/>
        <d v="2025-08-12T19:23:00" u="1"/>
        <d v="2025-08-12T16:02:00" u="1"/>
        <d v="2025-08-12T13:09:00" u="1"/>
        <d v="2025-08-13T16:16:00" u="1"/>
        <d v="2025-08-13T11:52:00" u="1"/>
        <d v="2025-08-14T06:32:00" u="1"/>
        <d v="2025-08-05T12:40:00" u="1"/>
        <d v="2025-08-06T12:28:00" u="1"/>
        <d v="2025-08-06T12:37:00" u="1"/>
        <d v="2025-08-06T12:40:00" u="1"/>
        <d v="2025-08-07T15:28:00" u="1"/>
        <d v="2025-08-11T07:07:00" u="1"/>
        <d v="2025-08-11T11:41:00" u="1"/>
        <d v="2025-08-11T12:10:00" u="1"/>
        <d v="2025-08-12T16:17:00" u="1"/>
        <d v="2025-08-08T08:57:00" u="1"/>
        <d v="2025-08-07T13:53:00" u="1"/>
        <d v="2025-08-08T10:57:00" u="1"/>
        <d v="2025-08-05T09:59:00" u="1"/>
        <d v="2025-07-09T15:38:00" u="1"/>
        <d v="2025-07-28T13:35:00" u="1"/>
        <d v="2025-08-13T13:57:00" u="1"/>
        <d v="2025-07-18T14:52:00" u="1"/>
        <d v="2025-08-12T19:07:00" u="1"/>
        <d v="2025-08-14T10:30:00" u="1"/>
        <d v="2025-08-13T06:57:00" u="1"/>
        <d v="2025-08-14T18:46:00" u="1"/>
        <d v="2025-08-14T11:40:00" u="1"/>
        <d v="2025-08-13T18:16:00" u="1"/>
        <d v="2025-08-14T17:46:00" u="1"/>
        <d v="2025-08-14T14:20:00" u="1"/>
        <d v="2025-08-13T19:44:00" u="1"/>
        <d v="2025-08-13T18:50:00" u="1"/>
        <d v="2025-08-13T15:08:00" u="1"/>
        <d v="2025-08-13T09:28:00" u="1"/>
        <d v="2025-08-12T09:02:00" u="1"/>
        <d v="2025-08-11T15:46:00" u="1"/>
        <d v="2025-08-12T14:07:00" u="1"/>
        <d v="2025-08-14T16:19:00" u="1"/>
        <d v="2025-08-14T23:11:00" u="1"/>
        <d v="2025-08-14T19:05:00" u="1"/>
        <d v="2025-08-13T08:45:00" u="1"/>
        <d v="2025-08-12T10:20:00" u="1"/>
        <d v="2025-08-12T12:14:00" u="1"/>
        <d v="2025-08-13T23:30:00" u="1"/>
        <d v="2025-08-13T12:59:00" u="1"/>
        <d v="2025-08-13T13:04:00" u="1"/>
        <d v="2025-08-13T15:23:00" u="1"/>
        <d v="2025-08-14T13:40:00" u="1"/>
        <d v="2025-08-13T16:27:00" u="1"/>
        <d v="2025-08-12T19:58:00" u="1"/>
        <d v="2025-08-12T20:00:00" u="1"/>
        <d v="2025-08-12T10:11:00" u="1"/>
        <d v="2025-08-12T09:19:00" u="1"/>
        <d v="2025-08-12T08:53:00" u="1"/>
        <d v="2025-08-11T13:10:00" u="1"/>
        <d v="2025-08-12T09:44:00" u="1"/>
        <d v="2025-08-13T00:41:00" u="1"/>
        <d v="2025-08-13T00:44:00" u="1"/>
        <d v="2025-08-12T22:43:00" u="1"/>
        <d v="2025-06-26T20:26:00" u="1"/>
        <d v="2025-08-05T22:38:00" u="1"/>
        <d v="2025-08-12T06:38:00" u="1"/>
        <d v="2025-08-01T07:05:00" u="1"/>
        <d v="2025-08-01T07:16:00" u="1"/>
        <d v="2025-08-12T08:23:00" u="1"/>
        <d v="2025-08-08T10:14:00" u="1"/>
        <d v="2025-08-12T07:01:00" u="1"/>
        <d v="2025-08-05T20:28:00" u="1"/>
        <d v="2025-08-11T14:06:00" u="1"/>
        <d v="2025-06-26T13:39:00" u="1"/>
        <d v="2025-08-12T06:43:00" u="1"/>
        <d v="2025-08-12T02:53:00" u="1"/>
        <d v="2025-08-12T06:04:00" u="1"/>
        <d v="2025-08-12T08:34:00" u="1"/>
        <d v="2025-07-29T06:27:00" u="1"/>
        <d v="2025-08-05T03:39:00" u="1"/>
        <d v="2025-07-31T01:10:00" u="1"/>
        <d v="2025-08-06T01:45:00" u="1"/>
        <d v="2025-08-06T12:51:00" u="1"/>
        <d v="2025-08-07T11:48:00" u="1"/>
        <d v="2025-08-07T12:23:00" u="1"/>
        <d v="2025-08-07T12:40:00" u="1"/>
        <d v="2025-08-12T03:33:00" u="1"/>
        <d v="2025-08-12T01:59:00" u="1"/>
        <d v="2025-08-12T03:58:00" u="1"/>
        <d v="2025-08-12T11:47:00" u="1"/>
        <d v="2025-08-12T11:36:00" u="1"/>
        <d v="2025-08-12T12:00:00" u="1"/>
        <d v="2025-08-12T12:57:00" u="1"/>
        <d v="2025-08-12T05:37:00" u="1"/>
        <d v="2025-08-12T05:44:00" u="1"/>
        <d v="2025-08-12T05:31:00" u="1"/>
        <d v="2025-08-12T07:06:00" u="1"/>
        <d v="2025-08-12T06:53:00" u="1"/>
        <d v="2025-08-12T07:00:00" u="1"/>
        <d v="2025-08-12T03:14:00" u="1"/>
        <d v="2025-08-12T08:06:00" u="1"/>
        <d v="2025-08-12T08:40:00" u="1"/>
        <d v="2025-08-12T02:57:00" u="1"/>
        <d v="2025-08-12T01:35:00" u="1"/>
        <d v="2025-08-12T01:58:00" u="1"/>
        <d v="2025-08-12T02:11:00" u="1"/>
        <d v="2025-08-11T11:43:00" u="1"/>
        <d v="2025-08-12T12:03:00" u="1"/>
        <d v="2025-08-12T06:25:00" u="1"/>
        <d v="2025-08-11T11:52:00" u="1"/>
        <d v="2025-08-12T07:34:00" u="1"/>
        <d v="2025-08-12T07:38:00" u="1"/>
        <d v="2025-08-12T07:45:00" u="1"/>
        <d v="2025-07-29T07:28:00" u="1"/>
        <d v="2025-08-11T17:17:00" u="1"/>
        <d v="2025-08-10T17:44:00" u="1"/>
        <d v="2025-05-02T18:32:00" u="1"/>
        <d v="2025-08-12T16:58:00" u="1"/>
        <d v="2025-08-12T16:59:00" u="1"/>
        <d v="2025-08-11T16:49:00" u="1"/>
        <d v="2025-08-12T14:31:00" u="1"/>
        <d v="2025-08-11T14:03:00" u="1"/>
        <d v="2025-08-11T14:04:00" u="1"/>
        <d v="2025-08-12T17:37:00" u="1"/>
        <d v="2025-08-12T17:40:00" u="1"/>
        <d v="2025-08-12T17:43:00" u="1"/>
        <d v="2025-08-12T17:45:00" u="1"/>
        <d v="2025-08-11T18:21:00" u="1"/>
        <d v="2025-08-12T16:50:00" u="1"/>
        <d v="2025-08-12T13:20:00" u="1"/>
        <d v="2025-07-16T12:18:00" u="1"/>
        <d v="2025-08-04T19:31:00" u="1"/>
        <d v="2025-08-05T13:22:00" u="1"/>
        <d v="2025-08-04T10:00:00" u="1"/>
        <d v="2025-08-07T11:41:00" u="1"/>
        <d v="2025-08-08T16:16:00" u="1"/>
        <d v="2025-08-12T08:59:00" u="1"/>
        <d v="2025-07-29T09:08:00" u="1"/>
        <d v="2025-08-12T15:16:00" u="1"/>
        <d v="2025-08-12T15:08:00" u="1"/>
        <d v="2025-08-12T10:25:00" u="1"/>
        <d v="2025-08-07T08:37:00" u="1"/>
        <d v="2025-08-07T08:33:00" u="1"/>
        <d v="2025-08-12T15:10:00" u="1"/>
        <d v="2025-08-12T17:18:00" u="1"/>
        <d v="2025-08-12T17:14:00" u="1"/>
        <d v="2025-08-12T17:11:00" u="1"/>
        <d v="2025-03-06T12:11:00" u="1"/>
        <d v="2025-08-12T13:45:00" u="1"/>
        <d v="2025-08-12T12:45:00" u="1"/>
        <d v="2025-08-12T13:15:00" u="1"/>
        <d v="2025-08-12T07:36:00" u="1"/>
        <d v="2025-08-11T15:59:00" u="1"/>
        <d v="2025-07-24T16:02:00" u="1"/>
        <d v="2025-08-06T09:28:00" u="1"/>
        <d v="2025-08-12T13:46:00" u="1"/>
        <d v="2025-08-12T15:46:00" u="1"/>
        <d v="2025-08-12T11:41:00" u="1"/>
        <d v="2025-08-11T21:56:00" u="1"/>
        <d v="2025-08-12T09:33:00" u="1"/>
        <d v="2025-08-12T10:30:00" u="1"/>
        <d v="2025-08-04T12:07:00" u="1"/>
        <d v="2025-08-11T09:39:00" u="1"/>
        <d v="2025-08-01T09:37:00" u="1"/>
        <d v="2025-08-06T11:39:00" u="1"/>
        <d v="2025-08-06T11:44:00" u="1"/>
        <d v="2025-08-12T08:14:00" u="1"/>
        <d v="2025-08-12T08:28:00" u="1"/>
        <d v="2025-08-12T09:35:00" u="1"/>
        <d v="2025-08-12T07:33:00" u="1"/>
        <d v="2025-08-11T06:57:00" u="1"/>
        <d v="2025-07-25T09:45:00" u="1"/>
        <d v="2025-07-25T09:43:00" u="1"/>
        <d v="2025-08-07T12:59:00" u="1"/>
        <d v="2025-08-12T14:53:00" u="1"/>
        <d v="2025-08-07T13:25:00" u="1"/>
        <d v="2025-08-12T18:01:00" u="1"/>
        <d v="2025-07-29T14:00:00" u="1"/>
        <d v="2025-07-29T14:10:00" u="1"/>
        <d v="2025-08-12T12:36:00" u="1"/>
        <d v="2025-08-11T21:40:00" u="1"/>
        <d v="2025-08-11T20:27:00" u="1"/>
        <d v="2025-08-11T20:12:00" u="1"/>
        <d v="2025-08-11T19:46:00" u="1"/>
        <d v="2025-07-29T18:11:00" u="1"/>
        <d v="2025-08-08T09:26:00" u="1"/>
        <d v="2025-08-11T16:10:00" u="1"/>
        <d v="2025-08-11T14:14:00" u="1"/>
        <d v="2025-08-11T13:22:00" u="1"/>
        <d v="2025-08-08T14:07:00" u="1"/>
        <d v="2025-08-11T11:19:00" u="1"/>
        <d v="2025-08-07T07:12:00" u="1"/>
        <d v="2025-08-07T10:41:00" u="1"/>
        <d v="2025-08-06T13:25:00" u="1"/>
        <d v="2025-08-12T15:37:00" u="1"/>
        <d v="2025-08-12T15:28:00" u="1"/>
        <d v="2025-08-12T10:57:00" u="1"/>
        <d v="2025-08-12T09:24:00" u="1"/>
        <d v="2025-08-11T11:03:00" u="1"/>
        <d v="2025-08-12T13:40:00" u="1"/>
        <d v="2025-08-11T18:29:00" u="1"/>
        <d v="2025-08-12T17:29:00" u="1"/>
        <d v="2025-08-06T08:52:00" u="1"/>
        <d v="2025-08-05T17:07:00" u="1"/>
        <d v="2025-08-11T08:30:00" u="1"/>
        <d v="2025-08-04T15:48:00" u="1"/>
        <d v="2025-08-11T17:15:00" u="1"/>
        <d v="2025-08-08T11:25:00" u="1"/>
        <d v="2025-08-08T00:59:00" u="1"/>
        <d v="2025-08-09T04:26:00" u="1"/>
        <d v="2025-08-11T03:55:00" u="1"/>
        <d v="2025-08-11T04:49:00" u="1"/>
        <d v="2025-08-08T12:31:00" u="1"/>
        <d v="2025-08-08T11:12:00" u="1"/>
        <d v="2025-08-11T22:54:00" u="1"/>
        <d v="2025-08-11T15:34:00" u="1"/>
        <d v="2025-08-07T08:29:00" u="1"/>
        <d v="2025-08-11T10:43:00" u="1"/>
        <d v="2025-08-06T05:57:00" u="1"/>
        <d v="2025-08-01T15:31:00" u="1"/>
        <d v="2025-08-07T02:58:00" u="1"/>
        <d v="2025-08-08T12:41:00" u="1"/>
        <d v="2025-08-08T11:17:24" u="1"/>
        <d v="2025-08-08T05:54:00" u="1"/>
        <d v="2025-08-08T03:19:00" u="1"/>
        <d v="2025-08-08T03:22:00" u="1"/>
        <d v="2025-08-08T05:32:00" u="1"/>
        <d v="2025-08-08T08:47:00" u="1"/>
        <d v="2025-08-09T11:34:00" u="1"/>
        <d v="2025-08-09T03:52:00" u="1"/>
        <d v="2025-08-10T03:55:00" u="1"/>
        <d v="2025-08-11T11:08:00" u="1"/>
        <d v="2025-08-11T11:45:00" u="1"/>
        <d v="2025-08-10T09:01:00" u="1"/>
        <d v="2025-08-10T09:12:00" u="1"/>
        <d v="2025-08-11T09:01:00" u="1"/>
        <d v="2025-08-11T09:16:00" u="1"/>
        <d v="2025-08-10T09:16:00" u="1"/>
        <d v="2025-08-10T09:25:00" u="1"/>
        <d v="2025-08-11T08:55:00" u="1"/>
        <d v="2025-08-11T09:11:00" u="1"/>
        <d v="2025-08-11T02:44:00" u="1"/>
        <d v="2025-08-11T03:03:00" u="1"/>
        <d v="2025-08-11T05:01:00" u="1"/>
        <d v="2025-08-11T04:11:00" u="1"/>
        <d v="2025-08-11T01:00:00" u="1"/>
        <d v="2025-08-11T03:07:00" u="1"/>
        <d v="2025-08-11T01:50:00" u="1"/>
        <d v="2025-08-11T05:20:00" u="1"/>
        <d v="2025-08-11T08:24:00" u="1"/>
        <d v="2025-08-11T12:46:00" u="1"/>
        <d v="2025-08-11T11:49:00" u="1"/>
        <d v="2025-08-11T06:45:00" u="1"/>
        <d v="2025-08-08T13:37:00" u="1"/>
        <d v="2025-08-07T15:56:00" u="1"/>
        <d v="2025-08-08T16:09:00" u="1"/>
        <d v="2025-08-08T06:44:00" u="1"/>
        <d v="2025-08-08T06:49:00" u="1"/>
        <d v="2025-08-10T22:42:00" u="1"/>
        <d v="2025-08-11T06:00:00" u="1"/>
        <d v="2025-08-08T17:39:00" u="1"/>
        <d v="2025-08-11T17:42:00" u="1"/>
        <d v="2025-08-11T15:29:00" u="1"/>
        <d v="2025-08-07T14:54:00" u="1"/>
        <d v="2025-08-08T11:07:00" u="1"/>
        <d v="2025-08-07T13:07:00" u="1"/>
        <d v="2025-08-11T14:30:00" u="1"/>
        <d v="2025-08-11T14:32:00" u="1"/>
        <d v="2025-08-11T09:58:00" u="1"/>
        <d v="2025-08-04T14:38:00" u="1"/>
        <d v="2025-08-07T16:48:00" u="1"/>
        <d v="2025-08-08T13:46:00" u="1"/>
        <d v="2025-08-11T11:56:00" u="1"/>
        <d v="2025-08-09T07:39:00" u="1"/>
        <d v="2025-08-11T21:54:00" u="1"/>
        <d v="2025-08-07T17:24:00" u="1"/>
        <d v="2025-08-11T13:52:00" u="1"/>
        <d v="2025-08-07T14:47:00" u="1"/>
        <d v="2025-08-07T16:20:00" u="1"/>
        <d v="2025-08-07T16:05:00" u="1"/>
        <d v="2025-08-07T18:33:00" u="1"/>
        <d v="2025-08-11T10:41:00" u="1"/>
        <d v="2025-08-11T15:37:00" u="1"/>
        <d v="2025-08-11T10:44:00" u="1"/>
        <d v="2025-08-11T10:50:00" u="1"/>
        <d v="2025-08-08T13:45:00" u="1"/>
        <d v="2025-08-08T13:57:00" u="1"/>
        <d v="2025-08-08T11:00:00" u="1"/>
        <d v="2025-08-06T13:08:00" u="1"/>
        <d v="2025-08-11T10:08:00" u="1"/>
        <d v="2025-08-11T16:01:00" u="1"/>
        <d v="2025-08-11T14:49:00" u="1"/>
        <d v="2025-08-08T11:08:00" u="1"/>
        <d v="2025-08-08T09:25:00" u="1"/>
        <d v="2025-08-06T16:21:00" u="1"/>
        <d v="2025-08-08T09:35:00" u="1"/>
        <d v="2025-08-11T16:02:00" u="1"/>
        <d v="2025-08-08T17:56:00" u="1"/>
        <d v="2025-08-08T17:19:00" u="1"/>
        <d v="2025-08-11T13:08:00" u="1"/>
        <d v="2025-08-08T08:38:00" u="1"/>
        <d v="2025-08-11T12:48:00" u="1"/>
        <d v="2025-08-07T15:22:00" u="1"/>
        <d v="2025-08-07T15:31:00" u="1"/>
        <d v="2025-08-08T08:31:00" u="1"/>
        <d v="2025-08-07T09:52:00" u="1"/>
        <d v="2025-08-11T10:02:00" u="1"/>
        <d v="2025-08-08T13:29:00" u="1"/>
        <d v="2025-08-01T10:12:00" u="1"/>
        <d v="2025-05-29T10:06:00" u="1"/>
        <d v="2025-08-10T00:00:00" u="1"/>
        <d v="2025-08-07T14:53:00" u="1"/>
        <d v="2025-08-11T10:27:00" u="1"/>
        <d v="2025-08-11T10:29:00" u="1"/>
        <d v="2025-08-08T17:40:00" u="1"/>
        <d v="2025-08-11T14:15:00" u="1"/>
        <d v="2025-08-11T15:43:00" u="1"/>
        <d v="2025-08-11T15:23:00" u="1"/>
        <d v="2025-08-11T15:27:00" u="1"/>
        <d v="2025-08-08T09:30:00" u="1"/>
        <d v="2025-08-11T12:51:00" u="1"/>
        <d v="2025-08-07T15:16:00" u="1"/>
        <d v="2025-08-11T09:17:00" u="1"/>
        <d v="2025-08-11T09:32:00" u="1"/>
        <d v="2025-08-11T11:16:00" u="1"/>
        <d v="2025-06-17T07:47:00" u="1"/>
        <d v="2025-08-08T12:15:00" u="1"/>
        <d v="2025-08-11T13:48:00" u="1"/>
        <d v="2025-08-11T15:08:00" u="1"/>
        <d v="2025-08-11T12:17:00" u="1"/>
        <d v="2025-08-08T12:05:00" u="1"/>
        <d v="2025-08-08T17:25:00" u="1"/>
        <d v="2025-08-08T17:29:00" u="1"/>
        <d v="2025-07-17T14:35:00" u="1"/>
        <d v="2025-08-11T19:15:00" u="1"/>
        <d v="2025-08-11T15:12:00" u="1"/>
        <d v="2025-08-08T08:48:00" u="1"/>
        <d v="2025-08-04T13:29:00" u="1"/>
        <d v="2025-08-08T16:50:00" u="1"/>
        <d v="2025-08-07T15:33:00" u="1"/>
        <d v="2025-08-07T15:54:00" u="1"/>
        <d v="2025-08-07T17:07:00" u="1"/>
        <d v="2025-08-11T13:38:00" u="1"/>
        <d v="2025-02-28T16:28:00" u="1"/>
        <d v="2025-08-07T18:43:00" u="1"/>
        <d v="2025-08-07T18:12:00" u="1"/>
        <d v="2025-08-08T14:20:00" u="1"/>
        <d v="2025-08-11T17:02:00" u="1"/>
        <d v="2025-08-11T14:27:00" u="1"/>
        <d v="2025-08-08T10:05:00" u="1"/>
        <d v="2025-08-11T17:57:00" u="1"/>
        <d v="2025-08-04T15:45:00" u="1"/>
        <d v="2025-08-04T08:13:00" u="1"/>
        <d v="2025-08-05T15:00:00" u="1"/>
        <d v="2025-08-11T14:18:00" u="1"/>
        <d v="2025-08-11T19:31:00" u="1"/>
        <d v="2025-08-07T12:44:00" u="1"/>
        <d v="2025-08-08T15:04:00" u="1"/>
        <d v="2025-08-08T16:27:00" u="1"/>
        <d v="2025-08-07T17:51:00" u="1"/>
        <d v="2025-08-07T17:49:00" u="1"/>
        <d v="2025-08-07T17:48:00" u="1"/>
        <d v="2025-08-11T09:57:00" u="1"/>
        <d v="2025-08-08T16:28:00" u="1"/>
        <d v="2025-08-08T07:40:00" u="1"/>
        <d v="2025-08-07T17:52:00" u="1"/>
        <d v="2025-08-07T17:50:00" u="1"/>
        <d v="2025-08-05T06:44:00" u="1"/>
        <d v="2025-08-09T03:16:00" u="1"/>
        <d v="2025-08-08T03:07:00" u="1"/>
        <d v="2025-08-09T01:36:00" u="1"/>
        <d v="2025-08-09T17:20:00" u="1"/>
        <d v="2025-08-08T19:59:00" u="1"/>
        <d v="2025-08-09T10:06:00" u="1"/>
        <d v="2025-08-08T03:14:00" u="1"/>
        <d v="2025-08-08T09:58:00" u="1"/>
        <d v="2025-08-08T09:51:00" u="1"/>
        <d v="2025-08-08T18:46:00" u="1"/>
        <d v="2025-08-08T20:45:00" u="1"/>
        <d v="2025-08-08T13:32:00" u="1"/>
        <d v="2025-08-08T22:50:00" u="1"/>
        <d v="2025-08-08T09:43:00" u="1"/>
        <d v="2025-08-08T09:31:00" u="1"/>
        <d v="2025-08-08T09:21:00" u="1"/>
        <d v="2025-08-08T08:47:55" u="1"/>
        <d v="2025-08-08T14:52:00" u="1"/>
        <d v="2025-08-08T14:39:00" u="1"/>
        <d v="2025-08-08T16:01:00" u="1"/>
        <d v="2025-08-08T14:09:00" u="1"/>
        <d v="2025-08-08T20:18:00" u="1"/>
        <d v="2025-08-08T02:57:00" u="1"/>
        <d v="2025-08-08T19:11:00" u="1"/>
        <d v="2025-08-08T19:05:00" u="1"/>
        <d v="2025-08-08T16:49:00" u="1"/>
        <d v="2025-08-08T16:43:00" u="1"/>
        <d v="2025-07-02T14:49:00" u="1"/>
        <d v="2025-08-08T13:38:00" u="1"/>
        <d v="2025-08-08T14:13:00" u="1"/>
        <d v="2025-08-08T14:22:00" u="1"/>
        <d v="2025-08-08T13:19:00" u="1"/>
        <d v="2025-08-08T09:32:00" u="1"/>
        <d v="2025-08-08T14:05:00" u="1"/>
        <d v="2025-08-08T15:32:00" u="1"/>
        <d v="2025-08-08T15:47:00" u="1"/>
        <d v="2025-08-08T13:03:00" u="1"/>
        <d v="2025-08-08T16:51:00" u="1"/>
        <d v="2025-08-08T15:36:00" u="1"/>
        <d v="2025-08-08T15:55:00" u="1"/>
        <d v="2025-08-08T04:53:00" u="1"/>
        <d v="2025-08-07T18:23:00" u="1"/>
        <d v="2025-08-07T18:16:00" u="1"/>
        <d v="2025-08-08T04:00:00" u="1"/>
        <d v="2025-08-08T14:37:00" u="1"/>
        <d v="2025-08-07T18:04:00" u="1"/>
        <d v="2025-08-08T16:54:00" u="1"/>
        <d v="2025-08-08T16:32:00" u="1"/>
        <d v="2025-08-08T13:55:00" u="1"/>
        <d v="2025-08-08T03:33:00" u="1"/>
        <d v="2025-08-07T17:59:00" u="1"/>
        <d v="2025-08-07T17:54:00" u="1"/>
        <d v="2025-08-08T08:46:00" u="1"/>
        <d v="2025-08-08T14:53:00" u="1"/>
        <d v="2025-08-08T12:01:00" u="1"/>
        <d v="2025-08-08T17:10:00" u="1"/>
        <d v="2025-08-07T18:38:00" u="1"/>
        <d v="2025-08-08T03:04:00" u="1"/>
        <d v="2025-08-08T02:29:00" u="1"/>
        <d v="2025-08-08T03:00:00" u="1"/>
        <d v="2025-08-08T12:57:00" u="1"/>
        <d v="2025-08-08T02:50:00" u="1"/>
        <d v="2025-08-08T03:52:00" u="1"/>
        <d v="2025-08-08T11:43:00" u="1"/>
        <d v="2025-07-28T18:19:00" u="1"/>
        <d v="2025-08-08T15:26:00" u="1"/>
        <d v="2025-08-08T13:42:00" u="1"/>
        <d v="2025-08-07T05:37:21" u="1"/>
        <d v="2025-08-07T05:08:00" u="1"/>
        <d v="2025-08-07T05:25:00" u="1"/>
        <d v="2025-08-08T06:05:00" u="1"/>
        <d v="2025-08-08T09:37:00" u="1"/>
        <d v="2025-08-08T02:09:00" u="1"/>
        <d v="2025-08-08T13:49:00" u="1"/>
        <d v="2025-08-08T13:40:00" u="1"/>
        <d v="2025-08-08T08:51:00" u="1"/>
        <d v="2025-08-08T10:01:00" u="1"/>
        <d v="2025-08-08T11:51:00" u="1"/>
        <d v="2025-08-08T10:31:00" u="1"/>
        <d v="2025-08-07T10:48:00" u="1"/>
        <d v="2025-08-08T10:13:00" u="1"/>
        <d v="2025-08-08T09:29:00" u="1"/>
        <d v="2025-08-08T09:59:00" u="1"/>
        <d v="2025-08-07T02:23:00" u="1"/>
        <d v="2025-08-07T11:10:00" u="1"/>
        <d v="2025-08-07T10:15:00" u="1"/>
        <d v="2025-08-08T07:57:00" u="1"/>
        <d v="2025-08-08T10:32:00" u="1"/>
        <d v="2025-08-08T08:17:00" u="1"/>
        <d v="2025-08-08T07:47:00" u="1"/>
        <d v="2025-08-08T08:25:00" u="1"/>
        <d v="2025-08-07T13:06:00" u="1"/>
        <d v="2025-08-07T19:01:00" u="1"/>
        <d v="2025-08-06T11:04:00" u="1"/>
        <d v="2025-08-07T14:46:00" u="1"/>
        <d v="2025-08-07T14:43:00" u="1"/>
        <d v="2025-08-07T13:47:00" u="1"/>
        <d v="2025-08-07T14:15:00" u="1"/>
        <d v="2025-08-07T11:21:00" u="1"/>
        <d v="2025-08-07T11:11:00" u="1"/>
        <d v="2025-08-07T14:48:00" u="1"/>
        <d v="2025-06-10T00:00:00" u="1"/>
        <d v="2025-08-07T09:20:00" u="1"/>
        <d v="2025-08-07T09:34:00" u="1"/>
        <d v="2025-08-07T09:13:00" u="1"/>
        <d v="2025-08-07T06:59:00" u="1"/>
        <d v="2025-08-07T08:20:00" u="1"/>
        <d v="2025-08-05T15:44:00" u="1"/>
        <d v="2025-08-06T15:41:00" u="1"/>
        <d v="2025-08-04T16:23:00" u="1"/>
        <d v="2025-08-06T14:27:00" u="1"/>
        <d v="2025-08-06T12:08:00" u="1"/>
        <d v="2025-08-05T17:18:00" u="1"/>
        <d v="2025-08-06T11:55:00" u="1"/>
        <d v="2025-08-05T11:00:00" u="1"/>
        <d v="2025-08-04T17:39:00" u="1"/>
        <d v="2025-08-04T15:22:00" u="1"/>
        <d v="2025-08-04T10:05:00" u="1"/>
        <d v="2025-08-04T10:58:00" u="1"/>
        <d v="2025-08-04T10:34:00" u="1"/>
        <d v="2025-08-07T11:40:00" u="1"/>
        <d v="2025-08-07T11:53:00" u="1"/>
        <d v="2025-08-06T09:08:00" u="1"/>
        <d v="2025-07-29T00:00:00" u="1"/>
        <d v="2025-08-06T15:38:00" u="1"/>
        <d v="2025-08-07T12:58:00" u="1"/>
        <d v="2025-08-07T12:41:00" u="1"/>
        <d v="2025-08-07T05:26:00" u="1"/>
        <d v="2025-08-07T05:45:00" u="1"/>
        <d v="2025-08-07T05:54:00" u="1"/>
        <d v="2025-08-07T08:57:00" u="1"/>
        <d v="2025-08-07T06:25:00" u="1"/>
        <d v="2025-08-07T05:47:00" u="1"/>
        <d v="2025-08-07T05:43:00" u="1"/>
        <d v="2025-08-07T12:31:00" u="1"/>
        <d v="2025-08-06T07:23:00" u="1"/>
        <d v="2025-08-06T05:46:00" u="1"/>
        <d v="2025-08-07T10:30:00" u="1"/>
        <d v="2025-08-07T11:26:00" u="1"/>
        <d v="2025-08-06T05:41:00" u="1"/>
        <d v="2025-08-06T05:56:00" u="1"/>
        <d v="2025-08-06T15:53:00" u="1"/>
        <d v="2025-08-06T02:58:00" u="1"/>
        <d v="2025-08-07T05:46:00" u="1"/>
        <d v="2025-08-07T01:02:00" u="1"/>
        <d v="2025-08-07T02:11:00" u="1"/>
        <d v="2025-08-07T03:08:00" u="1"/>
        <d v="2025-08-07T10:08:00" u="1"/>
        <d v="2025-08-07T01:47:00" u="1"/>
        <d v="2025-08-07T04:25:00" u="1"/>
        <d v="2025-08-07T01:22:00" u="1"/>
        <d v="2025-08-06T17:23:00" u="1"/>
        <d v="2025-07-29T11:49:00" u="1"/>
        <d v="2025-08-06T09:47:00" u="1"/>
        <d v="2025-08-05T18:01:00" u="1"/>
        <d v="2025-08-07T15:46:00" u="1"/>
        <d v="2025-08-07T11:18:00" u="1"/>
        <d v="2025-08-06T16:03:00" u="1"/>
        <d v="2025-08-04T17:31:00" u="1"/>
        <d v="2025-08-06T17:43:00" u="1"/>
        <d v="2025-08-06T13:31:00" u="1"/>
        <d v="2025-08-07T09:32:00" u="1"/>
        <d v="2025-08-06T16:06:00" u="1"/>
        <d v="2025-08-07T09:39:00" u="1"/>
        <d v="2025-08-06T09:23:00" u="1"/>
        <d v="2025-08-04T11:48:00" u="1"/>
        <d v="2025-08-07T08:58:00" u="1"/>
        <d v="2025-08-06T16:57:00" u="1"/>
        <d v="2025-07-31T09:19:00" u="1"/>
        <d v="2025-08-07T09:44:00" u="1"/>
        <d v="2025-01-17T11:03:00" u="1"/>
        <d v="2025-08-06T13:48:00" u="1"/>
        <d v="2025-08-04T14:19:00" u="1"/>
        <d v="2025-08-07T14:30:00" u="1"/>
        <d v="2025-08-06T11:33:00" u="1"/>
        <d v="2025-08-07T19:00:00" u="1"/>
        <d v="2025-08-07T15:03:00" u="1"/>
        <d v="2025-08-07T12:53:00" u="1"/>
        <d v="2025-08-05T13:03:00" u="1"/>
        <d v="2025-08-07T06:18:00" u="1"/>
        <d v="2025-08-07T06:13:00" u="1"/>
        <d v="2025-08-06T17:08:00" u="1"/>
        <d v="2025-08-06T10:50:00" u="1"/>
        <d v="2025-08-07T18:28:00" u="1"/>
        <d v="2025-08-07T18:57:00" u="1"/>
        <d v="2025-08-04T11:57:00" u="1"/>
        <d v="2025-08-04T19:14:00" u="1"/>
        <d v="2025-08-04T09:54:00" u="1"/>
        <d v="2025-08-07T15:59:00" u="1"/>
        <d v="2025-08-06T10:57:00" u="1"/>
        <d v="2025-08-06T13:46:00" u="1"/>
        <d v="2025-08-01T12:47:00" u="1"/>
        <d v="2025-08-07T15:13:00" u="1"/>
        <d v="2025-08-05T10:21:00" u="1"/>
        <d v="2025-08-06T14:58:00" u="1"/>
        <d v="2025-08-06T07:14:00" u="1"/>
        <d v="2025-08-07T00:59:00" u="1"/>
        <d v="2025-08-07T03:03:00" u="1"/>
        <d v="2025-08-07T03:59:00" u="1"/>
        <d v="2025-08-05T12:20:00" u="1"/>
        <d v="2025-08-06T15:25:00" u="1"/>
        <d v="2025-08-05T13:47:00" u="1"/>
        <d v="2025-08-06T13:35:00" u="1"/>
        <d v="2025-08-04T06:46:00" u="1"/>
        <d v="2025-08-06T10:09:00" u="1"/>
        <d v="2025-08-06T05:08:00" u="1"/>
        <d v="2025-08-05T06:37:00" u="1"/>
        <d v="2025-08-05T06:47:00" u="1"/>
        <d v="2025-08-06T05:39:00" u="1"/>
        <d v="2025-08-06T11:30:00" u="1"/>
        <d v="2025-08-06T05:58:00" u="1"/>
        <d v="2025-08-06T04:42:00" u="1"/>
        <d v="2025-08-06T02:43:00" u="1"/>
        <d v="2025-08-06T04:09:00" u="1"/>
        <d v="2025-08-06T02:20:00" u="1"/>
        <d v="2025-08-06T03:15:00" u="1"/>
        <d v="2025-08-06T03:16:00" u="1"/>
        <d v="2025-08-06T06:55:00" u="1"/>
        <d v="2025-08-06T06:50:00" u="1"/>
        <d v="2025-08-06T06:17:00" u="1"/>
        <d v="2025-08-06T06:45:00" u="1"/>
        <d v="2025-08-06T06:23:00" u="1"/>
        <d v="2025-08-06T10:41:00" u="1"/>
        <d v="2025-08-05T07:26:00" u="1"/>
        <d v="2025-08-06T08:54:00" u="1"/>
        <d v="2025-08-06T09:38:00" u="1"/>
        <d v="2025-08-05T03:40:00" u="1"/>
        <d v="2025-08-05T04:47:00" u="1"/>
        <d v="2025-08-06T05:43:00" u="1"/>
        <d v="2025-08-06T04:29:00" u="1"/>
        <d v="2025-08-06T08:01:00" u="1"/>
        <d v="2025-08-06T11:59:00" u="1"/>
        <d v="2025-08-06T12:03:00" u="1"/>
        <d v="2025-08-06T09:18:00" u="1"/>
        <d v="2025-08-06T09:03:00" u="1"/>
        <d v="2025-08-05T18:34:00" u="1"/>
        <d v="2025-08-06T06:00:00" u="1"/>
        <d v="2025-08-05T17:10:00" u="1"/>
        <d v="2025-08-06T08:14:00" u="1"/>
        <d v="2025-08-06T12:56:00" u="1"/>
        <d v="2025-08-05T18:25:00" u="1"/>
        <d v="2025-08-06T18:52:00" u="1"/>
        <d v="2025-07-10T08:32:00" u="1"/>
        <d v="2025-08-06T11:48:00" u="1"/>
        <d v="2025-08-05T17:42:00" u="1"/>
        <d v="2025-08-05T17:04:00" u="1"/>
        <d v="2025-08-05T14:21:00" u="1"/>
        <d v="2025-08-06T10:04:00" u="1"/>
        <d v="2025-08-06T09:04:00" u="1"/>
        <d v="2025-08-05T15:51:00" u="1"/>
        <d v="2025-08-05T13:29:00" u="1"/>
        <d v="2025-08-06T09:25:00" u="1"/>
        <d v="2025-08-05T19:08:00" u="1"/>
        <d v="2025-08-06T09:56:00" u="1"/>
        <d v="2025-08-05T17:56:00" u="1"/>
        <d v="2025-08-06T13:23:00" u="1"/>
        <d v="2025-08-06T14:35:00" u="1"/>
        <d v="2025-06-13T00:00:00" u="1"/>
        <d v="2025-08-06T15:05:00" u="1"/>
        <d v="2025-08-06T15:33:00" u="1"/>
        <d v="2025-08-05T14:51:00" u="1"/>
        <d v="2025-08-05T18:19:00" u="1"/>
        <d v="2025-08-05T18:17:00" u="1"/>
        <d v="2025-08-05T16:51:00" u="1"/>
        <d v="2025-08-06T17:01:00" u="1"/>
        <d v="2025-08-06T10:05:00" u="1"/>
        <d v="2025-08-06T09:05:00" u="1"/>
        <d v="2025-08-05T18:10:00" u="1"/>
        <d v="2025-08-05T17:24:00" u="1"/>
        <d v="2025-08-06T09:53:00" u="1"/>
        <d v="2025-08-06T11:37:00" u="1"/>
        <d v="2025-08-06T12:01:00" u="1"/>
        <d v="2025-08-06T10:07:00" u="1"/>
        <d v="2025-08-04T18:28:00" u="1"/>
        <d v="2025-08-06T12:23:00" u="1"/>
        <d v="2025-08-05T13:35:00" u="1"/>
        <d v="2025-08-06T16:04:00" u="1"/>
        <d v="2025-08-06T16:05:00" u="1"/>
        <d v="2025-08-06T18:33:00" u="1"/>
        <d v="2025-08-04T15:18:00" u="1"/>
        <d v="2025-08-06T09:42:00" u="1"/>
        <d v="2025-08-06T10:11:00" u="1"/>
        <d v="2025-08-06T07:21:00" u="1"/>
        <d v="2025-08-04T11:40:00" u="1"/>
        <d v="2025-08-05T08:39:00" u="1"/>
        <d v="2025-08-04T17:28:00" u="1"/>
        <d v="2025-08-06T10:42:00" u="1"/>
        <d v="2025-08-06T10:51:00" u="1"/>
        <d v="2025-08-06T07:47:00" u="1"/>
        <d v="2025-08-05T15:12:00" u="1"/>
        <d v="2025-08-06T09:33:00" u="1"/>
        <d v="2025-08-06T13:56:00" u="1"/>
        <d v="2025-08-05T13:17:00" u="1"/>
        <d v="2025-08-06T12:48:00" u="1"/>
        <d v="2025-08-05T15:17:00" u="1"/>
        <d v="2025-08-05T18:56:00" u="1"/>
        <d v="2025-08-05T16:28:00" u="1"/>
        <d v="2025-08-06T10:00:00" u="1"/>
        <d v="2025-08-05T15:01:00" u="1"/>
        <d v="2025-08-05T13:40:00" u="1"/>
        <d v="2025-08-05T13:43:00" u="1"/>
        <d v="2025-08-06T13:44:00" u="1"/>
        <d v="2025-08-04T10:38:00" u="1"/>
        <d v="2025-07-30T16:12:00" u="1"/>
        <d v="2025-07-30T14:27:00" u="1"/>
        <d v="2025-07-31T13:00:00" u="1"/>
        <d v="2025-07-29T13:14:00" u="1"/>
        <d v="2025-07-25T14:42:00" u="1"/>
        <d v="2025-07-24T09:59:00" u="1"/>
        <d v="2025-07-24T10:31:00" u="1"/>
        <d v="2025-08-05T14:00:00" u="1"/>
        <d v="2025-08-05T13:50:00" u="1"/>
        <d v="2025-08-06T08:07:00" u="1"/>
        <d v="2025-08-05T17:40:00" u="1"/>
        <d v="2025-08-05T19:19:00" u="1"/>
        <d v="2025-08-05T19:21:00" u="1"/>
        <d v="2025-08-05T19:20:00" u="1"/>
        <d v="2025-08-06T14:08:00" u="1"/>
        <d v="2025-08-05T15:56:00" u="1"/>
        <d v="2025-08-05T19:26:00" u="1"/>
        <d v="2025-08-06T00:16:00" u="1"/>
        <d v="2025-08-06T00:15:00" u="1"/>
        <d v="2025-08-05T18:52:00" u="1"/>
        <d v="2025-08-05T08:03:00" u="1"/>
        <d v="2025-08-05T12:48:00" u="1"/>
        <d v="2025-08-05T06:05:00" u="1"/>
        <d v="2025-08-05T03:50:00" u="1"/>
        <d v="2025-08-05T06:08:00" u="1"/>
        <d v="2025-08-05T18:55:00" u="1"/>
        <d v="2025-08-05T05:42:00" u="1"/>
        <d v="2025-08-05T05:44:00" u="1"/>
        <d v="2025-08-05T16:20:00" u="1"/>
        <d v="2025-08-05T06:00:00" u="1"/>
        <d v="2025-08-05T10:33:00" u="1"/>
        <d v="2025-08-05T11:58:00" u="1"/>
        <d v="2025-08-05T13:27:00" u="1"/>
        <d v="2025-08-05T12:59:00" u="1"/>
        <d v="2025-08-05T11:27:00" u="1"/>
        <d v="2025-08-05T10:20:00" u="1"/>
        <d v="2025-08-05T13:04:00" u="1"/>
        <d v="2025-08-05T15:35:00" u="1"/>
        <d v="2025-08-05T15:30:00" u="1"/>
        <d v="2025-08-05T12:47:00" u="1"/>
        <d v="2025-08-05T14:05:00" u="1"/>
        <d v="2025-08-04T03:53:00" u="1"/>
        <d v="2025-08-04T14:41:00" u="1"/>
        <d v="2025-08-04T14:30:00" u="1"/>
        <d v="2025-08-05T14:07:00" u="1"/>
        <d v="2025-08-05T04:24:00" u="1"/>
        <d v="2025-08-05T16:00:00" u="1"/>
        <d v="2025-08-05T09:55:00" u="1"/>
        <d v="2025-07-31T05:03:00" u="1"/>
        <d v="2025-07-29T07:40:00" u="1"/>
        <d v="2025-08-01T14:09:00" u="1"/>
        <d v="2025-07-31T20:05:00" u="1"/>
        <d v="2025-08-05T12:51:00" u="1"/>
        <d v="2025-08-05T14:40:00" u="1"/>
        <d v="2025-08-05T12:34:00" u="1"/>
        <d v="2025-08-05T12:22:00" u="1"/>
        <d v="2025-08-05T07:49:00" u="1"/>
        <d v="2025-08-05T11:52:00" u="1"/>
        <d v="2025-08-05T11:48:00" u="1"/>
        <d v="2025-08-05T09:39:00" u="1"/>
        <d v="2025-08-01T14:11:00" u="1"/>
        <d v="2025-08-04T08:22:00" u="1"/>
        <d v="2025-08-04T16:27:00" u="1"/>
        <d v="2025-08-05T13:12:00" u="1"/>
        <d v="2025-08-04T10:26:00" u="1"/>
        <d v="2025-08-05T08:48:00" u="1"/>
        <d v="2025-08-04T19:32:00" u="1"/>
        <d v="2025-08-04T18:55:00" u="1"/>
        <d v="2025-08-04T13:10:00" u="1"/>
        <d v="2025-08-04T09:12:00" u="1"/>
        <d v="2025-08-04T15:56:00" u="1"/>
        <d v="2025-08-04T13:12:00" u="1"/>
        <d v="2025-08-05T08:52:00" u="1"/>
        <d v="2025-08-04T15:02:00" u="1"/>
        <d v="2025-08-04T15:09:00" u="1"/>
        <d v="2025-08-04T13:51:00" u="1"/>
        <d v="2025-08-04T13:45:00" u="1"/>
        <d v="2025-08-04T11:55:00" u="1"/>
        <d v="2025-07-31T11:34:00" u="1"/>
        <d v="2025-08-05T06:43:00" u="1"/>
        <d v="2025-08-04T19:42:00" u="1"/>
        <d v="2025-08-01T15:56:00" u="1"/>
        <d v="2025-08-01T16:56:00" u="1"/>
        <d v="2025-08-01T16:53:00" u="1"/>
        <d v="2025-08-01T16:49:00" u="1"/>
        <d v="2025-08-01T15:54:00" u="1"/>
        <d v="2025-08-01T15:53:00" u="1"/>
        <d v="2025-08-04T12:47:00" u="1"/>
        <d v="2025-07-31T14:26:00" u="1"/>
        <d v="2025-05-29T15:45:00" u="1"/>
        <d v="2025-07-30T15:50:00" u="1"/>
        <d v="2025-07-30T16:20:00" u="1"/>
        <d v="2025-08-04T09:10:00" u="1"/>
        <d v="2025-08-04T09:44:00" u="1"/>
        <d v="2025-07-30T09:28:00" u="1"/>
        <d v="2025-07-28T16:51:00" u="1"/>
        <d v="2025-07-28T16:33:00" u="1"/>
        <d v="2025-07-25T08:47:00" u="1"/>
        <d v="2025-07-25T15:09:00" u="1"/>
        <d v="2025-07-25T09:00:00" u="1"/>
        <d v="2025-07-25T10:36:00" u="1"/>
        <d v="2025-07-24T16:49:00" u="1"/>
        <d v="2025-07-23T16:37:00" u="1"/>
        <d v="2025-07-24T10:17:00" u="1"/>
        <d v="2025-07-17T17:03:00" u="1"/>
        <d v="2025-07-17T10:47:00" u="1"/>
        <d v="2025-08-01T21:43:00" u="1"/>
        <d v="2025-07-28T10:36:00" u="1"/>
        <d v="2025-07-28T16:34:00" u="1"/>
        <d v="2025-08-04T15:26:00" u="1"/>
        <d v="2025-08-04T08:08:00" u="1"/>
        <d v="2025-06-30T12:35:00" u="1"/>
        <d v="2025-08-04T20:53:00" u="1"/>
        <d v="2025-08-05T04:41:00" u="1"/>
        <d v="2025-08-01T04:47:00" u="1"/>
        <d v="2025-08-01T05:27:00" u="1"/>
        <d v="2025-07-24T06:44:00" u="1"/>
        <d v="2025-07-15T00:00:00" u="1"/>
        <d v="2025-08-04T07:30:00" u="1"/>
        <d v="2025-08-04T07:56:00" u="1"/>
        <d v="2025-08-04T09:23:00" u="1"/>
        <d v="2025-08-04T10:16:00" u="1"/>
        <d v="2025-07-28T17:03:00" u="1"/>
        <d v="2025-08-04T09:45:00" u="1"/>
        <d v="2025-08-01T07:45:00" u="1"/>
        <d v="2025-08-04T07:18:00" u="1"/>
        <d v="2025-08-04T14:40:00" u="1"/>
        <d v="2025-07-31T10:33:00" u="1"/>
        <d v="2025-08-04T04:44:00" u="1"/>
        <d v="2025-07-29T09:22:00" u="1"/>
        <d v="2025-08-02T12:00:00" u="1"/>
        <d v="2025-08-02T11:13:00" u="1"/>
        <d v="2025-08-01T04:04:00" u="1"/>
        <d v="2025-07-31T03:20:00" u="1"/>
        <d v="2025-08-01T09:03:00" u="1"/>
        <d v="2025-08-01T12:50:00" u="1"/>
        <d v="2025-08-01T01:01:00" u="1"/>
        <d v="2025-07-31T12:51:00" u="1"/>
        <d v="2025-07-07T10:18:00" u="1"/>
        <d v="2025-08-02T10:12:00" u="1"/>
        <d v="2025-08-04T02:18:00" u="1"/>
        <d v="2025-08-04T02:07:00" u="1"/>
        <d v="2025-08-04T03:04:00" u="1"/>
        <d v="2025-08-04T05:50:00" u="1"/>
        <d v="2025-08-04T11:12:00" u="1"/>
        <d v="2025-08-04T09:08:00" u="1"/>
        <d v="2025-08-04T07:42:00" u="1"/>
        <d v="2025-08-04T02:46:00" u="1"/>
        <d v="2025-08-04T07:40:00" u="1"/>
        <d v="2025-08-04T07:34:00" u="1"/>
        <d v="2025-08-04T07:28:00" u="1"/>
        <d v="2025-08-04T11:31:00" u="1"/>
        <d v="2025-07-31T13:23:00" u="1"/>
        <d v="2025-08-04T14:06:00" u="1"/>
        <d v="2025-07-31T13:58:00" u="1"/>
        <d v="2025-08-04T11:23:00" u="1"/>
        <d v="2025-08-04T07:00:00" u="1"/>
        <d v="2025-06-27T17:46:00" u="1"/>
        <d v="2025-07-31T11:26:00" u="1"/>
        <d v="2025-08-04T09:06:00" u="1"/>
        <d v="2025-08-04T09:37:00" u="1"/>
        <d v="2025-07-28T16:03:00" u="1"/>
        <d v="2025-07-01T08:00:00" u="1"/>
        <d v="2025-08-04T12:16:00" u="1"/>
        <d v="2025-08-01T13:20:00" u="1"/>
        <d v="2025-07-24T12:18:00" u="1"/>
        <d v="2025-08-04T16:10:00" u="1"/>
        <d v="2025-08-01T17:05:00" u="1"/>
        <d v="2025-08-01T17:06:00" u="1"/>
        <d v="2025-07-31T14:50:00" u="1"/>
        <d v="2025-08-01T18:08:00" u="1"/>
        <d v="2025-08-01T17:38:00" u="1"/>
        <d v="2025-08-01T17:25:00" u="1"/>
        <d v="2025-08-04T17:11:00" u="1"/>
        <d v="2025-08-04T14:39:00" u="1"/>
        <d v="2025-08-04T18:33:00" u="1"/>
        <d v="2025-08-04T15:23:00" u="1"/>
        <d v="2025-08-04T18:17:00" u="1"/>
        <d v="2025-08-01T16:23:00" u="1"/>
        <d v="2025-08-01T16:15:00" u="1"/>
        <d v="2025-08-01T16:08:00" u="1"/>
        <d v="2025-08-04T10:08:00" u="1"/>
        <d v="2025-07-21T15:07:00" u="1"/>
        <d v="2025-08-04T18:48:00" u="1"/>
        <d v="2025-07-31T09:42:00" u="1"/>
        <d v="2025-08-04T09:47:00" u="1"/>
        <d v="2025-07-28T08:40:00" u="1"/>
        <d v="2025-08-01T00:00:00" u="1"/>
        <d v="2025-07-30T08:00:00" u="1"/>
        <d v="2025-07-29T12:59:00" u="1"/>
        <d v="2025-07-29T08:18:00" u="1"/>
        <d v="2025-07-18T00:00:00" u="1"/>
        <d v="2025-08-04T19:39:00" u="1"/>
        <d v="2025-07-31T20:25:00" u="1"/>
        <d v="2025-08-01T14:14:00" u="1"/>
        <d v="2025-08-01T16:45:00" u="1"/>
        <d v="2025-08-01T20:13:00" u="1"/>
        <d v="2025-08-04T17:51:00" u="1"/>
        <d v="2025-08-04T10:48:00" u="1"/>
        <d v="2025-08-04T18:01:00" u="1"/>
        <d v="2025-08-04T14:53:00" u="1"/>
        <d v="2025-08-01T15:52:00" u="1"/>
        <d v="2025-08-04T01:21:00" u="1"/>
        <d v="2025-06-03T13:39:00" u="1"/>
        <d v="2025-08-01T23:48:00" u="1"/>
        <d v="2025-08-01T23:38:00" u="1"/>
        <d v="2025-08-01T16:19:00" u="1"/>
        <d v="2025-08-01T15:51:00" u="1"/>
        <d v="2025-08-01T16:48:00" u="1"/>
        <d v="2025-08-01T16:59:00" u="1"/>
        <d v="2025-08-04T14:42:00" u="1"/>
        <d v="2025-07-25T12:49:00" u="1"/>
        <d v="2025-08-04T11:18:00" u="1"/>
        <d v="2025-07-31T19:26:00" u="1"/>
        <d v="2025-07-29T15:48:00" u="1"/>
        <d v="2025-07-28T18:00:00" u="1"/>
        <d v="2025-07-28T15:00:00" u="1"/>
        <d v="2025-08-04T08:45:00" u="1"/>
        <d v="2025-06-22T16:02:00" u="1"/>
        <d v="2025-07-30T13:59:00" u="1"/>
        <d v="2025-07-17T16:24:00" u="1"/>
        <d v="2025-07-24T12:09:00" u="1"/>
        <d v="2025-07-31T15:15:00" u="1"/>
        <d v="2025-07-30T13:54:00" u="1"/>
        <d v="2025-08-04T20:03:00" u="1"/>
        <d v="2025-08-01T16:42:00" u="1"/>
        <d v="2025-08-04T10:54:00" u="1"/>
        <d v="2025-08-04T10:19:00" u="1"/>
        <d v="2025-08-01T07:07:00" u="1"/>
        <d v="2025-07-29T18:04:00" u="1"/>
        <d v="2025-08-04T14:26:00" u="1"/>
        <d v="2025-08-04T15:01:00" u="1"/>
        <d v="2025-08-04T18:25:00" u="1"/>
        <d v="2025-08-04T18:24:00" u="1"/>
        <d v="2025-08-04T12:34:00" u="1"/>
        <d v="2025-08-04T14:50:00" u="1"/>
        <d v="2025-08-04T11:15:00" u="1"/>
        <d v="2025-08-04T14:17:00" u="1"/>
        <d v="2025-08-01T16:02:00" u="1"/>
        <d v="2025-07-31T15:40:00" u="1"/>
        <d v="2025-08-04T16:02:00" u="1"/>
        <d v="2025-08-04T07:19:00" u="1"/>
        <d v="2025-08-04T13:22:00" u="1"/>
        <d v="2025-08-04T12:39:00" u="1"/>
        <d v="2025-08-04T06:36:00" u="1"/>
        <d v="2025-08-04T12:18:00" u="1"/>
        <d v="2025-08-04T06:57:00" u="1"/>
        <d v="2025-08-04T06:56:00" u="1"/>
        <d v="2025-07-31T11:37:00" u="1"/>
        <d v="2025-08-04T09:50:00" u="1"/>
        <d v="2025-08-04T14:52:00" u="1"/>
        <d v="2025-08-04T07:31:00" u="1"/>
        <d v="2025-08-04T08:15:00" u="1"/>
        <d v="2025-08-04T15:41:00" u="1"/>
        <d v="2025-08-04T15:43:00" u="1"/>
        <d v="2025-07-30T09:36:00" u="1"/>
        <d v="2025-07-29T08:46:00" u="1"/>
        <d v="2025-07-29T22:40:00" u="1"/>
        <d v="2025-08-02T09:45:00" u="1"/>
        <d v="2025-06-11T17:27:00" u="1"/>
        <d v="2025-07-24T10:09:00" u="1"/>
        <d v="2025-08-03T13:34:00" u="1"/>
        <d v="2025-08-04T18:27:00" u="1"/>
        <d v="2025-08-04T18:19:00" u="1"/>
        <d v="2025-08-04T16:32:00" u="1"/>
        <d v="2025-08-04T19:07:00" u="1"/>
        <d v="2025-08-01T16:20:00" u="1"/>
        <d v="2025-08-02T00:01:00" u="1"/>
        <d v="2025-07-26T18:00:00" u="1"/>
        <d v="2025-07-30T19:00:00" u="1"/>
        <d v="2025-08-01T19:00:00" u="1"/>
        <d v="2025-07-31T09:03:00" u="1"/>
        <d v="2025-07-31T08:50:00" u="1"/>
        <d v="2025-08-04T13:23:00" u="1"/>
        <d v="2025-08-04T13:35:00" u="1"/>
        <d v="2025-08-04T13:46:00" u="1"/>
        <d v="2025-08-04T08:59:00" u="1"/>
        <d v="2025-07-24T14:05:00" u="1"/>
        <d v="2025-08-04T09:35:00" u="1"/>
        <d v="2025-08-04T17:42:00" u="1"/>
        <d v="2025-08-04T18:51:00" u="1"/>
        <d v="2025-08-01T16:18:00" u="1"/>
        <d v="2025-08-03T10:24:00" u="1"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03T00:00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7-31T19:35:00" u="1"/>
        <d v="2025-07-31T20:17:00" u="1"/>
        <d v="2025-07-31T20:55:00" u="1"/>
        <d v="2025-07-31T08:14:00" u="1"/>
        <d v="2025-07-29T08:25:00" u="1"/>
        <d v="2025-07-29T08:41:00" u="1"/>
        <d v="2025-07-23T06:18:00" u="1"/>
        <d v="2025-07-11T10:19:00" u="1"/>
        <d v="2025-07-31T09:25:00" u="1"/>
        <d v="2025-07-31T06:54:00" u="1"/>
        <d v="2025-07-31T15:45:00" u="1"/>
        <d v="2025-07-31T16:09:00" u="1"/>
        <d v="2025-07-31T14:38:00" u="1"/>
        <d v="2025-07-31T14:45:00" u="1"/>
        <d v="2025-07-31T15:52:00" u="1"/>
        <d v="2025-07-31T14:17:00" u="1"/>
        <d v="2025-07-31T14:23:00" u="1"/>
        <d v="2025-07-31T16:11:00" u="1"/>
        <d v="2025-07-31T14:49:00" u="1"/>
        <d v="2025-07-31T15:50:00" u="1"/>
        <d v="2025-07-31T15:58:00" u="1"/>
        <d v="2025-07-31T09:36:00" u="1"/>
        <d v="2025-07-31T17:15:00" u="1"/>
        <d v="2025-07-31T16:18:00" u="1"/>
        <d v="2025-07-31T14:00:00" u="1"/>
        <d v="2025-07-31T14:02:00" u="1"/>
        <d v="2025-07-31T05:30:00" u="1"/>
        <d v="2025-07-31T04:02:00" u="1"/>
        <d v="2025-07-31T03:55:00" u="1"/>
        <d v="2025-07-31T04:17:00" u="1"/>
        <d v="2025-07-31T13:37:00" u="1"/>
        <d v="2025-07-31T14:54:00" u="1"/>
        <d v="2025-07-31T14:48:00" u="1"/>
        <d v="2025-07-31T14:10:00" u="1"/>
        <d v="2025-07-31T14:05:00" u="1"/>
        <d v="2025-07-31T05:02:00" u="1"/>
        <d v="2025-07-31T12:57:00" u="1"/>
        <d v="2025-07-31T12:53:00" u="1"/>
        <d v="2025-07-31T10:10:00" u="1"/>
        <d v="2025-07-31T07:33:00" u="1"/>
        <d v="2025-07-16T08:38:00" u="1"/>
        <d v="2025-07-31T02:31:00" u="1"/>
        <d v="2025-07-30T11:19:00" u="1"/>
        <d v="2025-07-31T03:23:00" u="1"/>
        <d v="2025-07-30T11:23:00" u="1"/>
        <d v="2025-07-31T03:45:00" u="1"/>
        <d v="2025-07-31T03:37:00" u="1"/>
        <d v="2025-07-31T11:09:00" u="1"/>
        <d v="2025-07-30T11:55:00" u="1"/>
        <d v="2025-07-31T11:17:00" u="1"/>
        <d v="2025-07-30T11:17:00" u="1"/>
        <d v="2025-07-31T01:53:00" u="1"/>
        <d v="2025-07-31T01:56:00" u="1"/>
        <d v="2025-07-31T02:13:00" u="1"/>
        <d v="2025-07-31T02:49:00" u="1"/>
        <d v="2025-07-29T14:35:00" u="1"/>
        <d v="2025-07-31T17:59:00" u="1"/>
        <d v="2025-07-31T10:35:00" u="1"/>
        <d v="2025-07-31T12:32:00" u="1"/>
        <d v="2025-07-31T11:16:00" u="1"/>
        <d v="2025-07-31T09:16:00" u="1"/>
        <d v="2025-07-31T07:57:00" u="1"/>
        <d v="2025-07-31T11:07:00" u="1"/>
        <d v="2025-07-31T09:54:00" u="1"/>
        <d v="2025-07-31T11:27:00" u="1"/>
        <d v="2025-07-31T11:51:00" u="1"/>
        <d v="2025-07-31T09:08:00" u="1"/>
        <d v="2025-07-31T10:46:00" u="1"/>
        <d v="2025-07-31T10:07:00" u="1"/>
        <d v="2025-07-31T08:34:00" u="1"/>
        <d v="2025-06-20T18:28:00" u="1"/>
        <d v="2025-07-31T09:33:00" u="1"/>
        <d v="2025-07-30T06:42:00" u="1"/>
        <d v="2025-07-30T06:48:00" u="1"/>
        <d v="2025-07-31T07:41:00" u="1"/>
        <d v="2025-07-30T16:57:00" u="1"/>
        <d v="2025-07-30T04:56:00" u="1"/>
        <d v="2025-07-30T04:42:00" u="1"/>
        <d v="2025-07-30T04:36:00" u="1"/>
        <d v="2025-07-30T03:40:00" u="1"/>
        <d v="2025-07-30T02:04:00" u="1"/>
        <d v="2025-07-30T15:40:00" u="1"/>
        <d v="2025-07-30T15:33:00" u="1"/>
        <d v="2025-07-29T05:24:00" u="1"/>
        <d v="2025-07-29T13:24:00" u="1"/>
        <d v="2025-07-29T12:49:00" u="1"/>
        <d v="2025-07-29T12:40:00" u="1"/>
        <d v="2025-07-28T16:44:00" u="1"/>
        <d v="2025-07-28T15:47:00" u="1"/>
        <d v="2025-07-25T14:29:00" u="1"/>
        <d v="2025-07-22T18:38:00" u="1"/>
        <d v="2025-07-28T09:49:00" u="1"/>
        <d v="2025-07-23T14:55:00" u="1"/>
        <d v="2025-07-30T12:22:27" u="1"/>
        <d v="2025-07-29T06:07:00" u="1"/>
        <d v="2025-07-31T01:49:00" u="1"/>
        <d v="2025-06-02T12:26:00" u="1"/>
        <d v="2025-07-24T09:29:00" u="1"/>
        <d v="2025-07-28T16:32:00" u="1"/>
        <d v="2025-07-30T12:18:00" u="1"/>
        <d v="2025-07-30T09:26:00" u="1"/>
        <d v="2025-07-24T14:35:00" u="1"/>
        <d v="2025-07-30T02:57:00" u="1"/>
        <d v="2025-07-30T11:33:00" u="1"/>
        <d v="2025-07-30T12:13:00" u="1"/>
        <d v="2025-07-30T10:58:00" u="1"/>
        <d v="2025-07-30T09:46:00" u="1"/>
        <d v="2025-07-30T03:47:00" u="1"/>
        <d v="2025-07-30T03:54:00" u="1"/>
        <d v="2025-07-29T10:12:00" u="1"/>
        <d v="2025-07-30T03:09:00" u="1"/>
        <d v="2025-07-30T03:15:00" u="1"/>
        <d v="2025-07-30T03:20:00" u="1"/>
        <d v="2025-07-30T08:54:00" u="1"/>
        <d v="2025-07-30T12:22:00" u="1"/>
        <d v="2025-07-30T02:39:00" u="1"/>
        <d v="2025-07-29T05:31:39" u="1"/>
        <d v="2025-07-29T10:08:00" u="1"/>
        <d v="2025-07-29T06:23:55" u="1"/>
        <d v="2025-07-30T12:28:00" u="1"/>
        <d v="2025-07-30T10:01:00" u="1"/>
        <d v="2025-07-29T10:49:00" u="1"/>
        <d v="2025-07-30T10:22:00" u="1"/>
        <d v="2025-07-29T05:29:00" u="1"/>
        <d v="2025-07-30T01:00:00" u="1"/>
        <d v="2025-07-29T05:13:00" u="1"/>
        <d v="2025-07-29T06:23:00" u="1"/>
        <d v="2025-07-30T01:50:00" u="1"/>
        <d v="2025-07-30T02:12:00" u="1"/>
        <d v="2025-07-30T09:23:00" u="1"/>
        <d v="2025-07-30T09:40:00" u="1"/>
        <d v="2025-07-30T09:30:00" u="1"/>
        <d v="2025-07-29T09:49:00" u="1"/>
        <d v="2025-07-30T10:17:00" u="1"/>
        <d v="2025-07-30T06:51:00" u="1"/>
        <d v="2025-07-30T04:04:00" u="1"/>
        <d v="2025-07-30T03:59:00" u="1"/>
        <d v="2025-07-29T10:00:00" u="1"/>
        <d v="2025-07-30T14:54:00" u="1"/>
        <d v="2025-07-30T14:40:00" u="1"/>
        <d v="2025-07-30T10:29:00" u="1"/>
        <d v="2025-07-30T07:15:00" u="1"/>
        <d v="2025-07-29T09:57:00" u="1"/>
        <d v="2025-07-29T11:17:00" u="1"/>
        <d v="2025-07-30T17:40:00" u="1"/>
        <d v="2025-07-30T17:42:00" u="1"/>
        <d v="2025-07-30T17:16:00" u="1"/>
        <d v="2025-07-29T16:17:00" u="1"/>
        <d v="2025-07-29T18:02:00" u="1"/>
        <d v="2025-07-29T14:54:00" u="1"/>
        <d v="2025-07-29T14:21:00" u="1"/>
        <d v="2025-07-29T15:07:00" u="1"/>
        <d v="2025-07-30T10:09:00" u="1"/>
        <d v="2025-07-29T18:54:00" u="1"/>
        <d v="2025-07-30T08:35:00" u="1"/>
        <d v="2025-06-13T16:46:00" u="1"/>
        <d v="2025-07-30T12:19:00" u="1"/>
        <d v="2025-07-29T15:42:00" u="1"/>
        <d v="2025-07-29T21:24:00" u="1"/>
        <d v="2025-07-29T12:28:00" u="1"/>
        <d v="2025-07-29T08:57:00" u="1"/>
        <d v="2025-07-25T15:50:00" u="1"/>
        <d v="2025-07-30T08:58:00" u="1"/>
        <d v="2025-07-29T18:39:00" u="1"/>
        <d v="2025-07-30T11:41:00" u="1"/>
        <d v="2025-07-30T12:21:00" u="1"/>
        <d v="2025-07-28T11:07:00" u="1"/>
        <d v="2025-07-29T15:40:00" u="1"/>
        <d v="2025-07-29T14:09:00" u="1"/>
        <d v="2025-07-29T12:03:00" u="1"/>
        <d v="2025-07-30T18:56:00" u="1"/>
        <d v="2025-07-30T15:31:00" u="1"/>
        <d v="2025-07-04T13:27:00" u="1"/>
        <d v="2025-07-28T00:00:00" u="1"/>
        <d v="2025-07-04T14:00:00" u="1"/>
        <d v="2025-07-04T14:38:00" u="1"/>
        <d v="2025-07-29T17:34:00" u="1"/>
        <d v="2025-07-30T13:49:00" u="1"/>
        <d v="2025-07-28T11:02:00" u="1"/>
        <d v="2025-07-30T16:00:00" u="1"/>
        <d v="2025-07-30T13:51:00" u="1"/>
        <d v="2025-07-30T12:05:00" u="1"/>
        <d v="2025-07-30T13:03:00" u="1"/>
        <d v="2025-07-30T09:44:00" u="1"/>
        <d v="2025-07-30T12:51:00" u="1"/>
        <d v="2025-07-30T14:42:00" u="1"/>
        <d v="2025-07-04T12:51:00" u="1"/>
        <d v="2025-07-29T08:36:00" u="1"/>
        <d v="2025-07-29T12:29:00" u="1"/>
        <d v="2025-07-29T16:21:00" u="1"/>
        <d v="2025-07-29T18:38:00" u="1"/>
        <d v="2025-07-29T15:24:00" u="1"/>
        <d v="2025-07-30T15:54:00" u="1"/>
        <d v="2025-07-27T21:05:00" u="1"/>
        <d v="2025-07-29T17:53:00" u="1"/>
        <d v="2025-06-30T22:17:00" u="1"/>
        <d v="2025-07-30T19:08:00" u="1"/>
        <d v="2025-07-29T17:00:00" u="1"/>
        <d v="2025-07-30T14:47:00" u="1"/>
        <d v="2025-07-30T14:53:00" u="1"/>
        <d v="2025-07-29T14:18:00" u="1"/>
        <d v="2025-07-30T14:20:00" u="1"/>
        <d v="2025-07-30T16:45:00" u="1"/>
        <d v="2025-07-29T16:54:00" u="1"/>
        <d v="2025-07-29T14:28:00" u="1"/>
        <d v="2025-07-30T18:01:00" u="1"/>
        <d v="2025-07-29T16:37:00" u="1"/>
        <d v="2025-07-30T18:11:00" u="1"/>
        <d v="2025-07-30T09:27:00" u="1"/>
        <d v="2025-07-28T11:34:00" u="1"/>
        <d v="2025-07-28T15:04:00" u="1"/>
        <d v="2025-07-30T08:25:00" u="1"/>
        <d v="2025-07-29T13:50:00" u="1"/>
        <d v="2025-07-28T17:07:00" u="1"/>
        <d v="2025-07-30T16:09:00" u="1"/>
        <d v="2025-07-29T10:16:00" u="1"/>
        <d v="2025-07-30T09:33:00" u="1"/>
        <d v="2025-07-30T09:32:00" u="1"/>
        <d v="2025-07-30T15:05:00" u="1"/>
        <d v="2025-07-30T15:09:00" u="1"/>
        <d v="2025-07-29T09:37:00" u="1"/>
        <d v="2025-07-29T09:46:00" u="1"/>
        <d v="2025-07-29T14:20:00" u="1"/>
        <d v="2025-07-29T10:14:00" u="1"/>
        <d v="2025-07-30T01:19:00" u="1"/>
        <d v="2025-07-29T10:18:00" u="1"/>
        <d v="2025-07-23T11:08:00" u="1"/>
        <d v="2025-07-25T09:27:00" u="1"/>
        <d v="2025-07-01T15:12:00" u="1"/>
        <d v="2025-07-29T12:05:00" u="1"/>
        <d v="2025-07-29T08:47:00" u="1"/>
        <d v="2025-07-29T08:51:00" u="1"/>
        <d v="2025-07-29T13:29:00" u="1"/>
        <d v="2025-07-29T12:04:00" u="1"/>
        <d v="2025-07-29T03:14:00" u="1"/>
        <d v="2025-07-29T06:18:00" u="1"/>
        <d v="2025-07-29T02:27:00" u="1"/>
        <d v="2025-07-29T01:17:00" u="1"/>
        <d v="2025-07-29T12:46:00" u="1"/>
        <d v="2025-07-29T01:00:00" u="1"/>
        <d v="2025-07-29T05:57:00" u="1"/>
        <d v="2025-07-29T05:25:00" u="1"/>
        <d v="2025-07-29T10:03:00" u="1"/>
        <d v="2025-07-29T05:04:00" u="1"/>
        <d v="2025-07-29T05:19:00" u="1"/>
        <d v="2025-07-29T04:05:00" u="1"/>
        <d v="2025-07-29T03:50:00" u="1"/>
        <d v="2025-07-29T11:04:00" u="1"/>
        <d v="2025-07-29T11:55:00" u="1"/>
        <d v="2025-07-29T02:34:00" u="1"/>
        <d v="2025-07-29T02:01:00" u="1"/>
        <d v="2025-07-29T02:26:00" u="1"/>
        <d v="2025-07-28T08:48:00" u="1"/>
        <d v="2025-07-26T02:55:00" u="1"/>
        <d v="2025-07-29T03:41:00" u="1"/>
        <d v="2025-07-29T12:00:00" u="1"/>
        <d v="2025-07-29T01:05:00" u="1"/>
        <d v="2025-07-28T17:16:00" u="1"/>
        <d v="2025-07-28T09:21:00" u="1"/>
        <d v="2025-07-25T15:18:00" u="1"/>
        <d v="2025-07-29T15:16:00" u="1"/>
        <d v="2025-07-25T08:54:00" u="1"/>
        <d v="2025-07-29T14:58:00" u="1"/>
        <d v="2025-07-24T13:59:00" u="1"/>
        <d v="2025-07-10T12:21:00" u="1"/>
        <d v="2025-07-24T14:11:00" u="1"/>
        <d v="2025-07-15T21:44:00" u="1"/>
        <d v="2025-07-29T15:52:00" u="1"/>
        <d v="2025-07-28T16:40:00" u="1"/>
        <d v="2025-07-22T10:11:00" u="1"/>
        <d v="2025-07-28T14:50:00" u="1"/>
        <d v="2025-07-28T14:45:00" u="1"/>
        <d v="2025-07-28T17:18:00" u="1"/>
        <d v="2025-07-29T09:47:00" u="1"/>
        <d v="2025-07-29T09:44:00" u="1"/>
        <d v="2025-07-29T12:30:00" u="1"/>
        <d v="2025-07-23T08:03:00" u="1"/>
        <d v="2025-07-29T13:22:00" u="1"/>
        <d v="2025-07-29T12:22:00" u="1"/>
        <d v="2025-07-29T12:58:00" u="1"/>
        <d v="2025-07-07T14:15:00" u="1"/>
        <d v="2025-07-21T13:01:00" u="1"/>
        <d v="2025-07-04T18:00:00" u="1"/>
        <d v="2025-07-15T10:58:00" u="1"/>
        <d v="2025-07-28T10:37:00" u="1"/>
        <d v="2025-07-15T09:46:00" u="1"/>
        <d v="2025-07-29T07:51:00" u="1"/>
        <d v="2025-07-28T10:53:00" u="1"/>
        <d v="2025-07-29T14:02:00" u="1"/>
        <d v="2025-07-29T13:59:00" u="1"/>
        <d v="2025-07-29T06:44:00" u="1"/>
        <d v="2025-07-28T15:59:00" u="1"/>
        <d v="2025-07-29T12:01:00" u="1"/>
        <d v="2025-07-22T13:35:00" u="1"/>
        <d v="2025-07-29T13:11:00" u="1"/>
        <d v="2025-07-28T18:23:00" u="1"/>
        <d v="2025-07-29T12:33:00" u="1"/>
        <d v="2025-07-11T15:26:00" u="1"/>
        <d v="2025-07-28T15:41:00" u="1"/>
        <d v="2025-07-29T14:14:00" u="1"/>
        <d v="2025-07-25T17:17:00" u="1"/>
        <d v="2025-07-26T17:12:00" u="1"/>
        <d v="2025-07-24T15:17:00" u="1"/>
        <d v="2025-07-23T13:55:00" u="1"/>
        <d v="2025-07-21T11:29:00" u="1"/>
        <d v="2025-07-18T01:08:00" u="1"/>
        <d v="2025-07-19T04:49:00" u="1"/>
        <d v="2025-07-20T04:16:00" u="1"/>
        <d v="2025-07-15T03:43:00" u="1"/>
        <d v="2025-07-12T03:47:00" u="1"/>
        <d v="2025-07-12T04:57:00" u="1"/>
        <d v="2025-07-13T05:05:00" u="1"/>
        <d v="2025-07-13T06:51:00" u="1"/>
        <d v="2025-07-13T07:59:00" u="1"/>
        <d v="2025-07-13T18:52:00" u="1"/>
        <d v="2025-07-14T00:59:00" u="1"/>
        <d v="2025-07-14T04:49:00" u="1"/>
        <d v="2025-07-17T00:59:00" u="1"/>
        <d v="2025-07-25T14:06:00" u="1"/>
        <d v="2025-07-25T14:15:00" u="1"/>
        <d v="2025-07-25T14:34:00" u="1"/>
        <d v="2025-07-26T00:59:00" u="1"/>
        <d v="2025-07-27T04:11:00" u="1"/>
        <d v="2025-07-28T01:05:00" u="1"/>
        <d v="2025-07-28T07:02:00" u="1"/>
        <d v="2025-07-24T02:45:00" u="1"/>
        <d v="2025-07-25T01:06:00" u="1"/>
        <d v="2025-07-25T04:19:00" u="1"/>
        <d v="2025-07-18T21:41:00" u="1"/>
        <d v="2025-07-10T15:22:00" u="1"/>
        <d v="2025-07-10T13:41:00" u="1"/>
        <d v="2025-05-27T12:46:00" u="1"/>
        <d v="2025-04-07T00:00:00" u="1"/>
        <d v="2025-07-04T00:00:00" u="1"/>
        <d v="2025-07-22T16:20:00" u="1"/>
        <d v="2025-07-22T09:00:00" u="1"/>
        <d v="2025-05-30T00:00:00" u="1"/>
        <d v="2025-07-18T17:16:00" u="1"/>
        <d v="2025-06-27T09:24:00" u="1"/>
        <d v="2025-06-27T10:30:00" u="1"/>
        <d v="2025-06-25T10:51:00" u="1"/>
        <d v="2025-07-21T14:58:00" u="1"/>
        <d v="2025-07-11T10:28:00" u="1"/>
        <d v="2025-07-24T10:36:00" u="1"/>
        <d v="2025-07-11T16:35:00" u="1"/>
        <d v="2025-06-09T15:37:00" u="1"/>
        <d v="2025-07-25T06:48:00" u="1"/>
        <d v="2025-07-11T13:49:00" u="1"/>
        <d v="2025-07-25T07:08:00" u="1"/>
        <d v="2025-06-30T16:37:00" u="1"/>
        <d v="2025-07-21T08:11:00" u="1"/>
        <d v="2025-07-21T09:24:00" u="1"/>
        <d v="2025-07-23T14:30:00" u="1"/>
        <d v="2025-07-22T14:20:00" u="1"/>
        <d v="2025-06-04T15:05:00" u="1"/>
        <d v="2025-07-02T09:23:00" u="1"/>
        <d v="2025-07-14T12:13:00" u="1"/>
        <d v="2025-03-19T23:45:00" u="1"/>
        <d v="2025-06-24T19:21:00" u="1"/>
        <d v="2025-07-08T20:47:00" u="1"/>
        <d v="2025-07-24T11:55:00" u="1"/>
        <d v="2025-06-18T13:27:00" u="1"/>
        <d v="2025-07-17T08:53:00" u="1"/>
        <d v="2025-07-21T00:00:00" u="1"/>
        <d v="2025-06-22T13:41:00" u="1"/>
        <d v="2025-07-17T00:00:00" u="1"/>
        <d v="2025-07-04T12:58:00" u="1"/>
        <d v="2025-07-17T06:29:00" u="1"/>
        <d v="2025-07-27T10:19:00" u="1"/>
        <d v="2025-07-28T03:56:00" u="1"/>
        <d v="2025-07-28T04:38:00" u="1"/>
        <d v="2025-07-28T03:18:00" u="1"/>
        <d v="2025-07-28T05:07:00" u="1"/>
        <d v="2025-07-28T05:50:00" u="1"/>
        <d v="2025-07-28T07:30:00" u="1"/>
        <d v="2025-07-28T08:29:00" u="1"/>
        <d v="2025-07-28T08:23:00" u="1"/>
        <d v="2025-07-28T05:43:00" u="1"/>
        <d v="2025-07-28T10:30:00" u="1"/>
        <d v="2025-07-28T06:02:00" u="1"/>
        <d v="2025-07-28T07:13:00" u="1"/>
        <d v="2025-07-28T02:28:00" u="1"/>
        <d v="2025-07-27T07:53:00" u="1"/>
        <d v="2025-07-23T05:15:00" u="1"/>
        <d v="2025-07-28T10:34:00" u="1"/>
        <d v="2025-07-28T03:05:00" u="1"/>
        <d v="2025-07-27T11:23:00" u="1"/>
        <d v="2025-07-28T11:44:00" u="1"/>
        <d v="2025-07-28T01:55:00" u="1"/>
        <d v="2025-07-28T02:25:00" u="1"/>
        <d v="2025-07-25T11:12:00" u="1"/>
        <d v="2025-07-28T11:27:00" u="1"/>
        <d v="2025-07-28T10:44:00" u="1"/>
        <d v="2025-07-28T02:29:00" u="1"/>
        <d v="2025-07-28T02:27:00" u="1"/>
        <d v="2025-07-28T10:41:00" u="1"/>
        <d v="2025-07-28T05:02:00" u="1"/>
        <d v="2025-07-28T02:13:00" u="1"/>
        <d v="2025-07-28T06:29:00" u="1"/>
        <d v="2025-07-28T04:35:00" u="1"/>
        <d v="2025-07-25T16:22:00" u="1"/>
        <d v="2025-07-24T10:16:00" u="1"/>
        <d v="2025-07-03T10:04:00" u="1"/>
        <d v="2025-07-14T11:01:00" u="1"/>
        <d v="2025-07-10T09:48:00" u="1"/>
        <d v="2025-07-09T07:49:00" u="1"/>
        <d v="2025-07-07T14:51:00" u="1"/>
        <d v="2025-07-01T10:26:00" u="1"/>
        <d v="2025-07-04T14:32:00" u="1"/>
        <d v="2025-07-28T13:22:00" u="1"/>
        <d v="2025-07-08T16:48:00" u="1"/>
        <d v="2025-07-11T09:51:00" u="1"/>
        <d v="2025-07-18T14:20:00" u="1"/>
        <d v="2025-07-18T14:23:00" u="1"/>
        <d v="2025-07-15T14:12:00" u="1"/>
        <d v="2025-05-29T12:12:00" u="1"/>
        <d v="2025-07-25T18:00:00" u="1"/>
        <d v="2025-06-25T11:19:00" u="1"/>
        <d v="2025-06-18T12:36:00" u="1"/>
        <d v="2025-06-11T14:50:00" u="1"/>
        <d v="2025-06-11T12:16:00" u="1"/>
        <d v="2025-06-16T17:10:00" u="1"/>
        <d v="2025-07-25T16:20:00" u="1"/>
        <d v="2025-07-25T10:43:00" u="1"/>
        <d v="2025-07-27T00:00:00" u="1"/>
        <d v="2025-06-25T13:19:00" u="1"/>
        <d v="2025-06-20T18:10:00" u="1"/>
        <d v="2025-07-28T13:17:00" u="1"/>
        <d v="2025-07-25T11:03:00" u="1"/>
        <d v="2025-07-24T17:19:00" u="1"/>
        <d v="2025-07-24T17:22:00" u="1"/>
        <d v="2025-07-24T18:22:00" u="1"/>
        <d v="2025-07-28T11:18:00" u="1"/>
        <d v="2025-07-28T09:19:00" u="1"/>
        <d v="2025-06-11T15:53:00" u="1"/>
        <d v="2025-06-11T17:36:00" u="1"/>
        <d v="2025-07-25T14:43:00" u="1"/>
        <d v="2025-06-18T09:30:00" u="1"/>
        <d v="2025-06-17T17:33:00" u="1"/>
        <d v="2025-06-12T10:34:00" u="1"/>
        <d v="2025-06-26T12:45:00" u="1"/>
        <d v="2025-06-26T12:42:00" u="1"/>
        <d v="2025-07-08T18:18:00" u="1"/>
        <d v="2025-07-22T15:04:00" u="1"/>
        <d v="2025-07-22T14:59:00" u="1"/>
        <d v="2025-07-22T15:12:00" u="1"/>
        <d v="2025-07-07T12:53:00" u="1"/>
        <d v="2025-07-28T12:34:00" u="1"/>
        <d v="2025-07-28T19:19:00" u="1"/>
        <d v="2025-06-04T16:36:00" u="1"/>
        <d v="2025-06-16T08:08:00" u="1"/>
        <d v="2025-06-23T17:30:00" u="1"/>
        <d v="2025-06-24T07:56:00" u="1"/>
        <d v="2025-06-23T16:45:00" u="1"/>
        <d v="2025-07-01T09:15:00" u="1"/>
        <d v="2025-07-11T08:29:00" u="1"/>
        <d v="2025-07-22T09:01:00" u="1"/>
        <d v="2025-06-25T17:39:00" u="1"/>
        <d v="2025-06-17T18:13:00" u="1"/>
        <d v="2025-06-12T17:28:00" u="1"/>
        <d v="2025-06-13T10:29:00" u="1"/>
        <d v="2025-06-03T16:38:00" u="1"/>
        <d v="2025-06-24T15:18:00" u="1"/>
        <d v="2025-06-24T15:06:00" u="1"/>
        <d v="2025-06-25T15:01:00" u="1"/>
        <d v="2025-06-26T08:43:00" u="1"/>
        <d v="2025-06-16T14:56:00" u="1"/>
        <d v="2025-07-25T16:08:00" u="1"/>
        <d v="2025-07-25T16:31:00" u="1"/>
        <d v="2025-07-17T13:04:00" u="1"/>
        <d v="2025-06-13T17:07:00" u="1"/>
        <d v="2025-07-28T18:24:00" u="1"/>
        <d v="2025-07-28T17:50:00" u="1"/>
        <d v="2025-07-28T18:08:00" u="1"/>
        <d v="2025-07-28T18:03:00" u="1"/>
        <d v="2025-06-03T09:13:00" u="1"/>
        <d v="2025-06-03T09:18:00" u="1"/>
        <d v="2025-06-09T15:33:00" u="1"/>
        <d v="2025-07-11T15:20:00" u="1"/>
        <d v="2025-07-22T16:09:00" u="1"/>
        <d v="2025-07-22T16:00:00" u="1"/>
        <d v="2025-07-21T09:25:00" u="1"/>
        <d v="2025-07-24T08:21:00" u="1"/>
        <d v="2025-07-25T11:36:00" u="1"/>
        <d v="2025-07-28T08:01:00" u="1"/>
        <d v="2025-06-30T12:00:00" u="1"/>
        <d v="2025-07-02T12:18:00" u="1"/>
        <d v="2025-06-27T07:46:00" u="1"/>
        <d v="2025-06-27T08:01:00" u="1"/>
        <d v="2025-06-30T09:33:00" u="1"/>
        <d v="2025-06-27T10:07:00" u="1"/>
        <d v="2025-06-24T08:01:00" u="1"/>
        <d v="2025-07-10T08:57:00" u="1"/>
        <d v="2025-07-17T09:19:00" u="1"/>
        <d v="2025-06-27T08:35:00" u="1"/>
        <d v="2025-06-26T15:14:00" u="1"/>
        <d v="2025-07-10T07:53:00" u="1"/>
        <d v="2025-02-01T00:00:00" u="1"/>
        <d v="2025-06-03T19:10:00" u="1"/>
        <d v="2025-07-17T18:00:00" u="1"/>
        <d v="2025-07-28T14:36:00" u="1"/>
        <d v="2025-07-28T15:02:00" u="1"/>
        <d v="2025-07-25T15:32:00" u="1"/>
        <d v="2025-06-11T19:00:00" u="1"/>
        <d v="2025-07-24T11:49:00" u="1"/>
        <d v="2025-07-01T20:54:00" u="1"/>
        <d v="2025-07-28T19:10:00" u="1"/>
        <d v="2025-07-25T14:54:00" u="1"/>
        <d v="2025-07-28T19:32:00" u="1"/>
        <d v="2025-07-23T13:00:00" u="1"/>
        <d v="2025-07-27T22:48:00" u="1"/>
        <d v="2025-06-26T19:00:00" u="1"/>
        <d v="2025-07-28T16:58:00" u="1"/>
        <d v="2025-07-14T13:32:00" u="1"/>
        <d v="2025-07-21T20:57:00" u="1"/>
        <d v="2025-06-18T09:52:00" u="1"/>
        <d v="2025-06-27T16:51:00" u="1"/>
        <d v="2025-07-01T15:39:00" u="1"/>
        <d v="2025-07-25T12:15:00" u="1"/>
        <d v="2025-06-30T11:16:00" u="1"/>
        <d v="2025-07-18T11:35:00" u="1"/>
        <d v="2025-07-04T13:49:00" u="1"/>
        <d v="2025-06-18T11:34:00" u="1"/>
        <d v="2025-07-28T14:56:00" u="1"/>
        <d v="2025-06-11T11:20:00" u="1"/>
        <d v="2025-06-16T15:44:00" u="1"/>
        <d v="2025-07-24T16:59:00" u="1"/>
        <d v="2025-07-24T17:55:00" u="1"/>
        <d v="2025-07-07T15:30:00" u="1"/>
        <d v="2025-07-28T18:41:00" u="1"/>
        <d v="2025-07-28T17:41:00" u="1"/>
        <d v="2025-07-28T16:23:00" u="1"/>
        <d v="2025-07-28T15:58:00" u="1"/>
        <d v="2025-07-28T20:47:00" u="1"/>
        <d v="2025-06-17T15:40:00" u="1"/>
        <d v="2025-06-18T16:55:00" u="1"/>
        <d v="2025-06-03T12:19:00" u="1"/>
        <d v="2025-06-03T12:24:00" u="1"/>
        <d v="2025-06-03T12:40:00" u="1"/>
        <d v="2025-06-03T13:54:00" u="1"/>
        <d v="2025-06-03T14:04:00" u="1"/>
        <d v="2025-06-03T14:12:00" u="1"/>
        <d v="2025-06-05T13:00:00" u="1"/>
        <d v="2025-06-05T12:28:00" u="1"/>
        <d v="2025-07-17T11:48:00" u="1"/>
        <d v="2025-07-21T11:09:00" u="1"/>
        <d v="2025-06-11T14:35:00" u="1"/>
        <d v="2025-06-18T10:51:00" u="1"/>
        <d v="2025-06-17T18:17:01" u="1"/>
        <d v="2025-06-17T18:06:00" u="1"/>
        <d v="2025-06-16T14:56:28" u="1"/>
        <d v="2025-07-18T11:42:00" u="1"/>
        <d v="2025-07-15T18:04:00" u="1"/>
        <d v="2025-06-18T17:00:00" u="1"/>
        <d v="2025-06-11T11:15:00" u="1"/>
        <d v="2025-06-24T18:04:00" u="1"/>
        <d v="2025-06-25T17:13:00" u="1"/>
        <d v="2025-06-24T18:22:00" u="1"/>
        <d v="2025-06-26T17:57:00" u="1"/>
        <d v="2025-06-25T19:47:00" u="1"/>
        <d v="2025-07-28T13:20:00" u="1"/>
        <d v="2025-06-24T16:38:00" u="1"/>
        <d v="2025-06-30T15:10:00" u="1"/>
        <d v="2025-07-01T10:28:00" u="1"/>
        <d v="2025-01-15T10:21:00" u="1"/>
        <d v="2025-07-16T11:38:00" u="1"/>
        <d v="2025-06-25T18:59:00" u="1"/>
        <d v="2025-04-23T11:38:00" u="1"/>
        <d v="2025-07-22T11:37:00" u="1"/>
        <d v="2025-06-27T15:48:00" u="1"/>
        <d v="2025-06-18T19:30:00" u="1"/>
        <d v="2025-07-28T16:21:00" u="1"/>
        <d v="2025-07-03T18:23:00" u="1"/>
        <d v="2025-07-15T15:00:00" u="1"/>
        <d v="2025-06-02T21:14:00" u="1"/>
        <d v="2025-03-06T12:00:00" u="1"/>
        <d v="2025-06-12T00:00:00" u="1"/>
        <d v="2025-06-18T00:00:00" u="1"/>
        <d v="2025-06-09T10:31:00" u="1"/>
        <d v="2025-07-18T06:53:00" u="1"/>
        <d v="2025-06-06T10:37:00" u="1"/>
        <d v="2025-06-26T15:27:00" u="1"/>
        <d v="2025-07-28T09:46:00" u="1"/>
        <d v="2025-06-05T11:27:00" u="1"/>
        <d v="2025-07-11T16:43:00" u="1"/>
        <d v="2025-07-11T16:47:00" u="1"/>
        <d v="2025-07-03T11:34:00" u="1"/>
        <d v="2025-06-17T15:55:00" u="1"/>
        <d v="2025-06-23T15:50:00" u="1"/>
        <d v="2025-07-28T15:28:00" u="1"/>
        <d v="2025-07-25T16:07:00" u="1"/>
        <d v="2025-07-25T15:39:00" u="1"/>
        <d v="2025-07-24T13:40:00" u="1"/>
        <d v="2025-07-28T13:18:00" u="1"/>
        <d v="2025-07-28T13:06:00" u="1"/>
        <d v="2025-07-25T00:00:00" u="1"/>
        <d v="2025-07-28T10:55:00" u="1"/>
        <d v="2025-07-18T11:58:00" u="1"/>
        <d v="2025-07-25T09:25:00" u="1"/>
        <d v="2025-07-25T11:08:00" u="1"/>
        <d v="2025-07-09T15:00:00" u="1"/>
        <d v="2025-07-21T09:07:00" u="1"/>
        <d v="2025-07-09T13:12:00" u="1"/>
        <d v="2025-06-30T11:19:00" u="1"/>
        <d v="2025-07-01T10:31:00" u="1"/>
        <d v="2025-07-07T15:28:00" u="1"/>
        <d v="2025-06-25T13:37:00" u="1"/>
        <d v="2025-06-13T13:50:00" u="1"/>
        <d v="2025-06-04T08:17:00" u="1"/>
        <d v="2025-06-05T14:37:00" u="1"/>
        <d v="2025-06-06T13:41:00" u="1"/>
        <d v="2025-07-28T20:05:00" u="1"/>
        <d v="2025-07-25T13:44:00" u="1"/>
        <d v="2025-07-28T17:12:00" u="1"/>
        <d v="2025-07-28T11:21:00" u="1"/>
        <d v="2025-07-28T11:46:00" u="1"/>
        <d v="2025-07-28T10:26:00" u="1"/>
        <d v="2025-07-28T14:02:00" u="1"/>
        <d v="2025-06-10T15:50:00" u="1"/>
        <d v="2025-07-23T08:00:00" u="1"/>
        <d v="2025-07-07T10:56:00" u="1"/>
        <d v="2025-07-01T09:23:00" u="1"/>
        <d v="2025-07-11T13:34:00" u="1"/>
        <d v="2025-06-24T13:57:00" u="1"/>
        <d v="2025-07-24T11:46:00" u="1"/>
        <d v="2025-07-21T10:33:00" u="1"/>
        <d v="2025-07-22T11:51:00" u="1"/>
        <d v="2025-07-22T14:25:00" u="1"/>
        <d v="2025-07-22T15:32:00" u="1"/>
        <d v="2025-06-17T13:18:00" u="1"/>
        <d v="2025-07-28T13:50:00" u="1"/>
        <d v="2025-06-30T00:00:00" u="1"/>
        <d v="2025-07-10T15:16:00" u="1"/>
        <d v="2025-07-10T12:49:00" u="1"/>
        <d v="2025-07-03T16:12:00" u="1"/>
        <d v="2025-07-21T11:59:00" u="1"/>
        <d v="2025-06-25T08:43:00" u="1"/>
        <d v="2025-07-28T08:06:00" u="1"/>
        <d v="2025-07-25T10:24:00" u="1"/>
        <d v="2025-07-23T15:19:00" u="1"/>
        <d v="2025-07-28T14:31:00" u="1"/>
        <d v="2025-07-25T10:16:00" u="1"/>
        <d v="2025-07-22T08:16:00" u="1"/>
        <d v="2025-07-21T13:09:00" u="1"/>
        <d v="2025-07-28T08:24:00" u="1"/>
        <d v="2025-07-28T13:07:00" u="1"/>
        <d v="2025-07-25T09:23:00" u="1"/>
        <d v="2025-07-25T09:30:00" u="1"/>
        <d v="2025-04-29T06:25:00" u="1"/>
        <d v="2025-05-30T06:41:00" u="1"/>
        <d v="2025-07-08T12:38:00" u="1"/>
        <d v="2025-06-18T16:08:00" u="1"/>
        <d v="2025-06-10T10:03:00" u="1"/>
        <d v="2025-06-24T13:39:00" u="1"/>
        <d v="2025-06-25T09:28:00" u="1"/>
        <d v="2025-06-06T10:09:00" u="1"/>
        <d v="2025-06-20T00:00:00" u="1"/>
        <d v="2025-07-01T00:00:00" u="1"/>
        <d v="2025-07-02T08:55:00" u="1"/>
        <d v="2025-05-09T09:50:00" u="1"/>
        <d v="2025-05-06T16:05:00" u="1"/>
        <d v="2025-07-01T09:51:00" u="1"/>
        <d v="2025-07-22T14:04:00" u="1"/>
        <d v="2025-07-28T13:33:00" u="1"/>
        <d v="2025-07-14T15:20:00" u="1"/>
        <d v="2025-07-28T16:28:00" u="1"/>
        <d v="2025-06-16T11:12:00" u="1"/>
        <d v="2025-07-28T19:18:00" u="1"/>
        <d v="2025-07-10T18:34:00" u="1"/>
        <d v="2025-07-25T18:25:00" u="1"/>
        <d v="2025-06-23T10:17:00" u="1"/>
        <d v="2025-07-28T17:24:00" u="1"/>
        <d v="2025-05-06T09:00:00" u="1"/>
        <d v="2025-07-22T09:06:00" u="1"/>
        <d v="2025-06-09T12:23:00" u="1"/>
        <d v="2025-06-16T10:29:00" u="1"/>
        <d v="2025-06-16T18:25:00" u="1"/>
        <d v="2025-06-16T18:42:00" u="1"/>
        <d v="2025-06-18T11:01:00" u="1"/>
        <d v="2025-06-16T11:23:00" u="1"/>
        <d v="2025-07-24T17:38:00" u="1"/>
        <d v="2025-07-24T16:45:00" u="1"/>
        <d v="2025-07-22T12:07:00" u="1"/>
        <d v="2025-07-25T11:56:00" u="1"/>
        <d v="2025-07-25T16:51:00" u="1"/>
        <d v="2025-07-25T13:12:00" u="1"/>
        <d v="2025-07-25T19:05:00" u="1"/>
        <d v="2025-07-23T16:57:00" u="1"/>
        <d v="2025-07-24T16:51:00" u="1"/>
        <d v="2025-07-24T14:59:00" u="1"/>
        <d v="2025-07-24T16:13:00" u="1"/>
        <d v="2025-07-28T12:30:00" u="1"/>
        <d v="2025-07-28T19:43:00" u="1"/>
        <d v="2025-06-26T09:18:00" u="1"/>
        <d v="2025-07-25T14:26:00" u="1"/>
        <d v="2025-07-28T17:56:00" u="1"/>
        <d v="2025-07-28T14:09:00" u="1"/>
        <d v="2025-07-28T14:10:00" u="1"/>
        <d v="2025-07-28T14:07:00" u="1"/>
        <d v="2025-07-28T09:39:00" u="1"/>
        <d v="2025-07-25T16:30:00" u="1"/>
        <d v="2025-07-24T19:38:00" u="1"/>
        <d v="2025-07-25T20:09:00" u="1"/>
        <d v="2025-07-28T13:24:00" u="1"/>
        <d v="2025-07-28T14:27:00" u="1"/>
        <d v="2025-07-28T13:57:00" u="1"/>
        <d v="2025-07-25T12:48:00" u="1"/>
        <d v="2025-07-21T07:53:00" u="1"/>
        <d v="2025-07-21T07:46:00" u="1"/>
        <d v="2025-07-09T08:25:00" u="1"/>
        <d v="2025-07-09T08:23:00" u="1"/>
        <d v="2025-07-09T08:22:00" u="1"/>
        <d v="2025-07-09T08:21:00" u="1"/>
        <d v="2025-07-28T15:06:00" u="1"/>
        <d v="2025-06-06T10:40:00" u="1"/>
        <d v="2025-06-30T10:36:00" u="1"/>
        <d v="2025-06-17T16:25:00" u="1"/>
        <d v="2025-04-02T16:35:00" u="1"/>
        <d v="2025-07-18T07:23:00" u="1"/>
        <d v="2025-06-13T19:56:00" u="1"/>
        <d v="2025-04-19T00:37:00" u="1"/>
        <d v="2025-07-21T10:18:00" u="1"/>
        <d v="2025-07-25T13:29:00" u="1"/>
        <d v="2025-07-22T08:09:00" u="1"/>
        <d v="2025-07-21T15:33:00" u="1"/>
        <d v="2025-07-22T14:21:00" u="1"/>
        <d v="2025-07-22T14:29:00" u="1"/>
        <d v="2025-07-23T15:33:00" u="1"/>
        <d v="2025-06-11T09:04:00" u="1"/>
        <d v="2025-07-25T14:07:00" u="1"/>
        <d v="2025-07-25T14:16:00" u="1"/>
        <d v="2025-07-25T13:47:00" u="1"/>
        <d v="2025-07-28T16:15:00" u="1"/>
        <d v="2025-07-21T17:50:00" u="1"/>
        <d v="2025-07-28T22:52:00" u="1"/>
        <d v="2025-07-28T22:54:00" u="1"/>
        <d v="2025-07-28T14:49:00" u="1"/>
        <d v="2025-07-25T14:55:00" u="1"/>
        <d v="2025-07-25T12:21:00" u="1"/>
        <d v="2025-07-24T16:03:00" u="1"/>
        <d v="2025-07-21T08:45:00" u="1"/>
        <d v="2025-07-25T08:01:00" u="1"/>
        <d v="2025-07-10T09:30:00" u="1"/>
        <d v="2025-07-24T11:23:00" u="1"/>
        <d v="2025-07-27T17:41:00" u="1"/>
        <d v="2025-07-27T17:11:00" u="1"/>
        <d v="2025-07-25T09:36:00" u="1"/>
        <d v="2025-07-25T09:41:00" u="1"/>
        <d v="2025-07-25T08:55:00" u="1"/>
        <d v="2025-07-25T16:28:00" u="1"/>
        <d v="2025-07-22T12:39:00" u="1"/>
        <d v="2025-07-25T01:55:00" u="1"/>
        <d v="2025-07-25T03:17:00" u="1"/>
        <d v="2025-07-25T03:09:00" u="1"/>
        <d v="2025-07-25T05:43:00" u="1"/>
        <d v="2025-07-25T03:14:00" u="1"/>
        <d v="2025-07-25T05:27:00" u="1"/>
        <d v="2025-07-25T11:14:00" u="1"/>
        <d v="2025-07-25T01:48:00" u="1"/>
        <d v="2025-07-25T01:56:00" u="1"/>
        <d v="2025-07-26T09:28:00" u="1"/>
        <d v="2025-07-25T10:37:00" u="1"/>
        <d v="2025-07-26T10:13:00" u="1"/>
        <d v="2025-07-25T05:04:00" u="1"/>
        <d v="2025-07-25T03:33:00" u="1"/>
        <d v="2025-07-25T01:42:00" u="1"/>
        <d v="2025-07-25T07:59:00" u="1"/>
        <d v="2025-07-25T12:36:00" u="1"/>
        <d v="2025-07-25T04:32:00" u="1"/>
        <d v="2025-07-23T05:11:00" u="1"/>
        <d v="2025-07-25T07:41:00" u="1"/>
        <d v="2025-07-25T04:12:00" u="1"/>
        <d v="2025-07-25T12:07:00" u="1"/>
        <d v="2025-07-27T11:06:00" u="1"/>
        <d v="2025-07-26T11:29:00" u="1"/>
        <d v="2025-07-26T09:49:00" u="1"/>
        <d v="2025-07-27T07:00:00" u="1"/>
        <d v="2025-07-27T03:32:00" u="1"/>
        <d v="2025-07-26T04:14:00" u="1"/>
        <d v="2025-07-25T05:34:00" u="1"/>
        <d v="2025-07-25T06:22:00" u="1"/>
        <d v="2025-07-25T11:34:00" u="1"/>
        <d v="2025-07-25T10:35:00" u="1"/>
        <d v="2025-07-25T05:44:00" u="1"/>
        <d v="2025-07-25T00:02:00" u="1"/>
        <d v="2025-07-25T00:07:00" u="1"/>
        <d v="2025-07-25T09:29:00" u="1"/>
        <d v="2025-07-25T08:26:00" u="1"/>
        <d v="2025-07-25T14:59:00" u="1"/>
        <d v="2025-07-04T15:32:00" u="1"/>
        <d v="2025-07-07T09:55:00" u="1"/>
        <d v="2025-07-25T19:08:00" u="1"/>
        <d v="2025-07-24T13:03:00" u="1"/>
        <d v="2025-07-25T12:16:00" u="1"/>
        <d v="2025-07-25T16:40:00" u="1"/>
        <d v="2025-07-26T11:52:00" u="1"/>
        <d v="2025-07-25T15:52:00" u="1"/>
        <d v="2025-07-25T16:13:00" u="1"/>
        <d v="2025-07-25T16:35:00" u="1"/>
        <d v="2025-07-25T18:55:00" u="1"/>
        <d v="2025-07-25T17:47:00" u="1"/>
        <d v="2025-07-27T01:40:00" u="1"/>
        <d v="2025-07-25T11:04:00" u="1"/>
        <d v="2025-07-25T14:32:00" u="1"/>
        <d v="2025-07-25T10:11:00" u="1"/>
        <d v="2025-07-25T15:16:00" u="1"/>
        <d v="2025-07-04T15:53:00" u="1"/>
        <d v="2025-07-24T15:12:00" u="1"/>
        <d v="2025-07-25T12:05:00" u="1"/>
        <d v="2025-07-25T11:37:00" u="1"/>
        <d v="2025-07-25T10:30:00" u="1"/>
        <d v="2025-07-24T13:58:00" u="1"/>
        <d v="2025-07-14T15:34:00" u="1"/>
        <d v="2025-07-25T13:36:00" u="1"/>
        <d v="2025-07-25T14:48:00" u="1"/>
        <d v="2025-06-03T22:51:00" u="1"/>
        <d v="2025-07-11T00:00:00" u="1"/>
        <d v="2025-07-25T15:02:00" u="1"/>
        <d v="2025-07-25T15:00:00" u="1"/>
        <d v="2025-07-23T17:31:00" u="1"/>
        <d v="2025-07-25T11:48:00" u="1"/>
        <d v="2025-07-09T11:54:00" u="1"/>
        <d v="2025-07-10T13:19:00" u="1"/>
        <d v="2025-07-16T11:49:00" u="1"/>
        <d v="2025-07-25T11:19:00" u="1"/>
        <d v="2025-07-25T20:16:00" u="1"/>
        <d v="2025-07-25T17:36:00" u="1"/>
        <d v="2025-07-25T13:24:00" u="1"/>
        <d v="2025-07-25T09:58:00" u="1"/>
        <d v="2025-07-25T08:31:00" u="1"/>
        <d v="2025-07-26T00:08:00" u="1"/>
        <d v="2025-07-25T10:22:00" u="1"/>
        <d v="2025-07-23T10:35:00" u="1"/>
        <d v="2025-07-23T10:38:00" u="1"/>
        <d v="2025-07-24T14:55:00" u="1"/>
        <d v="2025-07-25T15:40:00" u="1"/>
        <d v="2025-07-04T08:40:00" u="1"/>
        <d v="2025-07-18T12:52:00" u="1"/>
        <d v="2025-07-18T11:15:00" u="1"/>
        <d v="2025-07-18T12:55:00" u="1"/>
        <d v="2025-07-18T13:04:00" u="1"/>
        <d v="2025-07-18T13:10:00" u="1"/>
        <d v="2025-07-24T18:00:00" u="1"/>
        <d v="2025-07-24T16:22:00" u="1"/>
        <d v="2025-07-24T15:16:00" u="1"/>
        <d v="2025-07-24T15:14:00" u="1"/>
        <d v="2025-07-24T09:21:00" u="1"/>
        <d v="2025-07-23T15:14:00" u="1"/>
        <d v="2025-07-24T15:20:00" u="1"/>
        <d v="2025-07-24T14:58:00" u="1"/>
        <d v="2025-07-24T15:54:00" u="1"/>
        <d v="2025-07-23T12:16:00" u="1"/>
        <d v="2025-07-02T16:26:00" u="1"/>
        <d v="2025-07-24T12:33:00" u="1"/>
        <d v="2025-07-24T18:19:00" u="1"/>
        <d v="2025-07-24T15:28:00" u="1"/>
        <d v="2025-07-23T07:04:00" u="1"/>
        <d v="2025-07-23T07:56:00" u="1"/>
        <d v="2025-07-21T10:37:00" u="1"/>
        <d v="2025-07-24T14:10:00" u="1"/>
        <d v="2025-07-24T15:52:00" u="1"/>
        <d v="2025-07-15T07:18:00" u="1"/>
        <d v="2025-07-21T14:21:00" u="1"/>
        <d v="2025-07-23T15:29:00" u="1"/>
        <d v="2025-07-01T09:42:00" u="1"/>
        <d v="2025-07-01T16:23:00" u="1"/>
        <d v="2025-07-23T18:53:00" u="1"/>
        <d v="2025-07-24T19:25:00" u="1"/>
        <d v="2025-07-13T21:54:00" u="1"/>
        <d v="2025-07-23T15:01:00" u="1"/>
        <d v="2025-07-23T15:08:00" u="1"/>
        <d v="2025-07-18T14:46:00" u="1"/>
        <d v="2025-07-18T14:51:00" u="1"/>
        <d v="2025-07-24T10:22:00" u="1"/>
        <d v="2025-07-24T14:21:00" u="1"/>
        <d v="2025-07-24T14:23:00" u="1"/>
        <d v="2025-07-24T14:25:00" u="1"/>
        <d v="2025-07-24T14:27:00" u="1"/>
        <d v="2025-07-24T14:29:00" u="1"/>
        <d v="2025-07-24T14:31:00" u="1"/>
        <d v="2025-07-24T13:28:00" u="1"/>
        <d v="2025-07-24T13:33:00" u="1"/>
        <d v="2025-07-24T13:44:00" u="1"/>
        <d v="2025-07-17T17:40:00" u="1"/>
        <d v="2025-07-17T09:12:00" u="1"/>
        <d v="2025-07-24T06:34:00" u="1"/>
        <d v="2025-07-24T07:24:00" u="1"/>
        <d v="2025-07-24T06:46:00" u="1"/>
        <d v="2025-07-24T07:03:00" u="1"/>
        <d v="2025-07-02T09:04:00" u="1"/>
        <d v="2025-06-13T08:15:00" u="1"/>
        <d v="2025-07-24T01:52:00" u="1"/>
        <d v="2025-07-24T06:20:00" u="1"/>
        <d v="2025-07-24T07:54:00" u="1"/>
        <d v="2025-07-24T10:12:00" u="1"/>
        <d v="2025-07-24T17:21:00" u="1"/>
        <d v="2025-07-03T15:21:00" u="1"/>
        <d v="2025-07-24T12:58:00" u="1"/>
        <d v="2025-07-14T18:30:00" u="1"/>
        <d v="2025-07-16T19:38:00" u="1"/>
        <d v="2025-07-24T10:59:00" u="1"/>
        <d v="2025-07-24T11:06:00" u="1"/>
        <d v="2025-07-24T12:40:00" u="1"/>
        <d v="2025-07-24T05:17:00" u="1"/>
        <d v="2025-07-17T19:31:00" u="1"/>
        <d v="2025-07-18T12:09:00" u="1"/>
        <d v="2025-07-16T10:15:00" u="1"/>
        <d v="2025-07-24T03:26:00" u="1"/>
        <d v="2025-07-24T12:49:00" u="1"/>
        <d v="2025-07-24T11:34:00" u="1"/>
        <d v="2025-07-24T05:32:00" u="1"/>
        <d v="2025-07-24T09:35:00" u="1"/>
        <d v="2025-07-24T01:37:00" u="1"/>
        <d v="2025-07-24T05:56:00" u="1"/>
        <d v="2025-07-24T12:28:00" u="1"/>
        <d v="2025-07-24T14:09:00" u="1"/>
        <d v="2025-07-24T14:50:00" u="1"/>
        <d v="2025-07-24T08:34:00" u="1"/>
        <d v="2025-07-02T11:00:00" u="1"/>
        <d v="2025-07-01T13:11:00" u="1"/>
        <d v="2025-07-14T00:00:00" u="1"/>
        <d v="2025-07-16T11:33:00" u="1"/>
        <d v="2025-07-16T12:39:00" u="1"/>
        <d v="2025-07-24T10:23:00" u="1"/>
        <d v="2025-06-26T18:00:00" u="1"/>
        <d v="2025-07-02T18:00:00" u="1"/>
        <d v="2025-07-24T09:36:00" u="1"/>
        <d v="2025-07-24T09:37:00" u="1"/>
        <d v="2025-05-16T10:48:00" u="1"/>
        <d v="2025-07-23T13:37:00" u="1"/>
        <d v="2025-07-24T08:53:00" u="1"/>
        <d v="2025-07-24T04:33:00" u="1"/>
        <d v="2025-07-24T12:23:00" u="1"/>
        <d v="2025-07-17T19:26:00" u="1"/>
        <d v="2025-07-24T03:37:00" u="1"/>
        <d v="2025-07-24T08:52:00" u="1"/>
        <d v="2025-07-24T05:54:00" u="1"/>
        <d v="2025-07-24T02:20:00" u="1"/>
        <d v="2025-07-24T03:47:00" u="1"/>
        <d v="2025-07-24T03:58:00" u="1"/>
        <d v="2025-07-24T03:09:00" u="1"/>
        <d v="2025-07-24T05:00:00" u="1"/>
        <d v="2025-07-24T04:21:00" u="1"/>
        <d v="2025-07-24T10:26:00" u="1"/>
        <d v="2025-07-09T13:34:00" u="1"/>
        <d v="2025-07-24T09:09:00" u="1"/>
        <d v="2025-07-24T05:28:00" u="1"/>
        <d v="2025-07-01T13:43:00" u="1"/>
        <d v="2025-06-17T11:30:00" u="1"/>
        <d v="2025-07-18T10:02:00" u="1"/>
        <d v="2025-06-05T16:58:00" u="1"/>
        <d v="2025-07-24T08:13:00" u="1"/>
        <d v="2025-07-24T15:44:00" u="1"/>
        <d v="2025-07-10T17:30:00" u="1"/>
        <d v="2025-07-22T16:22:00" u="1"/>
        <d v="2025-07-23T16:12:00" u="1"/>
        <d v="2025-07-23T15:49:00" u="1"/>
        <d v="2025-07-23T15:48:00" u="1"/>
        <d v="2025-07-22T19:12:00" u="1"/>
        <d v="2025-07-23T11:57:00" u="1"/>
        <d v="2025-07-23T10:27:00" u="1"/>
        <d v="2025-07-23T13:44:00" u="1"/>
        <d v="2025-07-23T15:04:00" u="1"/>
        <d v="2025-07-15T13:06:00" u="1"/>
        <d v="2025-07-18T12:31:00" u="1"/>
        <d v="2025-07-22T16:37:00" u="1"/>
        <d v="2025-07-23T16:39:00" u="1"/>
        <d v="2025-07-23T18:00:00" u="1"/>
        <d v="2025-07-22T17:50:00" u="1"/>
        <d v="2025-07-22T12:57:00" u="1"/>
        <d v="2025-07-22T15:14:00" u="1"/>
        <d v="2025-05-28T17:49:00" u="1"/>
        <d v="2025-07-23T12:29:00" u="1"/>
        <d v="2025-07-23T12:23:00" u="1"/>
        <d v="2025-07-22T10:34:00" u="1"/>
        <d v="2025-07-22T09:40:00" u="1"/>
        <d v="2025-07-23T15:57:00" u="1"/>
        <d v="2025-07-22T09:41:00" u="1"/>
        <d v="2025-07-22T11:07:00" u="1"/>
        <d v="2025-07-22T11:52:00" u="1"/>
        <d v="2025-07-22T09:17:00" u="1"/>
        <d v="2025-07-14T18:10:00" u="1"/>
        <d v="2025-07-22T16:39:00" u="1"/>
        <d v="2025-07-22T10:30:00" u="1"/>
        <d v="2025-07-20T11:23:00" u="1"/>
        <d v="2025-07-22T10:38:00" u="1"/>
        <d v="2025-07-21T15:34:00" u="1"/>
        <d v="2025-07-22T15:54:00" u="1"/>
        <d v="2025-07-23T10:53:00" u="1"/>
        <d v="2025-07-23T13:54:00" u="1"/>
        <d v="2025-07-17T13:47:00" u="1"/>
        <d v="2025-07-17T10:14:00" u="1"/>
        <d v="2025-07-22T09:49:00" u="1"/>
        <d v="2025-07-23T10:22:00" u="1"/>
        <d v="2025-07-23T08:23:00" u="1"/>
        <d v="2025-07-22T17:32:00" u="1"/>
        <d v="2025-07-22T17:21:00" u="1"/>
        <d v="2025-07-22T17:20:00" u="1"/>
        <d v="2025-07-21T21:54:00" u="1"/>
        <d v="2025-07-18T14:53:00" u="1"/>
        <d v="2025-07-04T10:19:00" u="1"/>
        <d v="2025-07-21T16:10:00" u="1"/>
        <d v="2025-07-21T16:14:00" u="1"/>
        <d v="2025-07-18T11:52:00" u="1"/>
        <d v="2025-07-18T11:46:00" u="1"/>
        <d v="2025-07-15T09:25:00" u="1"/>
        <d v="2025-07-17T09:39:00" u="1"/>
        <d v="2025-07-15T14:24:00" u="1"/>
        <d v="2025-07-14T14:50:00" u="1"/>
        <d v="2025-07-14T09:26:00" u="1"/>
        <d v="2025-07-22T17:26:00" u="1"/>
        <d v="2025-07-22T17:23:00" u="1"/>
        <d v="2025-07-21T17:03:00" u="1"/>
        <d v="2025-07-21T15:13:00" u="1"/>
        <d v="2025-07-22T16:53:00" u="1"/>
        <d v="2025-07-23T16:47:00" u="1"/>
        <d v="2025-07-23T13:21:00" u="1"/>
        <d v="2025-07-17T17:50:00" u="1"/>
        <d v="2025-07-18T18:06:00" u="1"/>
        <d v="2025-07-17T18:16:00" u="1"/>
        <d v="2025-07-23T10:36:00" u="1"/>
        <d v="2025-07-23T10:47:00" u="1"/>
        <d v="2025-07-22T09:43:00" u="1"/>
        <d v="2025-07-23T17:48:00" u="1"/>
        <d v="2025-07-23T17:55:00" u="1"/>
        <d v="2025-07-23T12:28:00" u="1"/>
        <d v="2025-07-23T18:24:00" u="1"/>
        <d v="2025-07-22T23:39:00" u="1"/>
        <d v="2025-07-22T23:38:00" u="1"/>
        <d v="2025-07-23T10:05:00" u="1"/>
        <d v="2025-07-23T10:37:00" u="1"/>
        <d v="2025-07-23T16:01:00" u="1"/>
        <d v="2025-07-23T18:54:00" u="1"/>
        <d v="2025-07-23T18:32:00" u="1"/>
        <d v="2025-07-18T14:57:00" u="1"/>
        <d v="2025-07-23T13:31:00" u="1"/>
        <d v="2025-07-23T13:32:00" u="1"/>
        <d v="2025-07-22T19:00:00" u="1"/>
        <d v="2025-07-16T12:28:00" u="1"/>
        <d v="2025-07-23T19:01:00" u="1"/>
        <d v="2025-07-23T08:10:00" u="1"/>
        <d v="2025-07-22T18:14:00" u="1"/>
        <d v="2025-07-23T15:41:00" u="1"/>
        <d v="2025-07-23T19:02:00" u="1"/>
        <d v="2025-07-22T14:46:00" u="1"/>
        <d v="2025-07-23T15:39:00" u="1"/>
        <d v="2025-07-22T19:36:00" u="1"/>
        <d v="2025-07-22T17:22:00" u="1"/>
        <d v="2025-07-22T17:45:00" u="1"/>
        <d v="2025-07-22T15:56:00" u="1"/>
        <d v="2025-07-23T16:08:00" u="1"/>
        <d v="2025-07-23T14:57:00" u="1"/>
        <d v="2025-07-23T14:47:00" u="1"/>
        <d v="2025-07-22T10:23:00" u="1"/>
        <d v="2025-07-22T20:04:00" u="1"/>
        <d v="2025-05-08T20:04:00" u="1"/>
        <d v="2025-07-23T07:01:00" u="1"/>
        <d v="2025-07-23T06:53:00" u="1"/>
        <d v="2025-07-23T06:58:00" u="1"/>
        <d v="2025-07-23T10:50:00" u="1"/>
        <d v="2025-07-23T02:37:00" u="1"/>
        <d v="2025-07-16T16:40:00" u="1"/>
        <d v="2025-07-16T12:49:00" u="1"/>
        <d v="2025-07-16T13:38:00" u="1"/>
        <d v="2025-07-23T04:37:00" u="1"/>
        <d v="2025-07-23T10:52:00" u="1"/>
        <d v="2025-07-23T10:49:00" u="1"/>
        <d v="2025-07-23T06:04:00" u="1"/>
        <d v="2025-07-23T10:43:00" u="1"/>
        <d v="2025-07-23T08:36:00" u="1"/>
        <d v="2025-07-23T10:48:00" u="1"/>
        <d v="2025-07-23T11:14:00" u="1"/>
        <d v="2025-07-22T11:26:00" u="1"/>
        <d v="2025-07-23T11:15:00" u="1"/>
        <d v="2025-07-21T10:38:00" u="1"/>
        <d v="2025-07-23T10:16:00" u="1"/>
        <d v="2025-07-23T10:21:00" u="1"/>
        <d v="2025-07-23T15:06:00" u="1"/>
        <d v="2025-07-23T14:52:00" u="1"/>
        <d v="2025-06-27T12:58:00" u="1"/>
        <d v="2025-07-23T15:10:00" u="1"/>
        <d v="2025-07-23T15:09:00" u="1"/>
        <d v="2025-07-23T16:06:00" u="1"/>
        <d v="2025-07-15T16:00:00" u="1"/>
        <d v="2025-07-23T06:32:00" u="1"/>
        <d v="2025-06-27T11:18:00" u="1"/>
        <d v="2025-07-23T15:51:00" u="1"/>
        <d v="2025-07-23T09:09:00" u="1"/>
        <d v="2025-07-23T13:39:00" u="1"/>
        <d v="2025-07-15T14:59:00" u="1"/>
        <d v="2025-07-01T09:43:00" u="1"/>
        <d v="2025-07-18T21:21:00" u="1"/>
        <d v="2025-07-23T07:00:00" u="1"/>
        <d v="2025-07-23T02:32:00" u="1"/>
        <d v="2025-07-18T18:00:00" u="1"/>
        <d v="2025-07-23T09:36:00" u="1"/>
        <d v="2025-07-23T09:39:00" u="1"/>
        <d v="2025-07-23T09:41:00" u="1"/>
        <d v="2025-07-23T08:54:00" u="1"/>
        <d v="2025-07-23T04:36:00" u="1"/>
        <d v="2025-07-23T03:55:00" u="1"/>
        <d v="2025-07-23T08:26:00" u="1"/>
        <d v="2025-07-23T08:38:00" u="1"/>
        <d v="2025-07-23T06:06:00" u="1"/>
        <d v="2025-07-23T04:22:00" u="1"/>
        <d v="2025-07-23T06:50:00" u="1"/>
        <d v="2025-07-23T02:46:00" u="1"/>
        <d v="2025-07-23T05:26:00" u="1"/>
        <d v="2025-07-23T11:54:00" u="1"/>
        <d v="2025-07-23T10:39:00" u="1"/>
        <d v="2025-07-23T12:12:00" u="1"/>
        <d v="2025-07-22T12:08:00" u="1"/>
        <d v="2025-07-23T16:54:00" u="1"/>
        <d v="2025-07-23T15:38:00" u="1"/>
        <d v="2025-07-22T02:39:00" u="1"/>
        <d v="2025-07-22T06:50:00" u="1"/>
        <d v="2025-07-23T10:12:00" u="1"/>
        <d v="2025-07-23T03:50:00" u="1"/>
        <d v="2025-07-23T10:29:00" u="1"/>
        <d v="2025-07-23T03:43:00" u="1"/>
        <d v="2025-07-23T11:30:00" u="1"/>
        <d v="2025-07-23T14:58:00" u="1"/>
        <d v="2025-06-14T18:20:00" u="1"/>
        <d v="2025-07-07T17:37:00" u="1"/>
        <d v="2025-07-16T18:14:00" u="1"/>
        <d v="2025-06-08T06:20:00" u="1"/>
        <d v="2025-07-08T10:21:00" u="1"/>
        <d v="2025-07-21T19:05:00" u="1"/>
        <d v="2025-07-15T14:48:00" u="1"/>
        <d v="2025-07-22T07:17:00" u="1"/>
        <d v="2025-07-22T16:03:00" u="1"/>
        <d v="2025-07-22T16:06:00" u="1"/>
        <d v="2025-07-22T16:19:00" u="1"/>
        <d v="2025-07-21T15:38:00" u="1"/>
        <d v="2025-07-22T14:31:00" u="1"/>
        <d v="2025-07-22T14:44:00" u="1"/>
        <d v="2025-07-22T14:41:00" u="1"/>
        <d v="2025-07-17T11:38:00" u="1"/>
        <d v="2025-07-22T10:20:00" u="1"/>
        <d v="2025-07-22T10:44:00" u="1"/>
        <d v="2025-07-22T14:19:00" u="1"/>
        <d v="2025-07-22T17:49:00" u="1"/>
        <d v="2025-07-21T15:06:00" u="1"/>
        <d v="2025-07-22T13:11:00" u="1"/>
        <d v="2025-07-22T14:18:00" u="1"/>
        <d v="2025-07-22T09:39:00" u="1"/>
        <d v="2025-07-22T08:31:00" u="1"/>
        <d v="2025-07-21T07:51:00" u="1"/>
        <d v="2025-07-18T18:40:00" u="1"/>
        <d v="2025-07-19T20:15:00" u="1"/>
        <d v="2025-07-22T14:56:00" u="1"/>
        <d v="2025-07-22T18:50:00" u="1"/>
        <d v="2025-07-22T11:47:00" u="1"/>
        <d v="2025-07-22T04:43:00" u="1"/>
        <d v="2025-07-22T04:02:00" u="1"/>
        <d v="2025-07-22T09:55:00" u="1"/>
        <d v="2025-07-22T08:28:00" u="1"/>
        <d v="2025-07-22T08:38:00" u="1"/>
        <d v="2025-07-22T03:02:00" u="1"/>
        <d v="2025-07-22T01:56:00" u="1"/>
        <d v="2025-07-22T18:44:00" u="1"/>
        <d v="2025-07-17T11:34:00" u="1"/>
        <d v="2025-07-22T09:31:00" u="1"/>
        <d v="2025-07-22T09:50:00" u="1"/>
        <d v="2025-07-22T09:23:00" u="1"/>
        <d v="2025-07-22T09:26:00" u="1"/>
        <d v="2025-07-22T09:29:00" u="1"/>
        <d v="2025-07-07T08:49:00" u="1"/>
        <d v="2025-07-22T07:15:00" u="1"/>
        <d v="2025-07-18T07:35:00" u="1"/>
        <d v="2025-07-22T10:00:00" u="1"/>
        <d v="2025-07-22T06:13:00" u="1"/>
        <d v="2025-07-18T16:50:00" u="1"/>
        <d v="2025-07-22T12:36:00" u="1"/>
        <d v="2025-07-01T11:42:00" u="1"/>
        <d v="2025-07-22T08:06:00" u="1"/>
        <d v="2025-07-22T09:57:00" u="1"/>
        <d v="2025-07-21T11:53:00" u="1"/>
        <d v="2025-07-21T01:43:00" u="1"/>
        <d v="2025-03-17T13:10:00" u="1"/>
        <d v="2025-07-22T03:53:00" u="1"/>
        <d v="2025-07-22T01:25:00" u="1"/>
        <d v="2025-07-22T04:45:00" u="1"/>
        <d v="2025-07-22T07:29:00" u="1"/>
        <d v="2025-07-22T11:36:00" u="1"/>
        <d v="2025-07-22T12:38:00" u="1"/>
        <d v="2025-07-22T09:02:00" u="1"/>
        <d v="2025-07-21T17:00:00" u="1"/>
        <d v="2025-07-07T15:24:00" u="1"/>
        <d v="2025-07-07T15:40:00" u="1"/>
        <d v="2025-07-22T07:00:00" u="1"/>
        <d v="2025-06-12T13:53:00" u="1"/>
        <d v="2025-07-22T05:06:00" u="1"/>
        <d v="2025-07-22T01:36:00" u="1"/>
        <d v="2025-07-22T12:10:00" u="1"/>
        <d v="2025-07-22T12:28:00" u="1"/>
        <d v="2025-07-22T08:41:00" u="1"/>
        <d v="2025-07-14T12:05:00" u="1"/>
        <d v="2025-05-27T15:57:00" u="1"/>
        <d v="2025-07-22T10:45:00" u="1"/>
        <d v="2025-07-16T12:07:00" u="1"/>
        <d v="2025-07-22T13:32:00" u="1"/>
        <d v="2025-07-17T15:32:00" u="1"/>
        <d v="2025-07-17T15:34:00" u="1"/>
        <d v="2025-07-15T14:40:00" u="1"/>
        <d v="2025-07-18T14:55:00" u="1"/>
        <d v="2025-07-16T10:37:00" u="1"/>
        <d v="2025-07-21T11:58:00" u="1"/>
        <d v="2025-07-21T09:54:00" u="1"/>
        <d v="2025-07-20T23:56:00" u="1"/>
        <d v="2025-07-18T16:48:00" u="1"/>
        <d v="2025-07-18T15:45:00" u="1"/>
        <d v="2025-07-18T15:10:00" u="1"/>
        <d v="2025-07-18T14:28:00" u="1"/>
        <d v="2025-07-21T17:43:00" u="1"/>
        <d v="2025-07-18T16:49:00" u="1"/>
        <d v="2025-07-18T12:46:00" u="1"/>
        <d v="2025-07-18T17:31:00" u="1"/>
        <d v="2025-07-21T11:22:00" u="1"/>
        <d v="2025-07-16T17:27:00" u="1"/>
        <d v="2025-07-21T14:28:00" u="1"/>
        <d v="2025-07-21T16:08:00" u="1"/>
        <d v="2025-07-21T09:17:00" u="1"/>
        <d v="2025-07-21T12:07:00" u="1"/>
        <d v="2025-07-21T11:24:00" u="1"/>
        <d v="2025-07-21T14:36:00" u="1"/>
        <d v="2025-07-17T09:43:00" u="1"/>
        <d v="2025-07-17T02:43:00" u="1"/>
        <d v="2025-07-21T06:45:00" u="1"/>
        <d v="2025-07-21T09:26:00" u="1"/>
        <d v="2025-07-21T08:31:00" u="1"/>
        <d v="2025-07-21T15:59:00" u="1"/>
        <d v="2025-07-18T10:22:00" u="1"/>
        <d v="2025-07-18T10:21:00" u="1"/>
        <d v="2025-07-18T12:39:00" u="1"/>
        <d v="2025-07-21T14:22:00" u="1"/>
        <d v="2025-07-17T08:08:00" u="1"/>
        <d v="2025-07-19T08:27:00" u="1"/>
        <d v="2025-07-18T17:20:00" u="1"/>
        <d v="2025-07-15T14:07:00" u="1"/>
        <d v="2025-07-15T17:08:00" u="1"/>
        <d v="2025-07-15T08:32:00" u="1"/>
        <d v="2025-07-21T14:34:00" u="1"/>
        <d v="2025-07-21T19:24:00" u="1"/>
        <d v="2025-07-15T11:30:00" u="1"/>
        <d v="2025-07-21T15:39:00" u="1"/>
        <d v="2025-07-18T13:50:00" u="1"/>
        <d v="2025-07-18T14:25:00" u="1"/>
        <d v="2025-07-17T14:10:00" u="1"/>
        <d v="2025-07-17T14:34:00" u="1"/>
        <d v="2025-07-21T14:29:00" u="1"/>
        <d v="2025-07-17T06:33:00" u="1"/>
        <d v="2025-07-17T13:12:00" u="1"/>
        <d v="2025-07-17T13:20:00" u="1"/>
        <d v="2025-07-18T15:11:00" u="1"/>
        <d v="2025-07-07T15:00:00" u="1"/>
        <d v="2025-07-17T07:48:00" u="1"/>
        <d v="2025-07-18T16:34:00" u="1"/>
        <d v="2025-07-11T15:32:00" u="1"/>
        <d v="2025-07-21T19:42:00" u="1"/>
        <d v="2025-07-18T15:09:00" u="1"/>
        <d v="2025-07-21T09:58:00" u="1"/>
        <d v="2025-07-18T12:42:00" u="1"/>
        <d v="2025-07-08T11:42:00" u="1"/>
        <d v="2025-07-08T11:21:00" u="1"/>
        <d v="2025-07-15T11:43:00" u="1"/>
        <d v="2025-07-08T11:28:00" u="1"/>
        <d v="2025-07-09T12:10:00" u="1"/>
        <d v="2025-07-21T10:15:00" u="1"/>
        <d v="2025-07-15T11:58:00" u="1"/>
        <d v="2025-07-15T12:28:00" u="1"/>
        <d v="2025-07-17T10:45:00" u="1"/>
        <d v="2025-07-17T12:31:00" u="1"/>
        <d v="2025-07-21T14:32:00" u="1"/>
        <d v="2025-07-21T14:26:00" u="1"/>
        <d v="2025-07-21T14:23:00" u="1"/>
        <d v="2025-07-21T11:41:00" u="1"/>
        <d v="2025-07-21T10:39:00" u="1"/>
        <d v="2025-07-17T17:16:00" u="1"/>
        <d v="2025-07-17T17:14:00" u="1"/>
        <d v="2025-07-21T11:30:00" u="1"/>
        <d v="2025-07-21T18:05:00" u="1"/>
        <d v="2025-07-21T17:16:00" u="1"/>
        <d v="2025-07-18T11:06:00" u="1"/>
        <d v="2025-07-18T11:07:00" u="1"/>
        <d v="2025-07-21T14:53:00" u="1"/>
        <d v="2025-07-21T09:36:00" u="1"/>
        <d v="2025-07-21T12:30:00" u="1"/>
        <d v="2025-07-21T16:42:00" u="1"/>
        <d v="2025-07-21T18:19:00" u="1"/>
        <d v="2025-07-18T13:47:00" u="1"/>
        <d v="2025-07-17T11:31:00" u="1"/>
        <d v="2025-07-15T14:15:00" u="1"/>
        <d v="2025-07-15T14:14:00" u="1"/>
        <d v="2025-07-15T09:53:00" u="1"/>
        <d v="2025-07-20T18:23:00" u="1"/>
        <d v="2025-07-21T09:09:00" u="1"/>
        <d v="2025-07-17T10:38:00" u="1"/>
        <d v="2025-07-16T15:28:00" u="1"/>
        <d v="2025-07-15T08:40:00" u="1"/>
        <d v="2025-07-21T10:22:00" u="1"/>
        <d v="2025-07-21T10:05:00" u="1"/>
        <d v="2025-07-21T10:12:00" u="1"/>
        <d v="2025-07-21T09:51:00" u="1"/>
        <d v="2025-07-21T09:53:00" u="1"/>
        <d v="2025-07-21T09:55:00" u="1"/>
        <d v="2025-07-21T09:56:00" u="1"/>
        <d v="2025-07-21T10:00:00" u="1"/>
        <d v="2025-07-21T10:02:00" u="1"/>
        <d v="2025-07-21T10:04:00" u="1"/>
        <d v="2025-07-18T14:36:00" u="1"/>
        <d v="2025-07-21T08:58:00" u="1"/>
        <d v="2025-06-27T15:03:00" u="1"/>
        <d v="2025-07-21T10:14:00" u="1"/>
        <d v="2025-07-18T16:38:00" u="1"/>
        <d v="2025-07-21T12:23:00" u="1"/>
        <d v="2025-07-21T12:39:00" u="1"/>
        <d v="2025-07-21T12:22:00" u="1"/>
        <d v="2025-07-21T16:51:00" u="1"/>
        <d v="2025-07-18T15:15:00" u="1"/>
        <d v="2025-07-19T09:11:00" u="1"/>
        <d v="2025-07-19T14:49:00" u="1"/>
        <d v="2025-07-18T10:33:00" u="1"/>
        <d v="2025-07-18T17:56:00" u="1"/>
        <d v="2025-07-21T11:50:00" u="1"/>
        <d v="2025-07-21T11:17:00" u="1"/>
        <d v="2025-07-21T13:21:00" u="1"/>
        <d v="2025-07-21T11:47:00" u="1"/>
        <d v="2025-07-15T18:42:00" u="1"/>
        <d v="2025-07-15T21:16:00" u="1"/>
        <d v="2025-07-16T12:44:00" u="1"/>
        <d v="2025-06-25T18:28:00" u="1"/>
        <d v="2025-07-11T16:14:00" u="1"/>
        <d v="2025-07-13T15:01:00" u="1"/>
        <d v="2025-06-30T14:40:00" u="1"/>
        <d v="2025-07-02T10:37:00" u="1"/>
        <d v="2025-07-16T18:16:00" u="1"/>
        <d v="2025-07-17T18:46:00" u="1"/>
        <d v="2025-07-17T17:38:00" u="1"/>
        <d v="2025-07-15T07:41:00" u="1"/>
        <d v="2025-07-21T19:12:00" u="1"/>
        <d v="2025-07-10T15:51:00" u="1"/>
        <d v="2025-07-21T06:08:00" u="1"/>
        <d v="2025-07-21T06:15:00" u="1"/>
        <d v="2025-07-21T09:29:00" u="1"/>
        <d v="2025-07-21T04:56:00" u="1"/>
        <d v="2025-07-21T03:17:00" u="1"/>
        <d v="2025-07-16T15:31:00" u="1"/>
        <d v="2025-07-18T17:29:00" u="1"/>
        <d v="2025-07-13T15:45:00" u="1"/>
        <d v="2025-05-25T21:49:00" u="1"/>
        <d v="2025-07-10T11:42:00" u="1"/>
        <d v="2025-07-21T15:18:00" u="1"/>
        <d v="2025-07-21T03:49:00" u="1"/>
        <d v="2025-07-14T15:43:00" u="1"/>
        <d v="2025-07-09T11:37:00" u="1"/>
        <d v="2025-07-21T11:14:00" u="1"/>
        <d v="2025-07-18T15:35:00" u="1"/>
        <d v="2025-07-19T15:40:00" u="1"/>
        <d v="2025-07-21T14:44:00" u="1"/>
        <d v="2025-07-21T14:49:00" u="1"/>
        <d v="2025-07-21T02:49:00" u="1"/>
        <d v="2025-07-21T07:56:00" u="1"/>
        <d v="2025-07-21T09:42:00" u="1"/>
        <d v="2025-07-21T11:36:00" u="1"/>
        <d v="2025-07-21T02:05:00" u="1"/>
        <d v="2025-07-21T10:29:00" u="1"/>
        <d v="2025-07-21T10:17:00" u="1"/>
        <d v="2025-07-21T03:05:00" u="1"/>
        <d v="2025-07-21T04:51:00" u="1"/>
        <d v="2025-07-21T02:52:00" u="1"/>
        <d v="2025-07-21T03:19:00" u="1"/>
        <d v="2025-07-19T11:15:00" u="1"/>
        <d v="2025-07-21T08:50:00" u="1"/>
        <d v="2025-07-16T10:00:00" u="1"/>
        <d v="2025-07-11T09:15:00" u="1"/>
        <d v="2025-07-16T11:18:00" u="1"/>
        <d v="2025-07-21T15:08:00" u="1"/>
        <d v="2025-06-02T12:01:00" u="1"/>
        <d v="2025-07-21T16:30:00" u="1"/>
        <d v="2025-07-21T20:52:00" u="1"/>
        <d v="2025-07-21T16:12:00" u="1"/>
        <d v="2025-07-18T17:24:00" u="1"/>
        <d v="2025-07-07T23:15:00" u="1"/>
        <d v="2025-07-07T22:05:00" u="1"/>
        <d v="2025-07-07T22:00:00" u="1"/>
        <d v="2025-07-08T13:54:00" u="1"/>
        <d v="2025-07-01T11:47:00" u="1"/>
        <d v="2025-05-06T09:09:00" u="1"/>
        <d v="2025-05-06T09:06:00" u="1"/>
        <d v="2025-05-02T13:07:00" u="1"/>
        <d v="2025-06-27T11:46:00" u="1"/>
        <d v="2025-05-15T12:09:00" u="1"/>
        <d v="2025-03-28T18:03:00" u="1"/>
        <d v="2025-07-21T10:11:00" u="1"/>
        <d v="2025-07-02T14:05:00" u="1"/>
        <d v="2025-07-11T15:14:00" u="1"/>
        <d v="2025-07-08T10:08:00" u="1"/>
        <d v="2025-06-23T17:04:00" u="1"/>
        <d v="2025-06-27T11:36:00" u="1"/>
        <d v="2025-07-20T06:24:00" u="1"/>
        <d v="2025-07-20T11:34:00" u="1"/>
        <d v="2025-07-20T08:47:00" u="1"/>
        <d v="2025-07-20T08:53:00" u="1"/>
        <d v="2025-07-21T05:23:00" u="1"/>
        <d v="2025-07-20T15:29:00" u="1"/>
        <d v="2025-07-21T04:15:00" u="1"/>
        <d v="2025-06-25T06:36:00" u="1"/>
        <d v="2025-05-15T10:31:00" u="1"/>
        <d v="2025-05-07T14:41:00" u="1"/>
        <d v="2025-05-18T12:25:00" u="1"/>
        <d v="2025-07-17T07:31:00" u="1"/>
        <d v="2025-07-17T08:05:00" u="1"/>
        <d v="2025-07-21T18:35:00" u="1"/>
        <d v="2025-03-26T17:51:00" u="1"/>
        <d v="2025-07-21T18:36:00" u="1"/>
        <d v="2025-05-06T17:07:00" u="1"/>
        <d v="2025-07-21T14:30:00" u="1"/>
        <d v="2025-06-24T11:20:00" u="1"/>
        <d v="2025-04-17T18:38:00" u="1"/>
        <d v="2025-06-27T10:38:00" u="1"/>
        <d v="2025-07-01T20:05:00" u="1"/>
        <d v="2025-07-21T12:00:00" u="1"/>
        <d v="2025-07-21T14:25:00" u="1"/>
        <d v="2025-06-13T16:10:00" u="1"/>
        <d v="2025-07-07T17:03:00" u="1"/>
        <d v="2025-07-07T16:42:00" u="1"/>
        <d v="2025-07-02T12:35:00" u="1"/>
        <d v="2025-07-03T11:36:00" u="1"/>
        <d v="2025-06-02T14:03:00" u="1"/>
        <d v="2025-06-13T16:03:00" u="1"/>
        <d v="2025-07-02T16:46:00" u="1"/>
        <d v="2025-07-16T21:23:00" u="1"/>
        <d v="2025-07-04T11:55:00" u="1"/>
        <d v="2024-11-13T13:33:00" u="1"/>
        <d v="2024-11-19T06:27:00" u="1"/>
        <d v="2025-07-18T17:17:00" u="1"/>
        <d v="2025-06-18T08:41:00" u="1"/>
        <d v="2025-04-07T13:41:00" u="1"/>
        <d v="2025-07-17T17:45:00" u="1"/>
        <d v="2025-07-18T17:26:00" u="1"/>
        <d v="2025-06-30T13:05:00" u="1"/>
        <d v="2025-07-14T11:50:00" u="1"/>
        <d v="2025-07-16T15:22:00" u="1"/>
        <d v="2025-07-16T19:12:00" u="1"/>
        <d v="2025-07-17T15:13:00" u="1"/>
        <d v="2025-07-18T09:02:00" u="1"/>
        <d v="2025-07-02T13:40:00" u="1"/>
        <d v="2025-07-18T10:47:00" u="1"/>
        <d v="2025-07-15T12:17:00" u="1"/>
        <d v="2025-07-03T20:05:00" u="1"/>
        <d v="2025-07-08T13:01:00" u="1"/>
        <d v="2025-07-18T16:47:00" u="1"/>
        <d v="2025-07-16T18:40:00" u="1"/>
        <d v="2025-07-16T16:58:00" u="1"/>
        <d v="2025-07-16T11:02:00" u="1"/>
        <d v="2025-07-16T15:42:00" u="1"/>
        <d v="2025-07-18T17:36:00" u="1"/>
        <d v="2025-07-18T11:20:00" u="1"/>
        <d v="2025-07-18T11:55:00" u="1"/>
        <d v="2025-07-05T05:51:00" u="1"/>
        <d v="2025-07-14T07:09:00" u="1"/>
        <d v="2025-07-14T10:40:00" u="1"/>
        <d v="2025-07-14T14:24:00" u="1"/>
        <d v="2025-07-15T18:31:00" u="1"/>
        <d v="2025-07-16T10:43:00" u="1"/>
        <d v="2025-07-11T16:41:00" u="1"/>
        <d v="2025-07-10T06:46:00" u="1"/>
        <d v="2025-07-10T06:49:00" u="1"/>
        <d v="2025-07-10T15:00:00" u="1"/>
        <d v="2025-07-18T14:32:00" u="1"/>
        <d v="2025-07-18T14:37:00" u="1"/>
        <d v="2025-07-18T12:22:00" u="1"/>
        <d v="2025-07-04T14:07:00" u="1"/>
        <d v="2025-07-14T20:04:00" u="1"/>
        <d v="2025-07-14T17:01:00" u="1"/>
        <d v="2025-07-18T16:58:00" u="1"/>
        <d v="2025-07-17T18:37:00" u="1"/>
        <d v="2025-07-16T14:59:00" u="1"/>
        <d v="2025-07-18T15:25:00" u="1"/>
        <d v="2025-07-18T11:33:00" u="1"/>
        <d v="2025-07-18T16:52:00" u="1"/>
        <d v="2025-07-15T10:22:00" u="1"/>
        <d v="2025-07-16T21:22:00" u="1"/>
        <d v="2025-07-16T15:04:00" u="1"/>
        <d v="2025-07-16T17:50:00" u="1"/>
        <d v="2025-07-18T19:03:00" u="1"/>
        <d v="2025-07-17T12:09:00" u="1"/>
        <d v="2025-07-11T15:00:00" u="1"/>
        <d v="2025-07-07T15:10:00" u="1"/>
        <d v="2025-07-17T17:48:00" u="1"/>
        <d v="2025-07-15T10:17:00" u="1"/>
        <d v="2025-07-17T11:30:00" u="1"/>
        <d v="2025-07-15T13:57:00" u="1"/>
        <d v="2025-07-17T08:43:00" u="1"/>
        <d v="2025-07-18T13:21:00" u="1"/>
        <d v="2025-07-17T13:53:00" u="1"/>
        <d v="2025-07-15T08:11:00" u="1"/>
        <d v="2025-07-15T08:44:00" u="1"/>
        <d v="2025-07-16T07:49:00" u="1"/>
        <d v="2025-07-16T09:30:00" u="1"/>
        <d v="2025-07-15T09:34:00" u="1"/>
        <d v="2025-07-16T10:09:00" u="1"/>
        <d v="2025-07-15T09:33:00" u="1"/>
        <d v="2025-07-15T09:26:00" u="1"/>
        <d v="2025-07-17T17:28:00" u="1"/>
        <d v="2025-07-17T13:29:00" u="1"/>
        <d v="2025-07-17T13:49:00" u="1"/>
        <d v="2025-07-18T15:05:00" u="1"/>
        <d v="2025-07-18T15:46:00" u="1"/>
        <d v="2025-07-16T11:59:00" u="1"/>
        <d v="2025-07-19T11:23:00" u="1"/>
        <d v="2025-07-07T23:46:00" u="1"/>
        <d v="2025-07-09T17:11:00" u="1"/>
        <d v="2025-07-09T15:42:00" u="1"/>
        <d v="2025-07-16T09:48:00" u="1"/>
        <d v="2025-07-10T10:57:00" u="1"/>
        <d v="2025-07-09T17:46:00" u="1"/>
        <d v="2025-07-13T14:06:00" u="1"/>
        <d v="2025-07-13T13:36:00" u="1"/>
        <d v="2025-07-12T12:36:00" u="1"/>
        <d v="2025-07-11T10:49:00" u="1"/>
        <d v="2025-07-11T10:48:00" u="1"/>
        <d v="2025-06-27T10:35:00" u="1"/>
        <d v="2025-07-11T16:19:00" u="1"/>
        <d v="2025-07-17T22:05:00" u="1"/>
        <d v="2025-05-23T10:32:00" u="1"/>
        <d v="2025-07-15T20:33:00" u="1"/>
        <d v="2025-07-20T04:11:00" u="1"/>
        <d v="2025-07-17T17:44:00" u="1"/>
        <d v="2025-07-16T17:18:00" u="1"/>
        <d v="2025-07-18T19:40:00" u="1"/>
        <d v="2025-07-19T10:07:00" u="1"/>
        <d v="2025-07-17T08:36:00" u="1"/>
        <d v="2025-07-19T12:47:00" u="1"/>
        <d v="2025-07-19T02:12:00" u="1"/>
        <d v="2025-07-17T17:43:00" u="1"/>
        <d v="2025-07-18T16:25:00" u="1"/>
        <d v="2025-07-18T11:26:00" u="1"/>
        <d v="2025-07-16T15:02:00" u="1"/>
        <d v="2025-06-26T13:45:00" u="1"/>
        <d v="2025-07-18T19:30:00" u="1"/>
        <d v="2025-07-18T19:31:00" u="1"/>
        <d v="2025-07-15T12:58:00" u="1"/>
        <d v="2025-07-10T15:19:00" u="1"/>
        <d v="2025-07-10T14:38:00" u="1"/>
        <d v="2025-07-10T14:13:00" u="1"/>
        <d v="2025-07-10T12:48:00" u="1"/>
        <d v="2025-07-13T10:37:00" u="1"/>
        <d v="2025-07-13T10:22:00" u="1"/>
        <d v="2025-07-13T10:07:00" u="1"/>
        <d v="2025-07-12T22:22:00" u="1"/>
        <d v="2025-07-12T22:07:00" u="1"/>
        <d v="2025-07-12T16:47:00" u="1"/>
        <d v="2025-07-12T12:17:00" u="1"/>
        <d v="2025-07-12T12:02:00" u="1"/>
        <d v="2025-07-12T11:47:00" u="1"/>
        <d v="2025-07-12T11:27:00" u="1"/>
        <d v="2025-07-12T10:22:00" u="1"/>
        <d v="2025-07-12T10:07:00" u="1"/>
        <d v="2025-07-12T09:52:00" u="1"/>
        <d v="2025-07-12T09:36:00" u="1"/>
        <d v="2025-07-11T18:56:00" u="1"/>
        <d v="2025-07-11T15:09:00" u="1"/>
        <d v="2025-07-11T14:58:00" u="1"/>
        <d v="2025-07-11T14:07:00" u="1"/>
        <d v="2025-07-11T13:52:00" u="1"/>
        <d v="2025-07-11T13:42:00" u="1"/>
        <d v="2025-07-11T13:22:00" u="1"/>
        <d v="2025-07-11T12:48:00" u="1"/>
        <d v="2025-07-13T16:06:00" u="1"/>
        <d v="2025-07-13T13:47:00" u="1"/>
        <d v="2025-07-13T11:56:00" u="1"/>
        <d v="2025-07-09T17:26:00" u="1"/>
        <d v="2025-07-09T17:27:00" u="1"/>
        <d v="2025-07-14T21:42:00" u="1"/>
        <d v="2025-07-14T19:21:00" u="1"/>
        <d v="2025-07-10T10:48:00" u="1"/>
        <d v="2025-07-09T23:07:00" u="1"/>
        <d v="2025-07-09T10:47:00" u="1"/>
        <d v="2025-07-08T14:23:00" u="1"/>
        <d v="2025-07-08T00:02:00" u="1"/>
        <d v="2025-07-13T18:21:00" u="1"/>
        <d v="2025-07-13T18:11:00" u="1"/>
        <d v="2025-07-13T17:31:00" u="1"/>
        <d v="2025-07-13T17:17:00" u="1"/>
        <d v="2025-07-13T17:16:00" u="1"/>
        <d v="2025-07-09T15:27:00" u="1"/>
        <d v="2025-07-09T15:07:00" u="1"/>
        <d v="2025-07-09T14:38:00" u="1"/>
        <d v="2025-07-10T12:38:00" u="1"/>
        <d v="2025-07-14T18:38:00" u="1"/>
        <d v="2025-07-14T18:13:00" u="1"/>
        <d v="2025-07-14T18:03:00" u="1"/>
        <d v="2025-07-14T17:43:00" u="1"/>
        <d v="2025-07-14T17:02:00" u="1"/>
        <d v="2025-07-14T16:51:00" u="1"/>
        <d v="2025-07-14T16:29:00" u="1"/>
        <d v="2025-07-14T16:06:00" u="1"/>
        <d v="2025-07-14T15:31:00" u="1"/>
        <d v="2025-07-14T14:10:00" u="1"/>
        <d v="2025-07-14T14:05:00" u="1"/>
        <d v="2025-07-14T13:50:00" u="1"/>
        <d v="2025-07-14T13:35:00" u="1"/>
        <d v="2025-07-14T13:22:00" u="1"/>
        <d v="2025-07-14T13:08:00" u="1"/>
        <d v="2025-07-14T13:07:00" u="1"/>
        <d v="2025-07-14T12:57:00" u="1"/>
        <d v="2025-07-14T12:31:00" u="1"/>
        <d v="2025-07-14T10:49:00" u="1"/>
        <d v="2025-06-27T17:07:00" u="1"/>
        <d v="2025-07-01T18:18:00" u="1"/>
        <d v="2025-07-15T07:15:00" u="1"/>
        <d v="2025-03-25T16:00:00" u="1"/>
        <d v="2025-07-14T15:54:00" u="1"/>
        <d v="2025-07-18T13:36:00" u="1"/>
        <d v="2025-07-14T07:42:00" u="1"/>
        <d v="2025-07-16T13:19:00" u="1"/>
        <d v="2025-07-20T01:58:00" u="1"/>
        <d v="2025-07-18T16:36:00" u="1"/>
        <d v="2025-07-18T17:35:00" u="1"/>
        <d v="2025-07-20T11:46:00" u="1"/>
        <d v="2025-07-19T12:03:00" u="1"/>
        <d v="2025-07-15T14:26:00" u="1"/>
        <d v="2025-07-15T14:38:00" u="1"/>
        <d v="2025-07-07T18:36:00" u="1"/>
        <d v="2025-07-11T17:05:00" u="1"/>
        <d v="2025-07-18T21:32:00" u="1"/>
        <d v="2025-07-18T10:57:00" u="1"/>
        <d v="2025-07-14T10:36:00" u="1"/>
        <d v="2025-07-13T19:16:00" u="1"/>
        <d v="2025-07-09T12:32:00" u="1"/>
        <d v="2025-07-09T12:12:00" u="1"/>
        <d v="2025-07-09T12:13:00" u="1"/>
        <d v="2025-07-13T16:56:00" u="1"/>
        <d v="2025-07-14T23:11:00" u="1"/>
        <d v="2025-07-14T18:58:00" u="1"/>
        <d v="2025-07-13T13:56:00" u="1"/>
        <d v="2025-07-13T11:41:00" u="1"/>
        <d v="2025-07-13T11:11:00" u="1"/>
        <d v="2025-07-13T10:56:00" u="1"/>
        <d v="2025-07-13T12:51:00" u="1"/>
        <d v="2025-07-13T12:41:00" u="1"/>
        <d v="2025-07-11T12:22:00" u="1"/>
        <d v="2025-07-12T13:36:00" u="1"/>
        <d v="2025-07-11T10:34:00" u="1"/>
        <d v="2025-07-19T13:00:00" u="1"/>
        <d v="2025-07-20T13:00:00" u="1"/>
        <d v="2025-07-17T09:51:00" u="1"/>
        <d v="2025-07-18T17:34:00" u="1"/>
        <d v="2025-07-18T16:20:00" u="1"/>
        <d v="2025-07-16T12:36:00" u="1"/>
        <d v="2025-03-31T14:39:00" u="1"/>
        <d v="2025-07-16T16:05:00" u="1"/>
        <d v="2025-07-10T00:00:00" u="1"/>
        <d v="2025-07-13T18:49:00" u="1"/>
        <d v="2025-06-16T19:04:00" u="1"/>
        <d v="2025-06-22T09:48:00" u="1"/>
        <d v="2025-07-18T09:24:00" u="1"/>
        <d v="2025-07-14T15:36:00" u="1"/>
        <d v="2025-07-15T11:24:00" u="1"/>
        <d v="2025-07-15T10:11:00" u="1"/>
        <d v="2025-07-15T13:45:00" u="1"/>
        <d v="2025-07-18T09:11:00" u="1"/>
        <d v="2025-07-16T10:23:00" u="1"/>
        <d v="2025-07-16T11:00:00" u="1"/>
        <d v="2025-07-17T09:35:00" u="1"/>
        <d v="2025-07-17T12:21:00" u="1"/>
        <d v="2025-07-17T12:03:00" u="1"/>
        <d v="2025-07-17T12:05:00" u="1"/>
        <d v="2025-07-15T17:53:00" u="1"/>
        <d v="2025-07-15T10:32:00" u="1"/>
        <d v="2025-07-17T13:56:00" u="1"/>
        <d v="2025-07-16T15:30:00" u="1"/>
        <d v="2025-07-17T15:50:00" u="1"/>
        <d v="2025-07-16T11:31:00" u="1"/>
        <d v="2025-07-17T14:48:00" u="1"/>
        <d v="2025-07-15T11:46:00" u="1"/>
        <d v="2025-07-16T18:18:00" u="1"/>
        <d v="2025-07-16T14:05:00" u="1"/>
        <d v="2025-07-16T12:12:00" u="1"/>
        <d v="2025-07-17T10:03:00" u="1"/>
        <d v="2025-07-17T09:59:00" u="1"/>
        <d v="2025-07-17T09:58:00" u="1"/>
        <d v="2025-07-15T14:11:00" u="1"/>
        <d v="2025-07-15T11:45:00" u="1"/>
        <d v="2025-07-16T09:33:00" u="1"/>
        <d v="2025-07-17T09:14:00" u="1"/>
        <d v="2025-07-17T18:36:00" u="1"/>
        <d v="2025-07-17T14:56:00" u="1"/>
        <d v="2025-07-15T13:20:00" u="1"/>
        <d v="2025-07-15T21:46:00" u="1"/>
        <d v="2025-07-15T08:54:00" u="1"/>
        <d v="2025-07-17T12:15:00" u="1"/>
        <d v="2025-07-17T18:43:00" u="1"/>
        <d v="2025-07-09T00:00:00" u="1"/>
        <d v="2025-07-16T13:05:00" u="1"/>
        <d v="2025-07-17T08:48:00" u="1"/>
        <d v="2025-07-16T15:33:00" u="1"/>
        <d v="2025-07-16T15:40:00" u="1"/>
        <d v="2025-07-17T12:44:00" u="1"/>
        <d v="2025-07-17T15:53:00" u="1"/>
        <d v="2025-07-17T13:28:00" u="1"/>
        <d v="2025-07-17T12:35:00" u="1"/>
        <d v="2025-07-17T12:28:00" u="1"/>
        <d v="2025-07-17T21:34:00" u="1"/>
        <d v="2025-07-16T08:14:00" u="1"/>
        <d v="2025-07-15T11:37:00" u="1"/>
        <d v="2025-07-16T11:32:00" u="1"/>
        <d v="2025-06-23T11:23:00" u="1"/>
        <d v="2025-07-16T08:37:00" u="1"/>
        <d v="2025-07-17T10:43:00" u="1"/>
        <d v="2025-07-04T17:50:00" u="1"/>
        <d v="2025-07-17T08:22:00" u="1"/>
        <d v="2025-07-17T19:36:00" u="1"/>
        <d v="2025-07-07T19:05:00" u="1"/>
        <d v="2025-06-24T13:30:00" u="1"/>
        <d v="2025-07-16T19:57:00" u="1"/>
        <d v="2025-07-17T11:12:00" u="1"/>
        <d v="2025-07-17T11:20:00" u="1"/>
        <d v="2025-07-16T19:16:00" u="1"/>
        <d v="2025-07-17T10:35:00" u="1"/>
        <d v="2025-07-17T19:32:00" u="1"/>
        <d v="2025-07-17T18:21:00" u="1"/>
        <d v="2025-07-17T20:02:00" u="1"/>
        <d v="2025-06-23T14:58:00" u="1"/>
        <d v="2025-07-07T14:59:00" u="1"/>
        <d v="2025-07-17T19:50:00" u="1"/>
        <d v="2025-07-17T14:13:00" u="1"/>
        <d v="2025-07-17T10:53:00" u="1"/>
        <d v="2025-07-17T09:18:00" u="1"/>
        <d v="2025-07-03T11:10:00" u="1"/>
        <d v="2025-07-17T16:52:00" u="1"/>
        <d v="2025-07-17T14:55:00" u="1"/>
        <d v="2025-07-17T20:30:00" u="1"/>
        <d v="2025-07-12T14:41:00" u="1"/>
        <d v="2025-07-17T13:00:00" u="1"/>
        <d v="2025-07-17T12:19:00" u="1"/>
        <d v="2025-06-23T20:00:00" u="1"/>
        <d v="2025-07-04T14:18:00" u="1"/>
        <d v="2025-07-17T11:16:00" u="1"/>
        <d v="2025-07-15T11:53:00" u="1"/>
        <d v="2025-07-15T12:25:00" u="1"/>
        <d v="2025-07-16T18:35:00" u="1"/>
        <d v="2025-07-16T17:51:00" u="1"/>
        <d v="2025-07-16T17:26:00" u="1"/>
        <d v="2025-07-16T12:26:00" u="1"/>
        <d v="2025-07-16T11:53:00" u="1"/>
        <d v="2025-07-15T12:38:00" u="1"/>
        <d v="2025-07-16T11:14:00" u="1"/>
        <d v="2025-07-10T16:41:00" u="1"/>
        <d v="2025-07-11T07:28:00" u="1"/>
        <d v="2025-07-11T07:50:00" u="1"/>
        <d v="2025-07-11T08:40:00" u="1"/>
        <d v="2025-07-14T13:28:00" u="1"/>
        <d v="2025-07-14T14:07:00" u="1"/>
        <d v="2025-07-14T12:46:00" u="1"/>
        <d v="2025-07-16T15:47:00" u="1"/>
        <d v="2025-07-14T10:20:00" u="1"/>
        <d v="2025-07-15T13:30:00" u="1"/>
        <d v="2025-07-11T12:03:00" u="1"/>
        <d v="2025-07-14T12:08:00" u="1"/>
        <d v="2025-07-14T12:33:00" u="1"/>
        <d v="2025-07-08T09:58:00" u="1"/>
        <d v="2025-07-11T17:04:00" u="1"/>
        <d v="2025-07-14T07:28:00" u="1"/>
        <d v="2025-07-16T16:23:00" u="1"/>
        <d v="2025-07-15T08:55:00" u="1"/>
        <d v="2025-07-15T14:29:00" u="1"/>
        <d v="2025-07-16T06:36:00" u="1"/>
        <d v="2025-07-14T06:29:00" u="1"/>
        <d v="2025-07-15T12:40:00" u="1"/>
        <d v="2025-07-15T12:35:00" u="1"/>
        <d v="2025-07-15T22:12:00" u="1"/>
        <d v="2025-07-16T19:30:00" u="1"/>
        <d v="2025-07-16T10:38:00" u="1"/>
        <d v="2025-07-03T16:05:00" u="1"/>
        <d v="2025-07-15T09:05:00" u="1"/>
        <d v="2025-07-16T14:46:00" u="1"/>
        <d v="2025-07-16T16:13:00" u="1"/>
        <d v="2025-07-15T10:29:00" u="1"/>
        <d v="2025-07-16T16:21:00" u="1"/>
        <d v="2025-07-16T09:20:00" u="1"/>
        <d v="2025-07-16T08:54:00" u="1"/>
        <d v="2025-07-04T08:09:00" u="1"/>
        <d v="2025-07-08T13:50:00" u="1"/>
        <d v="2025-07-08T09:08:00" u="1"/>
        <d v="2025-07-08T09:11:00" u="1"/>
        <d v="2025-07-03T07:12:00" u="1"/>
        <d v="2025-07-01T07:47:00" u="1"/>
        <d v="2025-07-15T08:27:00" u="1"/>
        <d v="2025-07-15T08:38:00" u="1"/>
        <d v="2025-07-15T07:55:00" u="1"/>
        <d v="2025-07-16T15:07:00" u="1"/>
        <d v="2025-07-15T13:52:00" u="1"/>
        <d v="2025-07-15T13:53:00" u="1"/>
        <d v="2025-07-16T18:22:00" u="1"/>
        <d v="2025-05-09T13:59:00" u="1"/>
        <d v="2025-07-14T13:11:00" u="1"/>
        <d v="2025-07-16T17:37:00" u="1"/>
        <d v="2025-07-16T17:38:00" u="1"/>
        <d v="2025-07-15T22:44:00" u="1"/>
        <d v="2025-07-16T09:01:00" u="1"/>
        <d v="2025-06-11T15:00:00" u="1"/>
        <d v="2025-07-16T16:45:00" u="1"/>
        <d v="2025-07-16T17:19:00" u="1"/>
        <d v="2025-07-16T18:55:00" u="1"/>
        <d v="2025-07-16T11:29:00" u="1"/>
        <d v="2025-07-16T10:06:00" u="1"/>
        <d v="2025-07-16T13:17:00" u="1"/>
        <d v="2025-07-16T16:33:00" u="1"/>
        <d v="2025-07-16T16:44:00" u="1"/>
        <d v="2025-04-03T18:40:00" u="1"/>
        <d v="2025-06-26T15:06:00" u="1"/>
        <d v="2025-06-13T17:02:00" u="1"/>
        <d v="2025-06-13T16:57:00" u="1"/>
        <d v="2025-06-13T17:10:00" u="1"/>
        <d v="2025-07-16T13:58:00" u="1"/>
        <d v="2025-07-16T16:00:00" u="1"/>
        <d v="2025-05-15T08:23:00" u="1"/>
        <d v="2025-07-16T10:25:00" u="1"/>
        <d v="2025-07-16T14:21:00" u="1"/>
        <d v="2025-07-02T11:33:00" u="1"/>
        <d v="2025-07-10T14:45:00" u="1"/>
        <d v="2025-07-10T14:49:00" u="1"/>
        <d v="2025-07-15T12:43:00" u="1"/>
        <d v="2025-07-16T15:46:00" u="1"/>
        <d v="2025-06-16T00:00:00" u="1"/>
        <d v="2025-07-10T12:10:00" u="1"/>
        <d v="2025-07-02T13:29:00" u="1"/>
        <d v="2025-07-11T09:49:00" u="1"/>
        <d v="2025-07-14T13:55:00" u="1"/>
        <d v="2025-07-15T14:55:00" u="1"/>
        <d v="2025-07-11T16:02:00" u="1"/>
        <d v="2025-07-15T09:38:00" u="1"/>
        <d v="2025-07-15T12:27:00" u="1"/>
        <d v="2025-07-15T13:15:00" u="1"/>
        <d v="2025-07-15T07:38:00" u="1"/>
        <d v="2025-07-15T12:16:00" u="1"/>
        <d v="2025-06-25T09:55:00" u="1"/>
        <d v="2025-07-04T15:49:00" u="1"/>
        <d v="2025-07-10T13:50:00" u="1"/>
        <d v="2025-07-10T13:53:00" u="1"/>
        <d v="2025-07-14T16:52:00" u="1"/>
        <d v="2025-07-11T20:24:00" u="1"/>
        <d v="2025-07-15T14:32:00" u="1"/>
        <d v="2025-07-14T09:41:00" u="1"/>
        <d v="2025-07-15T11:50:00" u="1"/>
        <d v="2025-07-15T06:28:00" u="1"/>
        <d v="2025-07-15T12:36:00" u="1"/>
        <d v="2025-07-15T12:42:00" u="1"/>
        <d v="2025-07-15T15:48:00" u="1"/>
        <d v="2025-07-15T14:50:00" u="1"/>
        <d v="2025-07-15T14:42:00" u="1"/>
        <d v="2025-07-15T10:52:00" u="1"/>
        <d v="2025-07-15T17:06:00" u="1"/>
        <d v="2025-07-15T17:09:00" u="1"/>
        <d v="2025-07-11T18:02:00" u="1"/>
        <d v="2025-07-14T09:05:00" u="1"/>
        <d v="2025-07-14T09:06:00" u="1"/>
        <d v="2025-07-11T12:30:00" u="1"/>
        <d v="2025-07-07T16:57:00" u="1"/>
        <d v="2025-07-15T11:23:00" u="1"/>
        <d v="2025-07-15T11:22:00" u="1"/>
        <d v="2025-07-14T17:32:00" u="1"/>
        <d v="2025-07-04T14:59:00" u="1"/>
        <d v="2025-07-15T08:43:00" u="1"/>
        <d v="2025-07-15T09:10:00" u="1"/>
        <d v="2025-07-15T16:54:00" u="1"/>
        <d v="2025-07-08T15:29:00" u="1"/>
        <d v="2025-07-15T09:36:00" u="1"/>
        <d v="2025-07-06T15:56:00" u="1"/>
        <d v="2025-07-14T15:53:00" u="1"/>
        <d v="2025-07-12T19:00:00" u="1"/>
        <d v="2025-07-14T12:22:00" u="1"/>
        <d v="2025-07-14T12:11:00" u="1"/>
        <d v="2025-07-15T12:12:00" u="1"/>
        <d v="2025-07-08T12:13:00" u="1"/>
        <d v="2025-07-08T20:56:00" u="1"/>
        <d v="2025-06-30T14:08:00" u="1"/>
        <d v="2025-07-15T13:36:00" u="1"/>
        <d v="2025-06-30T14:03:00" u="1"/>
        <d v="2025-07-11T18:35:00" u="1"/>
        <d v="2025-06-26T19:57:00" u="1"/>
        <d v="2025-07-14T10:46:00" u="1"/>
        <d v="2025-07-15T09:30:00" u="1"/>
        <d v="2025-07-11T19:00:00" u="1"/>
        <d v="2025-06-17T17:36:00" u="1"/>
        <d v="2025-07-09T18:14:00" u="1"/>
        <d v="2025-07-07T11:50:00" u="1"/>
        <d v="2025-06-26T07:50:00" u="1"/>
        <d v="2025-07-03T16:52:00" u="1"/>
        <d v="2025-07-14T14:03:00" u="1"/>
        <d v="2025-07-03T17:30:00" u="1"/>
        <d v="2025-07-04T14:14:00" u="1"/>
        <d v="2025-07-08T16:34:00" u="1"/>
        <d v="2025-07-08T16:39:00" u="1"/>
        <d v="2025-07-04T14:34:00" u="1"/>
        <d v="2025-07-04T14:39:00" u="1"/>
        <d v="2025-07-04T14:48:00" u="1"/>
        <d v="2025-07-15T12:05:00" u="1"/>
        <d v="2025-07-02T14:37:00" u="1"/>
        <d v="2025-07-07T15:21:00" u="1"/>
        <d v="2025-07-14T14:38:00" u="1"/>
        <d v="2025-07-08T17:58:00" u="1"/>
        <d v="2025-07-15T10:41:00" u="1"/>
        <d v="2025-07-15T11:09:00" u="1"/>
        <d v="2025-07-11T09:13:00" u="1"/>
        <d v="2025-07-08T15:20:00" u="1"/>
        <d v="2025-07-11T14:15:00" u="1"/>
        <d v="2025-07-01T07:51:00" u="1"/>
        <d v="2025-07-08T18:03:00" u="1"/>
        <d v="2025-07-08T18:29:00" u="1"/>
        <d v="2025-07-14T16:18:00" u="1"/>
        <d v="2025-07-10T11:09:00" u="1"/>
        <d v="2025-07-01T22:00:00" u="1"/>
        <d v="2025-07-07T15:29:00" u="1"/>
        <d v="2025-07-04T13:24:00" u="1"/>
        <d v="2025-07-01T21:09:00" u="1"/>
        <d v="2025-07-04T17:59:00" u="1"/>
        <d v="2025-07-11T10:04:00" u="1"/>
        <d v="2025-07-15T18:18:00" u="1"/>
        <d v="2025-07-09T14:00:00" u="1"/>
        <d v="2025-07-08T18:36:00" u="1"/>
        <d v="2025-07-02T00:00:00" u="1"/>
        <d v="2025-07-15T09:43:00" u="1"/>
        <d v="2025-05-27T17:11:00" u="1"/>
        <d v="2025-07-15T10:03:00" u="1"/>
        <d v="2025-07-15T16:18:00" u="1"/>
        <d v="2025-07-14T15:42:00" u="1"/>
        <d v="2025-07-11T10:15:00" u="1"/>
        <d v="2025-07-14T15:25:00" u="1"/>
        <d v="2025-07-11T14:35:00" u="1"/>
        <d v="2025-07-02T10:45:00" u="1"/>
        <d v="2025-07-04T13:14:00" u="1"/>
        <d v="2025-07-01T16:49:00" u="1"/>
        <d v="2025-07-01T21:35:00" u="1"/>
        <d v="2025-07-15T09:44:00" u="1"/>
        <d v="2025-07-09T12:00:00" u="1"/>
        <d v="2025-07-04T13:19:00" u="1"/>
        <d v="2025-07-08T12:48:00" u="1"/>
        <d v="2025-07-04T17:52:00" u="1"/>
        <d v="2025-07-04T09:58:00" u="1"/>
        <d v="2025-07-01T22:02:00" u="1"/>
        <d v="2025-07-01T22:19:00" u="1"/>
        <d v="2025-07-01T22:06:00" u="1"/>
        <d v="2025-07-07T10:52:00" u="1"/>
        <d v="2025-07-15T18:39:00" u="1"/>
        <d v="2025-07-15T18:37:00" u="1"/>
        <d v="2025-07-09T09:06:00" u="1"/>
        <d v="2025-07-08T12:35:00" u="1"/>
        <d v="2025-07-09T10:57:00" u="1"/>
        <d v="2025-07-14T12:12:00" u="1"/>
        <d v="2025-07-01T13:05:00" u="1"/>
        <d v="2025-07-10T17:16:00" u="1"/>
        <d v="2025-07-03T13:45:00" u="1"/>
        <d v="2025-07-07T17:58:00" u="1"/>
        <d v="2025-07-01T17:19:00" u="1"/>
        <d v="2025-07-03T07:42:00" u="1"/>
        <d v="2025-07-11T09:59:00" u="1"/>
        <d v="2025-07-04T12:39:00" u="1"/>
        <d v="2025-07-04T12:32:00" u="1"/>
        <d v="2025-07-02T11:32:00" u="1"/>
        <d v="2025-07-02T16:00:00" u="1"/>
        <d v="2025-07-01T21:59:00" u="1"/>
        <d v="2025-07-14T09:22:00" u="1"/>
        <d v="2025-07-11T15:16:00" u="1"/>
        <d v="2025-07-11T13:56:00" u="1"/>
        <d v="2025-07-01T16:42:00" u="1"/>
        <d v="2025-07-08T13:44:00" u="1"/>
        <d v="2025-07-11T14:42:00" u="1"/>
        <d v="2025-07-11T14:21:00" u="1"/>
        <d v="2025-07-09T08:47:00" u="1"/>
        <d v="2025-07-07T11:56:00" u="1"/>
        <d v="2025-07-14T16:55:00" u="1"/>
        <d v="2025-07-14T16:02:00" u="1"/>
        <d v="2025-07-14T15:02:00" u="1"/>
        <d v="2025-07-14T19:24:00" u="1"/>
        <d v="2025-07-11T08:37:00" u="1"/>
        <d v="2025-07-11T16:33:00" u="1"/>
        <d v="2025-07-11T16:00:00" u="1"/>
        <d v="2025-07-11T19:18:00" u="1"/>
        <d v="2025-07-11T18:24:00" u="1"/>
        <d v="2025-07-14T10:41:00" u="1"/>
        <d v="2025-07-11T11:34:00" u="1"/>
        <d v="2025-07-11T09:33:00" u="1"/>
        <d v="2025-07-10T12:44:00" u="1"/>
        <d v="2025-07-11T12:55:00" u="1"/>
        <d v="2025-07-14T11:00:00" u="1"/>
        <d v="2025-07-14T17:54:00" u="1"/>
        <d v="2025-07-14T14:59:00" u="1"/>
        <d v="2025-07-14T14:53:00" u="1"/>
        <d v="2025-07-14T14:49:00" u="1"/>
        <d v="2025-07-11T19:06:00" u="1"/>
        <d v="2025-07-11T19:11:00" u="1"/>
        <d v="2025-07-14T13:29:00" u="1"/>
        <d v="2025-07-12T15:52:00" u="1"/>
        <d v="2025-07-14T13:42:00" u="1"/>
        <d v="2025-07-11T15:04:00" u="1"/>
        <d v="2025-07-11T18:06:00" u="1"/>
        <d v="2025-07-14T18:17:00" u="1"/>
        <d v="2025-07-11T14:25:00" u="1"/>
        <d v="2025-07-14T12:53:00" u="1"/>
        <d v="2025-07-14T13:17:00" u="1"/>
        <d v="2025-07-14T16:15:00" u="1"/>
        <d v="2025-07-14T08:36:00" u="1"/>
        <d v="2025-07-14T13:30:00" u="1"/>
        <d v="2025-07-11T14:36:00" u="1"/>
        <d v="2025-07-11T15:35:00" u="1"/>
        <d v="2025-07-11T15:58:00" u="1"/>
        <d v="2025-07-14T08:29:00" u="1"/>
        <d v="2025-07-11T12:41:00" u="1"/>
        <d v="2025-07-14T16:14:00" u="1"/>
        <d v="2025-07-14T08:05:00" u="1"/>
        <d v="2025-07-11T11:54:00" u="1"/>
        <d v="2025-07-09T09:19:00" u="1"/>
        <d v="2025-07-14T16:04:00" u="1"/>
        <d v="2025-07-14T16:46:00" u="1"/>
        <d v="2025-07-11T18:01:00" u="1"/>
        <d v="2025-07-11T17:03:00" u="1"/>
        <d v="2025-07-14T12:27:00" u="1"/>
        <d v="2025-07-14T09:09:00" u="1"/>
        <d v="2025-07-14T10:12:00" u="1"/>
        <d v="2025-07-04T11:22:00" u="1"/>
        <d v="2025-07-11T11:35:00" u="1"/>
        <d v="2025-05-09T00:00:00" u="1"/>
        <d v="2025-07-13T11:04:00" u="1"/>
        <d v="2025-07-14T10:53:00" u="1"/>
        <d v="2025-07-14T18:33:00" u="1"/>
        <d v="2025-07-14T17:19:00" u="1"/>
        <d v="2025-07-08T15:54:00" u="1"/>
        <d v="2025-07-08T15:55:00" u="1"/>
        <d v="2025-07-08T13:18:00" u="1"/>
        <d v="2025-07-09T09:25:00" u="1"/>
        <d v="2025-07-08T16:24:00" u="1"/>
        <d v="2025-07-08T16:01:00" u="1"/>
        <d v="2025-07-10T17:43:00" u="1"/>
        <d v="2025-07-07T15:20:00" u="1"/>
        <d v="2025-06-25T13:29:00" u="1"/>
        <d v="2025-07-14T11:33:00" u="1"/>
        <d v="2025-07-11T15:30:00" u="1"/>
        <d v="2025-07-11T18:17:00" u="1"/>
        <d v="2025-07-11T09:57:00" u="1"/>
        <d v="2025-07-11T09:28:00" u="1"/>
        <d v="2025-07-11T12:59:00" u="1"/>
        <d v="2025-07-10T11:46:00" u="1"/>
        <d v="2025-07-14T16:10:00" u="1"/>
        <d v="2025-07-11T17:38:00" u="1"/>
        <d v="2025-07-14T09:46:00" u="1"/>
        <d v="2025-07-11T16:27:00" u="1"/>
        <d v="2025-07-11T18:20:00" u="1"/>
        <d v="2025-07-10T10:03:00" u="1"/>
        <d v="2025-07-14T15:21:00" u="1"/>
        <d v="2025-07-14T13:37:00" u="1"/>
        <d v="2025-07-11T15:27:00" u="1"/>
        <d v="2025-07-10T12:53:00" u="1"/>
        <d v="2025-07-11T17:32:00" u="1"/>
        <d v="2025-07-14T08:31:00" u="1"/>
        <d v="2025-07-02T09:47:00" u="1"/>
        <d v="2025-07-04T09:40:00" u="1"/>
        <d v="2025-07-01T09:02:00" u="1"/>
        <d v="2025-07-11T14:53:00" u="1"/>
        <d v="2025-07-11T08:50:00" u="1"/>
        <d v="2025-07-10T15:26:00" u="1"/>
        <d v="2025-07-08T10:50:00" u="1"/>
        <d v="2025-07-08T10:53:00" u="1"/>
        <d v="2025-07-08T10:20:00" u="1"/>
        <d v="2025-07-04T14:22:00" u="1"/>
        <d v="2025-07-08T08:43:00" u="1"/>
        <d v="2025-07-10T13:44:00" u="1"/>
        <d v="2025-07-10T08:23:00" u="1"/>
        <d v="2025-07-10T07:27:00" u="1"/>
        <d v="2025-07-10T14:53:00" u="1"/>
        <d v="2025-07-14T14:58:00" u="1"/>
        <d v="2025-07-14T15:04:00" u="1"/>
        <d v="2025-07-14T09:48:00" u="1"/>
        <d v="2025-07-14T16:27:00" u="1"/>
        <d v="2025-07-11T14:44:00" u="1"/>
        <d v="2025-07-02T10:39:00" u="1"/>
        <d v="2025-07-08T12:32:00" u="1"/>
        <d v="2025-07-08T12:25:00" u="1"/>
        <d v="2025-07-14T12:58:00" u="1"/>
        <d v="2025-07-11T12:17:00" u="1"/>
        <d v="2025-07-14T17:37:00" u="1"/>
        <d v="2025-07-14T12:01:00" u="1"/>
        <d v="2025-07-11T15:02:00" u="1"/>
        <d v="2025-07-11T19:35:00" u="1"/>
        <d v="2025-07-11T13:21:00" u="1"/>
        <d v="2025-07-14T12:39:00" u="1"/>
        <d v="2025-07-14T20:52:00" u="1"/>
        <d v="2025-07-12T09:30:00" u="1"/>
        <d v="2025-06-27T12:50:00" u="1"/>
        <d v="2025-07-14T08:33:00" u="1"/>
        <d v="2025-07-14T08:17:00" u="1"/>
        <d v="2025-07-14T13:44:00" u="1"/>
        <d v="2025-06-02T00:00:00" u="1"/>
        <d v="2025-06-11T09:01:00" u="1"/>
        <d v="2025-07-14T10:44:00" u="1"/>
        <d v="2025-07-14T09:40:00" u="1"/>
        <d v="2025-07-14T12:29:00" u="1"/>
        <d v="2025-06-02T14:18:00" u="1"/>
        <d v="2025-07-14T13:13:00" u="1"/>
        <d v="2025-07-14T07:54:00" u="1"/>
        <d v="2025-07-14T09:20:00" u="1"/>
        <d v="2025-07-14T15:23:00" u="1"/>
        <d v="2025-07-14T11:36:00" u="1"/>
        <d v="2025-07-11T07:13:00" u="1"/>
        <d v="2025-07-14T08:23:00" u="1"/>
        <d v="2025-06-18T15:54:00" u="1"/>
        <d v="2025-06-13T15:50:00" u="1"/>
        <d v="2025-07-01T09:07:00" u="1"/>
        <d v="2025-07-14T09:47:00" u="1"/>
        <d v="2025-07-14T08:50:00" u="1"/>
        <d v="2025-07-14T12:00:00" u="1"/>
        <d v="2025-07-14T06:48:00" u="1"/>
        <d v="2025-07-14T15:45:00" u="1"/>
        <d v="2025-07-14T15:30:00" u="1"/>
        <d v="2025-07-14T15:00:00" u="1"/>
        <d v="2025-07-14T13:40:00" u="1"/>
        <d v="2025-07-14T14:47:00" u="1"/>
        <d v="2025-07-14T10:27:00" u="1"/>
        <d v="2025-07-03T08:47:00" u="1"/>
        <d v="2025-07-14T14:06:00" u="1"/>
        <d v="2025-07-11T16:15:00" u="1"/>
        <d v="2025-07-14T06:23:00" u="1"/>
        <d v="2025-06-16T17:02:00" u="1"/>
        <d v="2025-07-11T18:26:00" u="1"/>
        <d v="2025-07-11T18:05:00" u="1"/>
        <d v="2025-07-11T17:56:00" u="1"/>
        <d v="2025-07-09T11:07:00" u="1"/>
        <d v="2025-07-11T12:21:00" u="1"/>
        <d v="2025-07-14T09:30:00" u="1"/>
        <d v="2025-07-09T18:01:00" u="1"/>
        <d v="2025-07-10T09:12:00" u="1"/>
        <d v="2025-07-11T11:00:00" u="1"/>
        <d v="2025-07-11T10:45:00" u="1"/>
        <d v="2025-07-11T10:18:00" u="1"/>
        <d v="2025-07-10T12:41:00" u="1"/>
        <d v="2025-07-10T14:17:00" u="1"/>
        <d v="2025-07-11T15:10:00" u="1"/>
        <d v="2025-07-11T13:32:00" u="1"/>
        <d v="2025-07-10T15:37:00" u="1"/>
        <d v="2025-07-11T18:34:00" u="1"/>
        <d v="2025-07-03T15:59:00" u="1"/>
        <d v="2025-07-03T16:04:00" u="1"/>
        <d v="2025-07-03T16:43:00" u="1"/>
        <d v="2025-07-03T14:11:00" u="1"/>
        <d v="2025-07-04T07:11:00" u="1"/>
        <d v="2025-07-04T07:27:00" u="1"/>
        <d v="2025-07-04T07:29:00" u="1"/>
        <d v="2025-07-04T07:34:00" u="1"/>
        <d v="2025-07-04T07:40:00" u="1"/>
        <d v="2025-07-04T07:44:00" u="1"/>
        <d v="2025-07-04T07:49:00" u="1"/>
        <d v="2025-07-04T07:55:00" u="1"/>
        <d v="2025-07-04T07:59:00" u="1"/>
        <d v="2025-07-04T08:05:00" u="1"/>
        <d v="2025-07-02T08:24:00" u="1"/>
        <d v="2025-07-02T08:44:00" u="1"/>
        <d v="2025-07-02T06:28:00" u="1"/>
        <d v="2025-07-03T11:19:00" u="1"/>
        <d v="2025-07-02T10:13:00" u="1"/>
        <d v="2025-07-03T08:18:00" u="1"/>
        <d v="2025-07-04T11:31:00" u="1"/>
        <d v="2025-07-04T14:30:00" u="1"/>
        <d v="2025-07-04T14:33:00" u="1"/>
        <d v="2025-07-04T08:21:00" u="1"/>
        <d v="2025-07-04T08:26:00" u="1"/>
        <d v="2025-07-04T09:28:00" u="1"/>
        <d v="2025-07-04T10:20:00" u="1"/>
        <d v="2025-07-07T14:39:00" u="1"/>
        <d v="2025-07-08T10:07:00" u="1"/>
        <d v="2025-07-08T10:11:00" u="1"/>
        <d v="2025-07-08T10:23:00" u="1"/>
        <d v="2025-07-08T07:27:00" u="1"/>
        <d v="2025-07-08T09:38:00" u="1"/>
        <d v="2025-07-08T09:04:00" u="1"/>
        <d v="2025-07-10T15:09:00" u="1"/>
        <d v="2025-07-10T15:48:00" u="1"/>
        <d v="2025-07-10T13:56:00" u="1"/>
        <d v="2025-07-10T14:27:00" u="1"/>
        <d v="2025-07-11T10:08:00" u="1"/>
        <d v="2025-07-03T14:03:00" u="1"/>
        <d v="2025-07-11T10:58:00" u="1"/>
        <d v="2025-07-11T17:31:00" u="1"/>
        <d v="2025-07-11T16:42:00" u="1"/>
        <d v="2025-07-11T18:22:00" u="1"/>
        <d v="2025-07-11T18:15:00" u="1"/>
        <d v="2025-06-18T08:29:00" u="1"/>
        <d v="2025-07-09T17:54:00" u="1"/>
        <d v="2025-07-10T11:40:00" u="1"/>
        <d v="2025-07-11T06:55:00" u="1"/>
        <d v="2025-07-11T07:01:00" u="1"/>
        <d v="2025-07-11T09:42:00" u="1"/>
        <d v="2025-07-11T08:04:00" u="1"/>
        <d v="2025-07-11T07:57:00" u="1"/>
        <d v="2025-07-11T09:55:00" u="1"/>
        <d v="2025-07-11T09:45:00" u="1"/>
        <d v="2025-07-11T21:32:00" u="1"/>
        <d v="2025-07-11T13:11:00" u="1"/>
        <d v="2025-07-10T12:13:00" u="1"/>
        <d v="2025-07-11T08:00:00" u="1"/>
        <d v="2025-07-11T08:19:00" u="1"/>
        <d v="2025-07-09T16:35:00" u="1"/>
        <d v="2025-06-10T09:26:00" u="1"/>
        <d v="2025-07-11T14:12:00" u="1"/>
        <d v="2025-06-25T17:09:00" u="1"/>
        <d v="2025-06-18T12:35:00" u="1"/>
        <d v="2025-06-16T10:35:55" u="1"/>
        <d v="2025-06-18T13:28:00" u="1"/>
        <d v="2025-07-11T13:36:00" u="1"/>
        <d v="2025-06-25T17:00:00" u="1"/>
        <d v="2025-06-25T17:17:00" u="1"/>
        <d v="2025-07-10T13:39:00" u="1"/>
        <d v="2025-05-27T19:37:00" u="1"/>
        <d v="2025-07-11T11:27:00" u="1"/>
        <d v="2025-07-11T11:37:00" u="1"/>
        <d v="2025-06-26T09:44:00" u="1"/>
        <d v="2025-07-11T15:41:00" u="1"/>
        <d v="2025-07-09T13:55:00" u="1"/>
        <d v="2025-07-10T18:48:00" u="1"/>
        <d v="2025-06-11T14:46:00" u="1"/>
        <d v="2025-06-11T14:41:00" u="1"/>
        <d v="2025-07-02T08:48:00" u="1"/>
        <d v="2025-07-02T11:04:00" u="1"/>
        <d v="2025-07-02T11:09:00" u="1"/>
        <d v="2025-07-02T08:54:00" u="1"/>
        <d v="2025-07-02T09:01:00" u="1"/>
        <d v="2025-06-30T13:39:00" u="1"/>
        <d v="2025-06-27T14:15:00" u="1"/>
        <d v="2025-06-23T14:11:00" u="1"/>
        <d v="2025-06-23T16:10:00" u="1"/>
        <d v="2025-06-30T18:52:00" u="1"/>
        <d v="2025-07-07T08:06:00" u="1"/>
        <d v="2025-07-07T08:27:00" u="1"/>
        <d v="2025-07-07T06:52:00" u="1"/>
        <d v="2025-07-07T16:29:00" u="1"/>
        <d v="2025-07-07T12:14:00" u="1"/>
        <d v="2025-07-08T09:41:00" u="1"/>
        <d v="2025-07-10T11:38:00" u="1"/>
        <d v="2025-07-04T12:40:00" u="1"/>
        <d v="2025-07-07T16:34:00" u="1"/>
        <d v="2025-07-08T14:07:00" u="1"/>
        <d v="2025-07-08T10:56:00" u="1"/>
        <d v="2025-07-10T09:59:00" u="1"/>
        <d v="2025-07-09T08:39:00" u="1"/>
        <d v="2025-07-03T12:47:00" u="1"/>
        <d v="2025-07-02T15:36:00" u="1"/>
        <d v="2025-07-04T17:47:00" u="1"/>
        <d v="2025-07-07T10:32:00" u="1"/>
        <d v="2025-07-07T14:25:00" u="1"/>
        <d v="2025-07-07T14:47:00" u="1"/>
        <d v="2025-07-07T14:49:00" u="1"/>
        <d v="2025-07-07T14:53:00" u="1"/>
        <d v="2025-07-10T10:42:00" u="1"/>
        <d v="2025-07-10T09:40:00" u="1"/>
        <d v="2025-07-10T10:11:00" u="1"/>
        <d v="2025-07-10T16:36:00" u="1"/>
        <d v="2025-07-10T10:17:00" u="1"/>
        <d v="2025-07-08T15:38:00" u="1"/>
        <d v="2025-07-10T12:04:00" u="1"/>
        <d v="2025-07-10T11:51:00" u="1"/>
        <d v="2025-07-09T09:50:00" u="1"/>
        <d v="2025-07-09T11:53:00" u="1"/>
        <d v="2025-07-09T08:49:00" u="1"/>
        <d v="2025-07-10T15:03:00" u="1"/>
        <d v="2025-07-10T14:32:00" u="1"/>
        <d v="2025-07-09T07:40:00" u="1"/>
        <d v="2025-07-10T16:42:00" u="1"/>
        <d v="2025-07-10T16:21:00" u="1"/>
        <d v="2025-07-10T09:31:00" u="1"/>
        <d v="2025-06-30T08:46:00" u="1"/>
        <d v="2025-07-10T14:51:00" u="1"/>
        <d v="2025-07-10T17:35:00" u="1"/>
        <d v="2025-07-10T06:30:00" u="1"/>
        <d v="2025-07-10T07:48:00" u="1"/>
        <d v="2025-07-09T13:28:00" u="1"/>
        <d v="2025-07-10T12:27:00" u="1"/>
        <d v="2025-07-10T15:32:00" u="1"/>
        <d v="2025-07-10T14:08:00" u="1"/>
        <d v="2025-07-09T14:03:00" u="1"/>
        <d v="2025-07-08T10:26:00" u="1"/>
        <d v="2025-07-10T17:05:00" u="1"/>
        <d v="2025-07-10T13:21:00" u="1"/>
        <d v="2025-07-10T11:28:00" u="1"/>
        <d v="2025-07-10T14:29:00" u="1"/>
        <d v="2025-07-10T14:34:00" u="1"/>
        <d v="2025-07-10T11:13:00" u="1"/>
        <d v="2025-07-09T07:59:00" u="1"/>
        <d v="2025-07-09T17:22:00" u="1"/>
        <d v="2025-07-10T02:38:00" u="1"/>
        <d v="2025-07-10T09:15:00" u="1"/>
        <d v="2025-07-09T10:41:00" u="1"/>
        <d v="2025-07-10T09:01:00" u="1"/>
        <d v="2025-07-10T04:00:25" u="1"/>
        <d v="2025-07-10T11:47:00" u="1"/>
        <d v="2025-07-09T04:50:00" u="1"/>
        <d v="2025-07-08T10:03:00" u="1"/>
        <d v="2025-07-09T12:28:00" u="1"/>
        <d v="2025-07-10T02:37:00" u="1"/>
        <d v="2025-07-03T18:32:00" u="1"/>
        <d v="2025-07-03T15:09:00" u="1"/>
        <d v="2025-07-10T05:08:00" u="1"/>
        <d v="2025-07-09T09:24:00" u="1"/>
        <d v="2025-07-10T03:13:00" u="1"/>
        <d v="2025-07-10T01:08:00" u="1"/>
        <d v="2025-07-10T01:23:00" u="1"/>
        <d v="2025-07-09T05:19:00" u="1"/>
        <d v="2025-07-10T01:48:00" u="1"/>
        <d v="2025-07-10T01:53:00" u="1"/>
        <d v="2025-07-10T01:55:00" u="1"/>
        <d v="2025-07-09T06:15:00" u="1"/>
        <d v="2025-07-09T05:12:00" u="1"/>
        <d v="2025-07-09T09:54:00" u="1"/>
        <d v="2025-07-10T03:14:00" u="1"/>
        <d v="2025-07-10T03:27:00" u="1"/>
        <d v="2025-07-10T09:34:00" u="1"/>
        <d v="2025-07-09T01:52:00" u="1"/>
        <d v="2025-07-10T14:58:00" u="1"/>
        <d v="2025-07-09T08:46:00" u="1"/>
        <d v="2025-07-09T09:22:00" u="1"/>
        <d v="2025-07-09T08:42:00" u="1"/>
        <d v="2025-07-09T09:11:00" u="1"/>
        <d v="2025-07-08T16:23:00" u="1"/>
        <d v="2025-07-09T09:09:00" u="1"/>
        <d v="2025-07-09T09:18:00" u="1"/>
        <d v="2025-07-10T10:23:00" u="1"/>
        <d v="2025-07-08T07:59:00" u="1"/>
        <d v="2025-07-08T04:11:00" u="1"/>
        <d v="2025-07-10T10:30:00" u="1"/>
        <d v="2025-07-09T17:03:00" u="1"/>
        <d v="2025-07-10T11:03:00" u="1"/>
        <d v="2025-07-09T15:30:00" u="1"/>
        <d v="2025-07-08T09:00:00" u="1"/>
        <d v="2025-07-10T12:14:00" u="1"/>
        <d v="2025-07-10T14:06:00" u="1"/>
        <d v="2025-07-10T08:16:00" u="1"/>
        <d v="2025-07-10T16:25:00" u="1"/>
        <d v="2025-07-10T17:27:00" u="1"/>
        <d v="2025-07-10T21:01:00" u="1"/>
        <d v="2025-07-10T14:54:00" u="1"/>
        <d v="2025-07-10T16:22:00" u="1"/>
        <d v="2025-07-10T16:30:00" u="1"/>
        <d v="2025-07-10T16:53:00" u="1"/>
        <d v="2025-07-10T18:36:00" u="1"/>
        <d v="2025-07-10T15:15:00" u="1"/>
        <d v="2025-07-10T14:57:00" u="1"/>
        <d v="2025-07-10T11:24:00" u="1"/>
        <d v="2025-07-10T08:55:00" u="1"/>
        <d v="2025-07-10T17:07:00" u="1"/>
        <d v="2025-07-10T18:52:00" u="1"/>
        <d v="2025-07-10T19:26:00" u="1"/>
        <d v="2025-07-10T18:29:00" u="1"/>
        <d v="2025-07-10T19:46:00" u="1"/>
        <d v="2025-07-10T15:20:00" u="1"/>
        <d v="2025-07-08T18:01:00" u="1"/>
        <d v="2025-07-08T17:44:00" u="1"/>
        <d v="2025-07-10T16:01:00" u="1"/>
        <d v="2025-07-10T18:41:00" u="1"/>
        <d v="2025-07-08T04:45:00" u="1"/>
        <d v="2025-07-01T06:32:00" u="1"/>
        <d v="2025-07-01T07:23:00" u="1"/>
        <d v="2025-07-01T16:20:00" u="1"/>
        <d v="2025-07-01T19:18:00" u="1"/>
        <d v="2025-06-24T17:35:00" u="1"/>
        <d v="2025-07-01T18:52:00" u="1"/>
        <d v="2025-07-01T12:32:00" u="1"/>
        <d v="2025-07-01T14:22:00" u="1"/>
        <d v="2025-07-01T14:28:00" u="1"/>
        <d v="2025-07-01T14:36:00" u="1"/>
        <d v="2025-06-26T10:58:00" u="1"/>
        <d v="2025-04-04T08:01:00" u="1"/>
        <d v="2025-04-15T07:59:00" u="1"/>
        <d v="2025-06-23T16:58:00" u="1"/>
        <d v="2025-06-30T17:09:00" u="1"/>
        <d v="2025-06-26T08:13:00" u="1"/>
        <d v="2025-07-03T09:00:00" u="1"/>
        <d v="2025-07-03T09:12:00" u="1"/>
        <d v="2025-07-03T09:35:00" u="1"/>
        <d v="2025-07-07T09:47:00" u="1"/>
        <d v="2025-07-03T18:51:00" u="1"/>
        <d v="2025-07-07T15:59:00" u="1"/>
        <d v="2025-07-04T11:07:00" u="1"/>
        <d v="2025-07-04T11:09:00" u="1"/>
        <d v="2025-07-03T16:10:00" u="1"/>
        <d v="2025-07-03T11:38:00" u="1"/>
        <d v="2025-07-06T09:16:00" u="1"/>
        <d v="2025-07-07T15:13:00" u="1"/>
        <d v="2025-07-04T12:25:00" u="1"/>
        <d v="2025-07-07T16:09:00" u="1"/>
        <d v="2025-07-07T16:11:00" u="1"/>
        <d v="2025-07-07T11:47:00" u="1"/>
        <d v="2025-07-07T11:36:00" u="1"/>
        <d v="2025-07-02T08:37:00" u="1"/>
        <d v="2025-07-03T14:32:00" u="1"/>
        <d v="2025-07-04T14:10:00" u="1"/>
        <d v="2025-07-04T09:38:00" u="1"/>
        <d v="2025-07-04T08:13:00" u="1"/>
        <d v="2025-07-03T19:01:00" u="1"/>
        <d v="2025-07-03T19:55:00" u="1"/>
        <d v="2025-07-03T14:41:00" u="1"/>
        <d v="2025-06-23T00:00:00" u="1"/>
        <d v="2025-07-02T18:54:00" u="1"/>
        <d v="2025-07-07T14:30:00" u="1"/>
        <d v="2025-07-03T19:21:00" u="1"/>
        <d v="2025-07-03T19:29:00" u="1"/>
        <d v="2025-07-04T12:57:00" u="1"/>
        <d v="2025-07-03T15:47:00" u="1"/>
        <d v="2025-07-04T15:50:00" u="1"/>
        <d v="2025-07-07T10:03:00" u="1"/>
        <d v="2025-07-02T16:02:00" u="1"/>
        <d v="2025-07-04T07:52:00" u="1"/>
        <d v="2025-07-08T12:42:00" u="1"/>
        <d v="2025-07-07T16:22:00" u="1"/>
        <d v="2025-07-07T15:11:00" u="1"/>
        <d v="2025-07-07T16:25:00" u="1"/>
        <d v="2025-07-07T15:16:00" u="1"/>
        <d v="2025-07-07T14:48:00" u="1"/>
        <d v="2025-07-07T14:55:00" u="1"/>
        <d v="2025-07-07T15:02:00" u="1"/>
        <d v="2025-07-07T15:06:00" u="1"/>
        <d v="2025-07-07T15:12:00" u="1"/>
        <d v="2025-07-07T13:48:00" u="1"/>
        <d v="2025-07-09T00:04:00" u="1"/>
        <d v="2025-07-07T19:00:00" u="1"/>
        <d v="2025-07-08T10:39:00" u="1"/>
        <d v="2025-07-08T16:14:00" u="1"/>
        <d v="2025-07-08T07:40:00" u="1"/>
        <d v="2025-07-08T10:09:00" u="1"/>
        <d v="2025-07-09T08:13:00" u="1"/>
        <d v="2025-07-09T08:17:00" u="1"/>
        <d v="2025-07-09T08:18:00" u="1"/>
        <d v="2025-07-09T08:20:00" u="1"/>
        <d v="2025-07-08T10:19:00" u="1"/>
        <d v="2025-07-08T10:27:00" u="1"/>
        <d v="2025-07-08T09:50:00" u="1"/>
        <d v="2025-06-16T18:08:00" u="1"/>
        <d v="2025-06-17T11:35:00" u="1"/>
        <d v="2025-07-08T14:12:00" u="1"/>
        <d v="2025-07-07T16:47:00" u="1"/>
        <d v="2025-07-08T10:22:00" u="1"/>
        <d v="2025-07-07T17:02:00" u="1"/>
        <d v="2025-07-08T14:21:00" u="1"/>
        <d v="2025-07-08T14:14:00" u="1"/>
        <d v="2025-07-08T14:11:00" u="1"/>
        <d v="2025-07-08T13:40:00" u="1"/>
        <d v="2025-07-07T18:04:00" u="1"/>
        <d v="2025-07-08T18:16:00" u="1"/>
        <d v="2025-07-08T18:07:00" u="1"/>
        <d v="2025-07-08T11:41:00" u="1"/>
        <d v="2025-07-08T14:25:00" u="1"/>
        <d v="2025-07-07T14:00:00" u="1"/>
        <d v="2025-07-08T09:49:00" u="1"/>
        <d v="2025-07-07T16:38:00" u="1"/>
        <d v="2025-07-08T12:30:00" u="1"/>
        <d v="2025-07-08T10:05:00" u="1"/>
        <d v="2025-07-07T16:13:00" u="1"/>
        <d v="2025-06-27T09:01:00" u="1"/>
        <d v="2025-06-30T11:31:00" u="1"/>
        <d v="2025-07-02T13:54:00" u="1"/>
        <d v="2025-07-08T11:51:00" u="1"/>
        <d v="2025-07-07T12:43:00" u="1"/>
        <d v="2025-07-08T15:41:00" u="1"/>
        <d v="2025-07-08T11:14:00" u="1"/>
        <d v="2025-07-08T11:09:00" u="1"/>
        <d v="2025-07-08T10:29:00" u="1"/>
        <d v="2025-07-08T10:30:00" u="1"/>
        <d v="2025-07-07T13:07:00" u="1"/>
        <d v="2025-07-08T15:53:00" u="1"/>
        <d v="2025-07-08T07:52:00" u="1"/>
        <d v="2025-06-17T14:02:00" u="1"/>
        <d v="2025-07-07T08:09:00" u="1"/>
        <d v="2025-07-09T00:59:00" u="1"/>
        <d v="2025-07-09T08:36:00" u="1"/>
        <d v="2025-07-08T09:47:00" u="1"/>
        <d v="2025-07-09T10:20:00" u="1"/>
        <d v="2025-07-09T09:13:00" u="1"/>
        <d v="2025-07-09T10:18:00" u="1"/>
        <d v="2025-07-09T02:31:00" u="1"/>
        <d v="2025-07-08T08:17:00" u="1"/>
        <d v="2025-07-08T14:05:00" u="1"/>
        <d v="2025-07-08T07:29:00" u="1"/>
        <d v="2025-07-09T10:58:00" u="1"/>
        <d v="2025-07-07T10:36:00" u="1"/>
        <d v="2025-07-08T12:00:00" u="1"/>
        <d v="2025-07-08T19:02:00" u="1"/>
        <d v="2025-07-07T14:06:00" u="1"/>
        <d v="2025-07-09T11:20:00" u="1"/>
        <d v="2025-07-09T11:43:00" u="1"/>
        <d v="2025-07-09T14:11:00" u="1"/>
        <d v="2025-07-09T15:28:00" u="1"/>
        <d v="2025-07-09T11:15:00" u="1"/>
        <d v="2025-07-09T13:02:00" u="1"/>
        <d v="2025-07-09T13:00:00" u="1"/>
        <d v="2025-07-09T13:04:00" u="1"/>
        <d v="2025-07-09T13:06:00" u="1"/>
        <d v="2025-07-09T14:24:00" u="1"/>
        <d v="2025-07-08T15:42:00" u="1"/>
        <d v="2025-07-08T15:59:00" u="1"/>
        <d v="2025-05-14T16:31:00" u="1"/>
        <d v="2025-07-09T16:14:00" u="1"/>
        <d v="2025-07-09T21:29:00" u="1"/>
        <d v="2025-07-09T12:43:00" u="1"/>
        <d v="2025-07-09T13:57:00" u="1"/>
        <d v="2025-07-09T18:20:00" u="1"/>
        <d v="2025-07-09T18:23:00" u="1"/>
        <d v="2025-07-09T18:26:00" u="1"/>
        <d v="2025-07-09T08:27:00" u="1"/>
        <d v="2025-07-09T08:38:00" u="1"/>
        <d v="2025-07-09T17:18:00" u="1"/>
        <d v="2025-07-09T16:55:00" u="1"/>
        <d v="2025-07-09T15:59:00" u="1"/>
        <d v="2025-07-09T13:52:00" u="1"/>
        <d v="2025-07-09T10:39:00" u="1"/>
        <d v="2025-07-09T01:02:00" u="1"/>
        <d v="2025-07-09T05:55:00" u="1"/>
        <d v="2025-07-08T09:53:00" u="1"/>
        <d v="2025-07-09T02:12:00" u="1"/>
        <d v="2025-07-09T15:31:00" u="1"/>
        <d v="2025-07-09T01:48:00" u="1"/>
        <d v="2025-07-09T13:35:00" u="1"/>
        <d v="2025-07-03T15:23:00" u="1"/>
        <d v="2025-07-09T02:47:00" u="1"/>
        <d v="2025-07-09T12:05:00" u="1"/>
        <d v="2025-07-09T03:44:00" u="1"/>
        <d v="2025-07-09T15:11:00" u="1"/>
        <d v="2025-06-30T05:59:00" u="1"/>
        <d v="2025-07-09T11:31:00" u="1"/>
        <d v="2025-07-09T16:19:00" u="1"/>
        <d v="2025-07-09T07:20:00" u="1"/>
        <d v="2025-07-09T14:35:00" u="1"/>
        <d v="2025-07-09T14:29:00" u="1"/>
        <d v="2025-07-08T09:31:00" u="1"/>
        <d v="2025-07-08T09:36:00" u="1"/>
        <d v="2025-07-09T11:50:00" u="1"/>
        <d v="2025-07-09T10:38:00" u="1"/>
        <d v="2025-06-10T17:19:00" u="1"/>
        <d v="2025-07-09T08:52:00" u="1"/>
        <d v="2025-02-26T12:21:00" u="1"/>
        <d v="2025-03-17T09:39:00" u="1"/>
        <d v="2025-04-02T09:56:00" u="1"/>
        <d v="2025-04-09T09:53:00" u="1"/>
        <d v="2025-04-11T13:14:00" u="1"/>
        <d v="2025-04-09T00:00:00" u="1"/>
        <d v="2025-06-23T10:41:00" u="1"/>
        <d v="2025-06-23T19:57:00" u="1"/>
        <d v="2025-06-26T12:15:00" u="1"/>
        <d v="2025-06-06T12:09:00" u="1"/>
        <d v="2025-06-30T13:42:00" u="1"/>
        <d v="2025-07-03T18:01:00" u="1"/>
        <d v="2025-07-04T08:43:00" u="1"/>
        <d v="2025-07-04T09:57:00" u="1"/>
        <d v="2025-07-04T07:26:00" u="1"/>
        <d v="2025-07-01T16:17:00" u="1"/>
        <d v="2025-07-03T09:27:00" u="1"/>
        <d v="2025-07-04T14:24:00" u="1"/>
        <d v="2025-07-03T11:41:00" u="1"/>
        <d v="2025-07-04T11:01:00" u="1"/>
        <d v="2025-07-02T18:48:00" u="1"/>
        <d v="2025-07-02T10:17:00" u="1"/>
        <d v="2025-07-01T09:33:00" u="1"/>
        <d v="2025-07-01T09:44:00" u="1"/>
        <d v="2025-06-18T10:19:00" u="1"/>
        <d v="2025-06-02T11:25:00" u="1"/>
        <d v="2025-07-04T09:30:00" u="1"/>
        <d v="2025-05-27T11:21:00" u="1"/>
        <d v="2025-04-29T08:33:00" u="1"/>
        <d v="2025-07-01T17:31:00" u="1"/>
        <d v="2025-07-02T15:00:00" u="1"/>
        <d v="2025-07-02T10:18:00" u="1"/>
        <d v="2025-07-03T10:38:00" u="1"/>
        <d v="2025-07-07T18:03:00" u="1"/>
        <d v="2025-07-07T17:43:00" u="1"/>
        <d v="2025-07-07T12:01:00" u="1"/>
        <d v="2025-07-07T11:55:00" u="1"/>
        <d v="2025-07-07T10:46:00" u="1"/>
        <d v="2025-07-07T10:23:00" u="1"/>
        <d v="2025-07-07T15:52:00" u="1"/>
        <d v="2025-07-07T14:45:00" u="1"/>
        <d v="2025-07-07T14:28:00" u="1"/>
        <d v="2025-07-07T15:09:00" u="1"/>
        <d v="2025-07-07T15:34:00" u="1"/>
        <d v="2025-07-07T12:03:00" u="1"/>
        <d v="2025-07-07T08:37:00" u="1"/>
        <d v="2025-07-07T12:56:00" u="1"/>
        <d v="2025-07-04T15:26:00" u="1"/>
        <d v="2025-07-07T08:36:00" u="1"/>
        <d v="2025-07-03T15:25:00" u="1"/>
        <d v="2025-07-04T17:36:00" u="1"/>
        <d v="2025-07-07T09:43:00" u="1"/>
        <d v="2025-07-04T14:51:00" u="1"/>
        <d v="2025-07-01T10:12:00" u="1"/>
        <d v="2025-07-04T08:56:00" u="1"/>
        <d v="2025-07-07T12:11:00" u="1"/>
        <d v="2025-07-07T11:51:17" u="1"/>
        <d v="2025-07-07T12:46:00" u="1"/>
        <d v="2025-07-04T15:57:00" u="1"/>
        <d v="2025-06-25T07:01:00" u="1"/>
        <d v="2025-07-07T08:11:00" u="1"/>
        <d v="2025-07-01T13:59:00" u="1"/>
        <d v="2025-07-04T16:12:00" u="1"/>
        <d v="2025-07-07T09:44:00" u="1"/>
        <d v="2025-07-07T09:49:00" u="1"/>
        <d v="2025-06-23T11:28:00" u="1"/>
        <d v="2025-07-01T12:40:00" u="1"/>
        <d v="2025-07-07T13:50:00" u="1"/>
        <d v="2025-07-07T10:43:00" u="1"/>
        <d v="2025-07-07T11:39:00" u="1"/>
        <d v="2025-07-07T05:57:00" u="1"/>
        <d v="2025-07-07T13:34:00" u="1"/>
        <d v="2025-07-04T15:05:00" u="1"/>
        <d v="2025-07-07T07:56:00" u="1"/>
        <d v="2025-07-07T12:50:00" u="1"/>
        <d v="2025-07-07T08:01:00" u="1"/>
        <d v="2025-07-07T07:51:00" u="1"/>
        <d v="2025-07-04T11:30:00" u="1"/>
        <d v="2025-07-04T11:19:00" u="1"/>
        <d v="2025-07-04T15:27:00" u="1"/>
        <d v="2025-02-06T18:30:00" u="1"/>
        <d v="2025-02-10T11:09:00" u="1"/>
        <d v="2025-02-10T19:30:00" u="1"/>
        <d v="2025-02-07T19:13:00" u="1"/>
        <d v="2025-02-07T23:23:00" u="1"/>
        <d v="2025-02-10T19:53:00" u="1"/>
        <d v="2025-02-19T10:28:00" u="1"/>
        <d v="2025-04-15T13:30:00" u="1"/>
        <d v="2025-04-14T19:05:00" u="1"/>
        <d v="2025-04-08T18:53:00" u="1"/>
        <d v="2025-04-09T18:20:00" u="1"/>
        <d v="2025-04-09T18:08:00" u="1"/>
        <d v="2025-04-09T15:35:00" u="1"/>
        <d v="2025-04-09T18:27:00" u="1"/>
        <d v="2025-04-09T18:35:00" u="1"/>
        <d v="2025-04-14T19:28:00" u="1"/>
        <d v="2025-04-17T15:38:00" u="1"/>
        <d v="2025-04-16T15:00:00" u="1"/>
        <d v="2025-04-17T20:24:00" u="1"/>
        <d v="2025-06-18T16:17:00" u="1"/>
        <d v="2025-03-17T10:43:00" u="1"/>
        <d v="2025-02-26T09:17:00" u="1"/>
        <d v="2025-03-14T18:27:00" u="1"/>
        <d v="2025-04-17T18:27:00" u="1"/>
        <d v="2025-05-15T10:16:00" u="1"/>
        <d v="2025-06-10T11:23:00" u="1"/>
        <d v="2025-06-12T12:41:00" u="1"/>
        <d v="2025-06-16T17:55:00" u="1"/>
        <d v="2025-06-18T15:26:00" u="1"/>
        <d v="2025-06-16T15:08:28" u="1"/>
        <d v="2025-06-20T14:07:00" u="1"/>
        <d v="2025-06-27T17:03:00" u="1"/>
        <d v="2025-06-26T15:05:00" u="1"/>
        <d v="2025-06-26T15:17:00" u="1"/>
        <d v="2025-06-25T13:35:00" u="1"/>
        <d v="2025-06-23T18:17:00" u="1"/>
        <d v="2025-06-27T07:49:00" u="1"/>
        <d v="2025-06-23T16:54:00" u="1"/>
        <d v="2025-06-30T13:23:00" u="1"/>
        <d v="2025-06-30T13:33:00" u="1"/>
        <d v="2025-06-30T14:10:00" u="1"/>
        <d v="2025-06-30T17:39:00" u="1"/>
        <d v="2025-06-30T15:47:00" u="1"/>
        <d v="2025-06-30T15:39:00" u="1"/>
        <d v="2025-07-01T15:17:00" u="1"/>
        <d v="2025-07-03T11:49:00" u="1"/>
        <d v="2025-07-03T10:18:00" u="1"/>
        <d v="2025-07-03T10:22:00" u="1"/>
        <d v="2025-07-01T18:08:00" u="1"/>
        <d v="2025-07-01T17:40:00" u="1"/>
        <d v="2025-07-01T17:32:00" u="1"/>
        <d v="2025-07-02T13:21:00" u="1"/>
        <d v="2025-07-01T15:06:00" u="1"/>
        <d v="2025-07-01T14:15:00" u="1"/>
        <d v="2025-07-01T15:36:00" u="1"/>
        <d v="2025-07-01T16:10:00" u="1"/>
        <d v="2025-07-01T15:01:00" u="1"/>
        <d v="2025-07-01T15:50:00" u="1"/>
        <d v="2025-07-02T15:43:00" u="1"/>
        <d v="2025-07-01T18:58:00" u="1"/>
        <d v="2025-07-03T11:01:00" u="1"/>
        <d v="2025-07-03T10:25:00" u="1"/>
        <d v="2025-07-02T10:31:00" u="1"/>
        <d v="2025-06-30T17:30:00" u="1"/>
        <d v="2025-07-04T16:15:00" u="1"/>
        <d v="2025-07-02T17:42:00" u="1"/>
        <d v="2025-06-30T09:50:00" u="1"/>
        <d v="2025-06-30T14:39:00" u="1"/>
        <d v="2025-07-02T10:34:00" u="1"/>
        <d v="2025-07-02T10:35:00" u="1"/>
        <d v="2025-07-02T18:01:00" u="1"/>
        <d v="2025-07-01T16:52:00" u="1"/>
        <d v="2025-07-01T02:06:00" u="1"/>
        <d v="2025-07-02T11:10:00" u="1"/>
        <d v="2025-07-03T12:30:00" u="1"/>
        <d v="2025-07-02T14:45:00" u="1"/>
        <d v="2025-06-23T15:25:00" u="1"/>
        <d v="2025-06-23T15:41:00" u="1"/>
        <d v="2025-07-03T11:40:00" u="1"/>
        <d v="2025-07-01T10:32:00" u="1"/>
        <d v="2025-07-01T18:42:00" u="1"/>
        <d v="2025-07-01T17:52:00" u="1"/>
        <d v="2025-07-02T12:15:00" u="1"/>
        <d v="2025-07-01T11:24:00" u="1"/>
        <d v="2025-07-01T17:02:00" u="1"/>
        <d v="2025-07-02T11:49:00" u="1"/>
        <d v="2025-07-02T11:50:00" u="1"/>
        <d v="2025-07-02T12:05:00" u="1"/>
        <d v="2025-07-03T11:16:00" u="1"/>
        <d v="2025-06-30T14:44:00" u="1"/>
        <d v="2025-06-27T11:10:00" u="1"/>
        <d v="2025-07-02T09:43:00" u="1"/>
        <d v="2025-07-01T18:59:00" u="1"/>
        <d v="2025-07-03T11:47:00" u="1"/>
        <d v="2025-07-01T14:09:00" u="1"/>
        <d v="2025-07-01T16:24:00" u="1"/>
        <d v="2025-07-01T13:58:00" u="1"/>
        <d v="2025-07-01T23:22:00" u="1"/>
        <d v="2025-07-02T15:13:00" u="1"/>
        <d v="2025-07-01T16:13:00" u="1"/>
        <d v="2025-07-01T16:58:00" u="1"/>
        <d v="2025-07-01T04:52:00" u="1"/>
        <d v="2025-07-01T14:39:00" u="1"/>
        <d v="2025-07-01T14:34:00" u="1"/>
        <d v="2025-07-01T14:38:00" u="1"/>
        <d v="2025-07-03T09:29:00" u="1"/>
        <d v="2025-07-02T18:23:00" u="1"/>
        <d v="2025-07-03T10:30:00" u="1"/>
        <d v="2025-07-01T14:33:00" u="1"/>
        <d v="2025-07-01T18:39:00" u="1"/>
        <d v="2025-07-02T11:41:00" u="1"/>
        <d v="2025-07-04T10:36:00" u="1"/>
        <d v="2025-07-04T18:01:00" u="1"/>
        <d v="2025-07-04T17:49:00" u="1"/>
        <d v="2025-07-04T17:29:00" u="1"/>
        <d v="2025-07-04T16:26:00" u="1"/>
        <d v="2025-07-04T13:52:00" u="1"/>
        <d v="2025-07-03T13:26:00" u="1"/>
        <d v="2025-07-04T16:50:00" u="1"/>
        <d v="2025-07-04T18:29:00" u="1"/>
        <d v="2025-07-04T15:17:00" u="1"/>
        <d v="2025-07-04T16:07:00" u="1"/>
        <d v="2025-07-04T08:33:00" u="1"/>
        <d v="2025-07-03T13:44:00" u="1"/>
        <d v="2025-07-03T16:45:00" u="1"/>
        <d v="2025-07-04T17:06:00" u="1"/>
        <d v="2025-07-04T15:36:00" u="1"/>
        <d v="2025-07-04T11:04:00" u="1"/>
        <d v="2025-07-04T17:58:00" u="1"/>
        <d v="2025-07-03T20:40:00" u="1"/>
        <d v="2025-07-04T16:39:00" u="1"/>
        <d v="2025-07-04T19:34:00" u="1"/>
        <d v="2025-07-03T18:00:00" u="1"/>
        <d v="2025-07-04T13:34:00" u="1"/>
        <d v="2025-07-04T13:48:00" u="1"/>
        <d v="2025-07-04T15:58:00" u="1"/>
        <d v="2025-07-03T16:06:00" u="1"/>
        <d v="2025-07-04T16:09:00" u="1"/>
        <d v="2025-07-04T16:14:00" u="1"/>
        <d v="2025-07-04T16:20:00" u="1"/>
        <d v="2025-07-04T16:28:00" u="1"/>
        <d v="2025-07-04T16:35:00" u="1"/>
        <d v="2025-07-04T16:41:00" u="1"/>
        <d v="2025-07-04T16:49:00" u="1"/>
        <d v="2025-07-03T16:30:00" u="1"/>
        <d v="2025-07-04T10:30:00" u="1"/>
        <d v="2025-07-04T11:56:00" u="1"/>
        <d v="2025-07-04T09:59:00" u="1"/>
        <d v="2025-07-04T10:25:00" u="1"/>
        <d v="2025-07-03T12:44:00" u="1"/>
        <d v="2025-07-03T15:00:00" u="1"/>
        <d v="2025-07-04T15:34:00" u="1"/>
        <d v="2025-07-03T16:11:00" u="1"/>
        <d v="2025-07-04T11:48:00" u="1"/>
        <d v="2025-07-03T17:52:00" u="1"/>
        <d v="2025-07-04T17:54:00" u="1"/>
        <d v="2025-07-04T10:11:00" u="1"/>
        <d v="2025-07-04T15:48:00" u="1"/>
        <d v="2025-07-04T17:46:00" u="1"/>
        <d v="2025-07-04T06:25:00" u="1"/>
        <d v="2025-07-03T13:46:00" u="1"/>
        <d v="2025-07-04T11:42:00" u="1"/>
        <d v="2025-07-03T16:16:00" u="1"/>
        <d v="2025-07-04T17:11:00" u="1"/>
        <d v="2025-07-04T09:42:00" u="1"/>
        <d v="2025-07-03T17:31:00" u="1"/>
        <d v="2025-07-04T13:57:00" u="1"/>
        <d v="2025-07-04T14:04:00" u="1"/>
        <d v="2025-07-03T18:50:00" u="1"/>
        <d v="2025-07-04T16:08:00" u="1"/>
        <d v="2025-07-04T10:40:00" u="1"/>
        <d v="2025-07-03T14:16:00" u="1"/>
        <d v="2025-06-27T15:15:00" u="1"/>
        <d v="2025-07-03T18:04:00" u="1"/>
        <d v="2025-07-03T17:59:00" u="1"/>
        <d v="2025-07-03T17:55:00" u="1"/>
        <d v="2025-07-04T10:08:00" u="1"/>
        <d v="2025-07-04T18:55:00" u="1"/>
        <d v="2025-07-03T14:53:00" u="1"/>
        <d v="2025-07-04T15:59:00" u="1"/>
        <d v="2025-07-04T18:47:00" u="1"/>
        <d v="2025-07-04T18:04:00" u="1"/>
        <d v="2025-07-04T07:24:00" u="1"/>
        <d v="2025-07-04T09:43:00" u="1"/>
        <d v="2025-07-04T05:35:00" u="1"/>
        <d v="2025-07-04T15:31:00" u="1"/>
        <d v="2025-06-02T05:54:00" u="1"/>
        <d v="2025-07-04T11:17:00" u="1"/>
        <d v="2025-07-04T14:01:00" u="1"/>
        <d v="2025-07-04T12:15:00" u="1"/>
        <d v="2025-07-03T12:29:00" u="1"/>
        <d v="2025-07-04T06:47:00" u="1"/>
        <d v="2025-07-02T19:41:00" u="1"/>
        <d v="2025-07-02T20:28:00" u="1"/>
        <d v="2025-07-02T20:30:00" u="1"/>
        <d v="2025-07-04T13:29:00" u="1"/>
        <d v="2025-07-04T13:32:00" u="1"/>
        <d v="2025-07-06T13:07:00" u="1"/>
        <d v="2025-07-06T20:34:00" u="1"/>
        <d v="2025-07-05T00:11:00" u="1"/>
        <d v="2025-07-05T07:46:00" u="1"/>
        <d v="2025-07-04T19:28:00" u="1"/>
        <d v="2025-07-04T19:27:00" u="1"/>
        <d v="2025-07-05T10:54:00" u="1"/>
        <d v="2025-07-05T10:55:00" u="1"/>
        <d v="2025-07-03T15:19:00" u="1"/>
        <d v="2025-07-03T22:17:00" u="1"/>
        <d v="2025-07-06T23:24:00" u="1"/>
        <d v="2025-07-04T10:24:00" u="1"/>
        <d v="2025-07-04T17:41:00" u="1"/>
        <d v="2025-07-03T14:52:00" u="1"/>
        <d v="2025-07-05T15:00:00" u="1"/>
        <d v="2025-07-06T22:07:00" u="1"/>
        <d v="2025-07-05T08:12:00" u="1"/>
        <d v="2025-07-07T00:59:00" u="1"/>
        <d v="2025-07-07T04:52:00" u="1"/>
        <d v="2025-07-05T00:59:00" u="1"/>
        <d v="2025-07-05T11:39:00" u="1"/>
        <d v="2025-07-05T23:50:00" u="1"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30T14:58:00" u="1"/>
        <d v="2025-06-30T08:48:00" u="1"/>
        <d v="2025-06-20T14:27:00" u="1"/>
        <d v="2025-06-23T12:39:00" u="1"/>
        <d v="2025-06-30T12:51:00" u="1"/>
        <d v="2025-07-01T12:46:00" u="1"/>
        <d v="2025-07-01T15:52:00" u="1"/>
        <d v="2025-06-30T12:19:00" u="1"/>
        <d v="2025-06-30T12:18:00" u="1"/>
        <d v="2025-06-30T15:29:00" u="1"/>
        <d v="2025-06-30T08:53:00" u="1"/>
        <d v="2025-06-26T07:35:00" u="1"/>
        <d v="2025-06-23T11:08:00" u="1"/>
        <d v="2025-07-01T15:58:00" u="1"/>
        <d v="2025-07-01T11:58:00" u="1"/>
        <d v="2025-07-01T12:07:00" u="1"/>
        <d v="2025-07-01T12:27:00" u="1"/>
        <d v="2025-07-01T16:35:00" u="1"/>
        <d v="2025-06-30T16:40:00" u="1"/>
        <d v="2025-07-01T15:11:00" u="1"/>
        <d v="2025-07-01T10:01:00" u="1"/>
        <d v="2025-06-30T13:52:00" u="1"/>
        <d v="2025-07-01T17:39:00" u="1"/>
        <d v="2025-06-30T18:00:00" u="1"/>
        <d v="2025-06-30T15:57:00" u="1"/>
        <d v="2025-07-01T15:08:00" u="1"/>
        <d v="2025-07-01T14:43:00" u="1"/>
        <d v="2025-06-30T20:52:00" u="1"/>
        <d v="2025-07-01T09:50:00" u="1"/>
        <d v="2025-06-30T13:02:00" u="1"/>
        <d v="2025-07-01T07:46:00" u="1"/>
        <d v="2025-01-13T12:11:00" u="1"/>
        <d v="2025-06-26T02:09:00" u="1"/>
        <d v="2025-06-25T12:08:00" u="1"/>
        <d v="2025-07-02T02:00:00" u="1"/>
        <d v="2025-06-25T10:46:00" u="1"/>
        <d v="2025-06-29T06:51:00" u="1"/>
        <d v="2025-06-30T03:24:00" u="1"/>
        <d v="2025-06-23T18:00:00" u="1"/>
        <d v="2025-06-27T03:59:00" u="1"/>
        <d v="2025-06-25T01:01:00" u="1"/>
        <d v="2025-06-30T17:16:00" u="1"/>
        <d v="2025-06-30T07:04:00" u="1"/>
        <d v="2025-06-27T01:00:00" u="1"/>
        <d v="2025-07-01T11:14:00" u="1"/>
        <d v="2025-07-01T10:03:00" u="1"/>
        <d v="2025-07-01T11:01:00" u="1"/>
        <d v="2025-07-01T16:46:00" u="1"/>
        <d v="2025-06-23T16:20:00" u="1"/>
        <d v="2025-07-01T12:34:00" u="1"/>
        <d v="2025-06-07T19:49:00" u="1"/>
        <d v="2025-05-22T19:49:00" u="1"/>
        <d v="2025-07-01T07:09:00" u="1"/>
        <d v="2025-06-13T13:41:00" u="1"/>
        <d v="2025-07-01T17:01:00" u="1"/>
        <d v="2025-06-30T16:02:00" u="1"/>
        <d v="2025-06-26T15:15:00" u="1"/>
        <d v="2025-06-23T07:49:00" u="1"/>
        <d v="2025-07-01T12:54:00" u="1"/>
        <d v="2025-06-24T03:14:00" u="1"/>
        <d v="2025-06-27T02:21:00" u="1"/>
        <d v="2025-07-02T05:17:00" u="1"/>
        <d v="2025-06-25T15:43:00" u="1"/>
        <d v="2025-06-25T04:00:00" u="1"/>
        <d v="2025-06-13T21:14:00" u="1"/>
        <d v="2025-06-09T10:56:00" u="1"/>
        <d v="2025-07-01T04:21:00" u="1"/>
        <d v="2025-07-01T14:40:00" u="1"/>
        <d v="2025-06-30T13:51:00" u="1"/>
        <d v="2025-06-30T09:36:00" u="1"/>
        <d v="2025-06-30T12:23:00" u="1"/>
        <d v="2025-06-30T09:58:00" u="1"/>
        <d v="2025-06-27T08:44:00" u="1"/>
        <d v="2025-06-30T10:23:00" u="1"/>
        <d v="2025-06-25T17:51:00" u="1"/>
        <d v="2025-06-27T13:32:00" u="1"/>
        <d v="2025-06-26T17:16:00" u="1"/>
        <d v="2025-06-30T12:17:00" u="1"/>
        <d v="2025-06-30T13:01:00" u="1"/>
        <d v="2025-06-27T06:39:00" u="1"/>
        <d v="2025-06-10T11:21:00" u="1"/>
        <d v="2025-06-16T13:30:00" u="1"/>
        <d v="2025-06-26T13:02:00" u="1"/>
        <d v="2025-06-25T08:56:00" u="1"/>
        <d v="2025-06-04T12:33:00" u="1"/>
        <d v="2025-06-25T08:51:00" u="1"/>
        <d v="2025-06-20T12:13:00" u="1"/>
        <d v="2025-06-30T15:24:00" u="1"/>
        <d v="2025-06-30T10:41:00" u="1"/>
        <d v="2025-06-30T09:04:00" u="1"/>
        <d v="2025-06-30T10:30:00" u="1"/>
        <d v="2025-06-12T15:47:00" u="1"/>
        <d v="2025-06-25T10:35:00" u="1"/>
        <d v="2025-06-24T18:52:00" u="1"/>
        <d v="2025-06-25T13:11:00" u="1"/>
        <d v="2025-06-23T17:11:00" u="1"/>
        <d v="2025-06-23T16:05:00" u="1"/>
        <d v="2025-06-24T16:46:00" u="1"/>
        <d v="2025-06-25T16:06:00" u="1"/>
        <d v="2025-06-27T15:16:00" u="1"/>
        <d v="2025-06-30T11:37:00" u="1"/>
        <d v="2025-06-30T14:41:00" u="1"/>
        <d v="2025-06-30T20:20:00" u="1"/>
        <d v="2025-06-25T07:30:00" u="1"/>
        <d v="2025-06-27T13:51:00" u="1"/>
        <d v="2025-06-30T07:55:00" u="1"/>
        <d v="2025-06-30T13:46:00" u="1"/>
        <d v="2025-06-30T11:25:00" u="1"/>
        <d v="2025-06-30T11:38:00" u="1"/>
        <d v="2025-06-30T07:39:00" u="1"/>
        <d v="2025-06-27T14:24:00" u="1"/>
        <d v="2025-06-27T09:35:00" u="1"/>
        <d v="2025-06-30T12:10:00" u="1"/>
        <d v="2025-06-30T06:54:00" u="1"/>
        <d v="2025-06-30T06:45:00" u="1"/>
        <d v="2025-06-30T12:54:00" u="1"/>
        <d v="2025-06-25T11:55:00" u="1"/>
        <d v="2025-01-24T17:11:00" u="1"/>
        <d v="2025-06-26T13:54:00" u="1"/>
        <d v="2025-06-27T18:56:00" u="1"/>
        <d v="2025-06-27T00:00:00" u="1"/>
        <d v="2025-06-25T08:50:00" u="1"/>
        <d v="2025-06-27T18:57:00" u="1"/>
        <d v="2025-06-27T19:01:00" u="1"/>
        <d v="2025-06-30T15:50:00" u="1"/>
        <d v="2025-06-30T15:43:00" u="1"/>
        <d v="2025-06-30T15:52:00" u="1"/>
        <d v="2025-06-30T15:41:00" u="1"/>
        <d v="2025-06-24T10:02:00" u="1"/>
        <d v="2025-06-26T14:51:00" u="1"/>
        <d v="2025-01-15T16:48:00" u="1"/>
        <d v="2025-06-26T10:25:00" u="1"/>
        <d v="2025-06-30T10:01:00" u="1"/>
        <d v="2025-06-30T10:40:00" u="1"/>
        <d v="2025-06-27T17:43:00" u="1"/>
        <d v="2025-06-27T17:28:00" u="1"/>
        <d v="2025-06-27T14:25:00" u="1"/>
        <d v="2025-06-25T13:48:00" u="1"/>
        <d v="2025-06-24T10:36:00" u="1"/>
        <d v="2025-06-26T11:31:00" u="1"/>
        <d v="2025-06-27T09:46:00" u="1"/>
        <d v="2025-06-27T08:27:00" u="1"/>
        <d v="2025-06-30T13:26:00" u="1"/>
        <d v="2025-06-30T18:11:00" u="1"/>
        <d v="2025-06-30T10:17:00" u="1"/>
        <d v="2025-06-24T14:48:00" u="1"/>
        <d v="2025-06-23T16:44:00" u="1"/>
        <d v="2025-06-09T12:04:00" u="1"/>
        <d v="2025-06-09T11:54:00" u="1"/>
        <d v="2025-06-10T11:38:00" u="1"/>
        <d v="2025-06-27T14:06:00" u="1"/>
        <d v="2025-06-25T18:22:00" u="1"/>
        <d v="2025-06-30T18:20:00" u="1"/>
        <d v="2025-06-18T17:45:00" u="1"/>
        <d v="2025-06-02T18:36:00" u="1"/>
        <d v="2025-06-03T11:07:00" u="1"/>
        <d v="2025-06-03T14:26:00" u="1"/>
        <d v="2025-06-30T09:20:00" u="1"/>
        <d v="2025-06-18T17:44:00" u="1"/>
        <d v="2025-06-30T14:07:00" u="1"/>
        <d v="2025-06-26T11:02:00" u="1"/>
        <d v="2025-06-27T16:21:00" u="1"/>
        <d v="2025-06-27T16:27:00" u="1"/>
        <d v="2025-06-23T14:26:00" u="1"/>
        <d v="2025-06-27T16:38:00" u="1"/>
        <d v="2025-06-30T08:57:00" u="1"/>
        <d v="2025-06-26T16:49:00" u="1"/>
        <d v="2025-06-10T22:14:00" u="1"/>
        <d v="2025-06-30T10:29:00" u="1"/>
        <d v="2025-06-30T14:33:00" u="1"/>
        <d v="2025-06-30T08:29:00" u="1"/>
        <d v="2025-06-26T17:51:00" u="1"/>
        <d v="2025-06-25T10:17:00" u="1"/>
        <d v="2025-06-30T17:12:00" u="1"/>
        <d v="2025-06-30T14:18:00" u="1"/>
        <d v="2025-06-25T09:37:00" u="1"/>
        <d v="2025-06-30T11:45:00" u="1"/>
        <d v="2025-06-30T08:49:00" u="1"/>
        <d v="2025-06-25T11:32:00" u="1"/>
        <d v="2025-06-26T19:08:00" u="1"/>
        <d v="2025-06-27T17:27:00" u="1"/>
        <d v="2025-06-27T12:05:00" u="1"/>
        <d v="2025-06-27T17:01:00" u="1"/>
        <d v="2025-06-27T16:41:00" u="1"/>
        <d v="2025-06-26T18:30:00" u="1"/>
        <d v="2025-06-26T12:30:00" u="1"/>
        <d v="2025-06-30T11:23:00" u="1"/>
        <d v="2025-06-28T09:52:00" u="1"/>
        <d v="2025-06-30T16:01:00" u="1"/>
        <d v="2025-07-01T05:59:00" u="1"/>
        <d v="2025-06-30T11:27:00" u="1"/>
        <d v="2025-06-26T16:38:00" u="1"/>
        <d v="2025-06-30T18:48:00" u="1"/>
        <d v="2025-06-23T14:04:00" u="1"/>
        <d v="2025-06-24T19:32:00" u="1"/>
        <d v="2025-06-26T14:46:00" u="1"/>
        <d v="2025-06-26T08:34:00" u="1"/>
        <d v="2025-06-30T14:37:00" u="1"/>
        <d v="2025-06-27T09:11:00" u="1"/>
        <d v="2025-06-26T08:41:00" u="1"/>
        <d v="2025-06-30T17:15:00" u="1"/>
        <d v="2025-06-26T08:45:00" u="1"/>
        <d v="2025-06-25T22:57:00" u="1"/>
        <d v="2025-06-24T14:05:00" u="1"/>
        <d v="2025-06-25T21:16:00" u="1"/>
        <d v="2025-06-26T08:27:00" u="1"/>
        <d v="2025-07-01T04:55:00" u="1"/>
        <d v="2025-07-01T04:54:00" u="1"/>
        <d v="2025-07-01T04:53:00" u="1"/>
        <d v="2025-06-30T14:31:00" u="1"/>
        <d v="2025-06-27T11:42:00" u="1"/>
        <d v="2025-06-24T14:33:00" u="1"/>
        <d v="2025-06-26T14:47:00" u="1"/>
        <d v="2025-06-25T10:30:00" u="1"/>
        <d v="2025-06-25T14:57:00" u="1"/>
        <d v="2025-06-25T14:46:00" u="1"/>
        <d v="2025-06-26T12:06:00" u="1"/>
        <d v="2025-06-24T15:31:00" u="1"/>
        <d v="2025-06-30T17:45:00" u="1"/>
        <d v="2025-06-30T16:23:00" u="1"/>
        <d v="2025-06-30T10:28:00" u="1"/>
        <d v="2025-06-27T11:38:00" u="1"/>
        <d v="2025-06-30T18:16:00" u="1"/>
        <d v="2025-06-25T15:41:00" u="1"/>
        <d v="2025-06-27T15:26:00" u="1"/>
        <d v="2025-06-27T16:18:00" u="1"/>
        <d v="2025-06-26T09:46:00" u="1"/>
        <d v="2025-06-24T17:43:00" u="1"/>
        <d v="2025-06-30T10:19:00" u="1"/>
        <d v="2025-06-30T13:24:00" u="1"/>
        <d v="2025-06-27T15:06:00" u="1"/>
        <d v="2025-06-30T13:27:00" u="1"/>
        <d v="2025-06-06T20:31:00" u="1"/>
        <d v="2025-06-28T17:16:00" u="1"/>
        <d v="2025-06-26T15:53:00" u="1"/>
        <d v="2025-06-30T16:35:00" u="1"/>
        <d v="2025-06-30T13:36:00" u="1"/>
        <d v="2025-06-30T16:16:00" u="1"/>
        <d v="2025-06-30T15:11:00" u="1"/>
        <d v="2025-06-06T15:50:00" u="1"/>
        <d v="2025-06-30T15:19:00" u="1"/>
        <d v="2025-06-27T14:13:00" u="1"/>
        <d v="2025-06-06T18:00:00" u="1"/>
        <d v="2025-06-27T11:35:00" u="1"/>
        <d v="2025-06-17T11:03:00" u="1"/>
        <d v="2025-06-26T06:55:00" u="1"/>
        <d v="2025-06-24T18:46:00" u="1"/>
        <d v="2025-06-30T11:08:00" u="1"/>
        <d v="2025-06-25T10:06:00" u="1"/>
        <d v="2025-06-24T19:12:00" u="1"/>
        <d v="2025-06-30T13:41:00" u="1"/>
        <d v="2025-06-25T19:25:00" u="1"/>
        <d v="2025-06-25T16:02:00" u="1"/>
        <d v="2025-06-30T13:40:00" u="1"/>
        <d v="2025-06-25T16:41:00" u="1"/>
        <d v="2025-06-27T16:37:00" u="1"/>
        <d v="2025-06-30T08:54:00" u="1"/>
        <d v="2025-06-27T07:07:00" u="1"/>
        <d v="2025-06-25T00:00:00" u="1"/>
        <d v="2025-06-24T23:27:00" u="1"/>
        <d v="2025-06-27T17:36:00" u="1"/>
        <d v="2025-06-26T17:25:00" u="1"/>
        <d v="2025-06-26T16:36:00" u="1"/>
        <d v="2025-06-26T17:00:00" u="1"/>
        <d v="2025-06-26T16:31:00" u="1"/>
        <d v="2025-06-26T17:05:00" u="1"/>
        <d v="2025-06-23T14:12:00" u="1"/>
        <d v="2025-06-24T19:02:00" u="1"/>
        <d v="2025-06-30T10:02:00" u="1"/>
        <d v="2025-06-26T12:13:00" u="1"/>
        <d v="2025-06-30T18:27:00" u="1"/>
        <d v="2025-06-23T13:55:00" u="1"/>
        <d v="2025-06-24T18:26:00" u="1"/>
        <d v="2025-06-26T11:17:00" u="1"/>
        <d v="2025-06-30T18:35:00" u="1"/>
        <d v="2025-06-25T13:33:00" u="1"/>
        <d v="2025-06-26T18:49:00" u="1"/>
        <d v="2025-06-30T15:55:00" u="1"/>
        <d v="2025-06-27T14:12:00" u="1"/>
        <d v="2025-06-27T15:23:00" u="1"/>
        <d v="2025-06-27T12:49:00" u="1"/>
        <d v="2025-06-12T17:37:00" u="1"/>
        <d v="2025-06-27T13:40:00" u="1"/>
        <d v="2025-06-27T13:42:00" u="1"/>
        <d v="2025-06-27T11:57:00" u="1"/>
        <d v="2025-06-27T11:33:00" u="1"/>
        <d v="2025-06-27T16:13:00" u="1"/>
        <d v="2025-06-27T16:01:00" u="1"/>
        <d v="2025-06-26T15:28:00" u="1"/>
        <d v="2025-06-26T14:36:00" u="1"/>
        <d v="2025-06-26T08:57:00" u="1"/>
        <d v="2025-06-27T11:48:00" u="1"/>
        <d v="2025-06-25T15:38:00" u="1"/>
        <d v="2025-06-27T09:33:00" u="1"/>
        <d v="2025-06-24T08:38:00" u="1"/>
        <d v="2025-06-27T16:15:00" u="1"/>
        <d v="2025-06-18T13:12:00" u="1"/>
        <d v="2025-06-28T12:01:00" u="1"/>
        <d v="2025-06-25T15:18:00" u="1"/>
        <d v="2025-06-27T17:13:00" u="1"/>
        <d v="2025-06-25T18:24:00" u="1"/>
        <d v="2025-06-25T17:43:00" u="1"/>
        <d v="2025-06-27T17:30:00" u="1"/>
        <d v="2025-06-25T16:39:00" u="1"/>
        <d v="2025-06-27T11:27:00" u="1"/>
        <d v="2025-06-26T09:11:00" u="1"/>
        <d v="2025-06-27T17:21:00" u="1"/>
        <d v="2025-06-27T14:55:00" u="1"/>
        <d v="2025-06-27T15:02:00" u="1"/>
        <d v="2025-06-26T08:29:00" u="1"/>
        <d v="2025-06-27T12:09:00" u="1"/>
        <d v="2025-02-09T00:00:00" u="1"/>
        <d v="2025-06-20T13:51:00" u="1"/>
        <d v="2025-06-24T15:30:00" u="1"/>
        <d v="2025-06-24T16:29:00" u="1"/>
        <d v="2025-06-24T09:40:00" u="1"/>
        <d v="2025-06-23T18:08:00" u="1"/>
        <d v="2025-06-23T17:15:00" u="1"/>
        <d v="2025-06-26T19:46:00" u="1"/>
        <d v="2025-06-27T10:41:00" u="1"/>
        <d v="2025-06-27T10:44:00" u="1"/>
        <d v="2025-06-26T07:18:00" u="1"/>
        <d v="2025-06-26T12:33:00" u="1"/>
        <d v="2025-06-25T11:52:00" u="1"/>
        <d v="2025-06-26T17:34:00" u="1"/>
        <d v="2025-06-27T18:46:00" u="1"/>
        <d v="2025-06-27T10:58:00" u="1"/>
        <d v="2025-06-27T08:23:00" u="1"/>
        <d v="2025-06-27T20:54:00" u="1"/>
        <d v="2025-06-26T23:27:00" u="1"/>
        <d v="2025-06-25T08:03:00" u="1"/>
        <d v="2025-06-26T16:11:00" u="1"/>
        <d v="2025-06-26T16:22:00" u="1"/>
        <d v="2025-06-26T16:27:00" u="1"/>
        <d v="2025-06-26T16:32:00" u="1"/>
        <d v="2025-06-26T15:57:00" u="1"/>
        <d v="2025-06-26T14:38:00" u="1"/>
        <d v="2025-06-26T15:18:00" u="1"/>
        <d v="2025-06-24T08:37:00" u="1"/>
        <d v="2025-06-26T08:49:00" u="1"/>
        <d v="2025-06-26T08:46:00" u="1"/>
        <d v="2025-06-25T14:44:00" u="1"/>
        <d v="2025-06-25T14:34:00" u="1"/>
        <d v="2025-06-20T10:11:00" u="1"/>
        <d v="2025-06-27T15:01:00" u="1"/>
        <d v="2025-06-27T13:55:00" u="1"/>
        <d v="2025-06-27T14:22:00" u="1"/>
        <d v="2025-06-26T17:36:00" u="1"/>
        <d v="2025-06-27T10:34:00" u="1"/>
        <d v="2025-05-26T07:38:00" u="1"/>
        <d v="2025-06-27T09:04:00" u="1"/>
        <d v="2025-06-27T17:47:00" u="1"/>
        <d v="2025-06-26T15:08:00" u="1"/>
        <d v="2025-06-27T06:44:00" u="1"/>
        <d v="2025-06-27T14:32:00" u="1"/>
        <d v="2025-06-27T13:29:00" u="1"/>
        <d v="2025-06-24T12:28:00" u="1"/>
        <d v="2025-06-12T13:33:00" u="1"/>
        <d v="2025-06-27T14:39:00" u="1"/>
        <d v="2025-06-27T13:38:00" u="1"/>
        <d v="2025-06-27T13:39:00" u="1"/>
        <d v="2025-06-27T12:02:00" u="1"/>
        <d v="2025-06-27T14:58:00" u="1"/>
        <d v="2025-06-27T15:50:00" u="1"/>
        <d v="2025-06-20T12:51:00" u="1"/>
        <d v="2025-06-20T12:52:00" u="1"/>
        <d v="2025-06-04T10:50:00" u="1"/>
        <d v="2025-06-25T18:02:00" u="1"/>
        <d v="2025-06-26T10:32:00" u="1"/>
        <d v="2025-06-24T17:59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20T09:23:00" u="1"/>
        <d v="2025-06-23T13:51:00" u="1"/>
        <d v="2025-06-23T11:22:00" u="1"/>
        <d v="2025-06-25T14:28:00" u="1"/>
        <d v="2025-06-25T14:29:00" u="1"/>
        <d v="2025-06-26T13:00:00" u="1"/>
        <d v="2025-06-20T16:16:00" u="1"/>
        <d v="2025-06-20T16:51:00" u="1"/>
        <d v="2025-06-26T15:49:00" u="1"/>
        <d v="2025-06-26T16:06:00" u="1"/>
        <d v="2025-06-26T16:14:00" u="1"/>
        <d v="2025-06-26T16:20:00" u="1"/>
        <d v="2025-06-26T12:25:00" u="1"/>
        <d v="2025-06-26T12:53:00" u="1"/>
        <d v="2025-06-26T09:02:00" u="1"/>
        <d v="2025-06-26T08:52:00" u="1"/>
        <d v="2025-06-25T16:51:00" u="1"/>
        <d v="2025-06-25T14:4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6T09:26:00" u="1"/>
        <d v="2025-06-20T09:21:00" u="1"/>
        <d v="2025-06-24T10:30:00" u="1"/>
        <d v="2025-06-24T10:39:00" u="1"/>
        <d v="2025-06-24T10:42:00" u="1"/>
        <d v="2025-06-25T09:17:00" u="1"/>
        <d v="2025-06-26T17:35:00" u="1"/>
        <d v="2025-06-24T12:24:00" u="1"/>
        <d v="2025-06-26T10:24:00" u="1"/>
        <d v="2025-06-25T14:38:00" u="1"/>
        <d v="2025-06-24T13:50:00" u="1"/>
        <d v="2025-06-26T09:17:00" u="1"/>
        <d v="2025-06-26T14:57:00" u="1"/>
        <d v="2025-06-26T15:01:00" u="1"/>
        <d v="2025-06-26T12:22:00" u="1"/>
        <d v="2025-06-26T15:09:00" u="1"/>
        <d v="2025-06-26T15:19:00" u="1"/>
        <d v="2025-05-28T14:09:00" u="1"/>
        <d v="2025-06-26T16:46:00" u="1"/>
        <d v="2025-06-13T10:02:00" u="1"/>
        <d v="2025-06-06T15:30:00" u="1"/>
        <d v="2025-06-25T08:55:00" u="1"/>
        <d v="2025-05-05T09:03:00" u="1"/>
        <d v="2025-06-25T10:33:00" u="1"/>
        <d v="2025-06-25T11:25:00" u="1"/>
        <d v="2025-06-25T12:42:00" u="1"/>
        <d v="2025-06-25T12:48:00" u="1"/>
        <d v="2025-06-25T12:33:00" u="1"/>
        <d v="2025-06-17T11:39:00" u="1"/>
        <d v="2025-06-16T09:53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10T13:21:00" u="1"/>
        <d v="2025-06-18T15:06:00" u="1"/>
        <d v="2025-06-25T08:58:00" u="1"/>
        <d v="2025-06-11T15:19:00" u="1"/>
        <d v="2025-06-25T18:25:00" u="1"/>
        <d v="2025-06-10T15:33:00" u="1"/>
        <d v="2025-06-24T09:46:00" u="1"/>
        <d v="2025-06-23T14:43:00" u="1"/>
        <d v="2025-06-18T12:19:00" u="1"/>
        <d v="2025-06-25T13:03:00" u="1"/>
        <d v="2025-06-22T12:48:00" u="1"/>
        <d v="2025-06-11T09:13:00" u="1"/>
        <d v="2025-06-09T08:57:00" u="1"/>
        <d v="2025-06-24T17:22:00" u="1"/>
        <d v="2025-06-24T14:40:12" u="1"/>
        <d v="2025-06-24T14:40:00" u="1"/>
        <d v="2025-06-24T16:44:00" u="1"/>
        <d v="2025-06-24T16:19:00" u="1"/>
        <d v="2025-06-24T16:20:00" u="1"/>
        <d v="2025-06-24T16:26:00" u="1"/>
        <d v="2025-06-24T16:27:00" u="1"/>
        <d v="2025-06-25T15:47:00" u="1"/>
        <d v="2025-06-25T14:10:00" u="1"/>
        <d v="2025-06-20T15:34:00" u="1"/>
        <d v="2025-06-19T00:00:00" u="1"/>
        <d v="2025-06-25T18:27:00" u="1"/>
        <d v="2025-06-23T18:23:00" u="1"/>
        <d v="2025-06-25T08:23:00" u="1"/>
        <d v="2025-06-16T08:45:00" u="1"/>
        <d v="2025-05-28T00:00:00" u="1"/>
        <d v="2025-06-25T14:30:00" u="1"/>
        <d v="2025-06-19T07:58:00" u="1"/>
        <d v="2025-06-24T11:58:00" u="1"/>
        <d v="2025-05-14T15:07:00" u="1"/>
        <d v="2025-06-03T10:08:00" u="1"/>
        <d v="2025-06-18T14:03:00" u="1"/>
        <d v="2025-06-24T08:59:00" u="1"/>
        <d v="2025-06-24T09:41:00" u="1"/>
        <d v="2025-05-28T16:01:00" u="1"/>
        <d v="2025-06-04T07:43:00" u="1"/>
        <d v="2025-06-09T07:48:00" u="1"/>
        <d v="2025-06-25T14:35:00" u="1"/>
        <d v="2025-06-13T08:54:00" u="1"/>
        <d v="2025-06-12T12:31:00" u="1"/>
        <d v="2025-06-12T12:34:00" u="1"/>
        <d v="2025-06-12T12:37:00" u="1"/>
        <d v="2025-06-04T08:08:00" u="1"/>
        <d v="2025-06-04T08:10:00" u="1"/>
        <d v="2025-06-04T09:04:00" u="1"/>
        <d v="2025-06-06T08:49:00" u="1"/>
        <d v="2025-06-04T13:13:00" u="1"/>
        <d v="2025-06-06T07:19:00" u="1"/>
        <d v="2025-06-06T14:12:00" u="1"/>
        <d v="2025-06-25T18:11:00" u="1"/>
        <d v="2025-06-25T18:31:00" u="1"/>
        <d v="2025-06-23T07:00:00" u="1"/>
        <d v="2025-06-12T15:36:00" u="1"/>
        <d v="2025-06-12T08:57:00" u="1"/>
        <d v="2025-06-24T09:32:00" u="1"/>
        <d v="2025-06-23T12:12:00" u="1"/>
        <d v="2025-06-13T08:01:00" u="1"/>
        <d v="2025-04-25T00:00:00" u="1"/>
        <d v="2025-06-24T07:54:00" u="1"/>
        <d v="2025-06-23T07:32:00" u="1"/>
        <d v="2025-06-23T13:53:00" u="1"/>
        <d v="2025-06-06T09:23:00" u="1"/>
        <d v="2024-12-13T13:42:00" u="1"/>
        <d v="2025-06-12T14:19:00" u="1"/>
        <d v="2025-06-16T10:35:00" u="1"/>
        <d v="2025-06-23T06:43:00" u="1"/>
        <d v="2025-06-23T06:42:00" u="1"/>
        <d v="2025-04-29T07:48:00" u="1"/>
        <d v="2025-06-11T11:36:00" u="1"/>
        <d v="2025-06-25T15:35:00" u="1"/>
        <d v="2025-06-25T15:29:00" u="1"/>
        <d v="2025-06-25T08:07:00" u="1"/>
        <d v="2025-06-25T17:45:00" u="1"/>
        <d v="2025-06-25T17:50:00" u="1"/>
        <d v="2025-06-25T10:54:00" u="1"/>
        <d v="2025-06-24T10:58:00" u="1"/>
        <d v="2025-06-24T10:49:00" u="1"/>
        <d v="2025-06-12T09:47:00" u="1"/>
        <d v="2025-06-14T18:36:00" u="1"/>
        <d v="2025-05-15T07:57:00" u="1"/>
        <d v="2025-06-14T18:51:00" u="1"/>
        <d v="2025-06-25T15:31:00" u="1"/>
        <d v="2025-06-24T15:32:00" u="1"/>
        <d v="2025-01-16T11:41:00" u="1"/>
        <d v="2025-06-16T08:51:00" u="1"/>
        <d v="2025-06-24T19:22:00" u="1"/>
        <d v="2025-06-19T09:57:00" u="1"/>
        <d v="2025-06-14T19:21:00" u="1"/>
        <d v="2025-06-25T11:00:00" u="1"/>
        <d v="2025-06-25T09:44:00" u="1"/>
        <d v="2025-06-24T10:11:00" u="1"/>
        <d v="2025-06-24T08:23:00" u="1"/>
        <d v="2025-06-23T17:56:00" u="1"/>
        <d v="2025-06-24T15:17:00" u="1"/>
        <d v="2025-06-23T11:07:00" u="1"/>
        <d v="2025-06-24T15:37:00" u="1"/>
        <d v="2025-06-24T10:57:00" u="1"/>
        <d v="2025-06-23T12:33:00" u="1"/>
        <d v="2025-06-23T11:55:00" u="1"/>
        <d v="2025-06-16T05:08:00" u="1"/>
        <d v="2025-06-23T09:16:00" u="1"/>
        <d v="2025-06-23T08:52:00" u="1"/>
        <d v="2025-06-23T08:41:00" u="1"/>
        <d v="2025-06-23T10:16:00" u="1"/>
        <d v="2025-06-20T13:30:00" u="1"/>
        <d v="2025-06-20T13:47:00" u="1"/>
        <d v="2025-06-24T09:53:00" u="1"/>
        <d v="2025-06-23T08:14:00" u="1"/>
        <d v="2025-06-23T10:05:00" u="1"/>
        <d v="2025-06-23T18:51:00" u="1"/>
        <d v="2025-06-18T18:11:00" u="1"/>
        <d v="2025-06-10T07:55:00" u="1"/>
        <d v="2025-06-16T11:01:00" u="1"/>
        <d v="2025-06-23T11:04:00" u="1"/>
        <d v="2025-06-17T10:08:00" u="1"/>
        <d v="2025-06-23T13:37:00" u="1"/>
        <d v="2025-06-23T10:48:00" u="1"/>
        <d v="2025-06-18T10:45:00" u="1"/>
        <d v="2025-06-17T14:27:00" u="1"/>
        <d v="2025-06-12T14:43:00" u="1"/>
        <d v="2025-05-26T06:10:00" u="1"/>
        <d v="2025-06-20T09:53:00" u="1"/>
        <d v="2025-06-23T13:52:00" u="1"/>
        <d v="2025-06-17T11:53:00" u="1"/>
        <d v="2025-06-24T12:55:00" u="1"/>
        <d v="2025-06-24T10:48:00" u="1"/>
        <d v="2025-06-23T14:49:00" u="1"/>
        <d v="2025-06-24T09:29:00" u="1"/>
        <d v="2025-06-24T09:35:00" u="1"/>
        <d v="2025-06-24T08:33:00" u="1"/>
        <d v="2025-06-24T08:35:00" u="1"/>
        <d v="2025-06-24T15:03:00" u="1"/>
        <d v="2025-06-24T13:41:00" u="1"/>
        <d v="2025-06-24T14:06:00" u="1"/>
        <d v="2025-06-24T13:37:00" u="1"/>
        <d v="2025-06-23T09:49:00" u="1"/>
        <d v="2025-06-23T08:11:00" u="1"/>
        <d v="2025-06-24T08:40:00" u="1"/>
        <d v="2025-06-23T12:18:00" u="1"/>
        <d v="2025-06-24T13:51:00" u="1"/>
        <d v="2025-06-24T14:02:00" u="1"/>
        <d v="2025-06-23T15:01:00" u="1"/>
        <d v="2025-06-23T15:00:00" u="1"/>
        <d v="2025-06-20T18:41:00" u="1"/>
        <d v="2025-06-20T18:39:00" u="1"/>
        <d v="2025-06-24T10:19:00" u="1"/>
        <d v="2025-06-24T10:18:00" u="1"/>
        <d v="2025-06-24T10:17:00" u="1"/>
        <d v="2025-06-23T14:00:00" u="1"/>
        <d v="2025-06-20T15:30:00" u="1"/>
        <d v="2025-06-20T09:22:00" u="1"/>
        <d v="2025-06-23T14:13:00" u="1"/>
        <d v="2025-06-23T14:23:00" u="1"/>
        <d v="2025-06-12T17:17:00" u="1"/>
        <d v="2025-06-20T11:51:00" u="1"/>
        <d v="2025-06-23T10:43:00" u="1"/>
        <d v="2025-06-24T11:29:00" u="1"/>
        <d v="2025-06-24T14:59:00" u="1"/>
        <d v="2025-06-24T13:44:00" u="1"/>
        <d v="2025-06-24T14:14:00" u="1"/>
        <d v="2025-06-23T17:45:00" u="1"/>
        <d v="2025-06-24T14:12:00" u="1"/>
        <d v="2025-06-23T15:04:00" u="1"/>
        <d v="2025-06-23T12:16:00" u="1"/>
        <d v="2025-06-24T10:45:00" u="1"/>
        <d v="2025-06-24T09:15:00" u="1"/>
        <d v="2025-06-23T11:46:00" u="1"/>
        <d v="2025-06-20T15:16:00" u="1"/>
        <d v="2025-06-23T17:39:00" u="1"/>
        <d v="2025-06-23T15:47:00" u="1"/>
        <d v="2025-06-23T14:29:00" u="1"/>
        <d v="2025-06-23T15:46:00" u="1"/>
        <d v="2025-06-24T18:43:00" u="1"/>
        <d v="2025-06-23T13:03:00" u="1"/>
        <d v="2025-06-23T11:03:00" u="1"/>
        <d v="2025-06-23T09:53:00" u="1"/>
        <d v="2025-06-23T15:45:00" u="1"/>
        <d v="2025-06-22T13:56:00" u="1"/>
        <d v="2025-06-23T16:51:00" u="1"/>
        <d v="2025-06-23T11:43:00" u="1"/>
        <d v="2025-04-01T15:04:00" u="1"/>
        <d v="2025-05-29T14:11:00" u="1"/>
        <d v="2025-05-17T11:46:00" u="1"/>
        <d v="2025-06-04T14:55:00" u="1"/>
        <d v="2025-06-13T15:43:00" u="1"/>
        <d v="2025-06-21T14:33:00" u="1"/>
        <d v="2025-02-12T16:00:00" u="1"/>
        <d v="2025-02-07T10:49:00" u="1"/>
        <d v="2025-02-21T15:33:00" u="1"/>
        <d v="2025-06-24T15:57:19" u="1"/>
        <d v="2025-06-24T18:48:00" u="1"/>
        <d v="2025-06-24T17:01:00" u="1"/>
        <d v="2025-06-24T20:44:00" u="1"/>
        <d v="2025-06-24T16:54:00" u="1"/>
        <d v="2025-06-24T17:00:00" u="1"/>
        <d v="2025-06-17T17:59:00" u="1"/>
        <d v="2025-06-25T00:19:00" u="1"/>
        <d v="2025-05-06T08:15:00" u="1"/>
        <d v="2025-05-16T22:30:00" u="1"/>
        <d v="2025-05-23T08:52:00" u="1"/>
        <d v="2025-05-19T13:34:00" u="1"/>
        <d v="2025-05-19T11:44:00" u="1"/>
        <d v="2025-05-19T13:36:00" u="1"/>
        <d v="2025-05-20T04:30:00" u="1"/>
        <d v="2025-05-19T00:00:00" u="1"/>
        <d v="2025-05-23T08:36:00" u="1"/>
        <d v="2025-05-26T08:26:00" u="1"/>
        <d v="2025-06-17T07:57:00" u="1"/>
        <d v="2025-05-19T12:31:00" u="1"/>
        <d v="2025-05-22T09:15:00" u="1"/>
        <d v="2025-05-26T06:46:00" u="1"/>
        <d v="2025-05-23T07:52:00" u="1"/>
        <d v="2025-05-26T00:00:00" u="1"/>
        <d v="2025-05-20T19:10:00" u="1"/>
        <d v="2025-05-22T11:50:00" u="1"/>
        <d v="2025-06-23T16:18:00" u="1"/>
        <d v="2025-06-24T13:23:00" u="1"/>
        <d v="2025-05-20T10:39:00" u="1"/>
        <d v="2025-05-22T10:49:00" u="1"/>
        <d v="2025-05-27T15:29:00" u="1"/>
        <d v="2025-05-27T19:19:00" u="1"/>
        <d v="2025-05-23T12:13:00" u="1"/>
        <d v="2025-05-15T09:43:00" u="1"/>
        <d v="2025-05-27T04:07:00" u="1"/>
        <d v="2025-05-23T13:35:00" u="1"/>
        <d v="2025-05-21T00:00:00" u="1"/>
        <d v="2025-03-21T07:40:00" u="1"/>
        <d v="2025-06-24T13:38:00" u="1"/>
        <d v="2025-05-26T07:26:00" u="1"/>
        <d v="2025-05-26T07:24:00" u="1"/>
        <d v="2025-05-20T16:28:00" u="1"/>
        <d v="2025-05-05T09:41:00" u="1"/>
        <d v="2025-05-23T08:37:00" u="1"/>
        <d v="2025-05-27T11:31:00" u="1"/>
        <d v="2025-05-22T06:47:00" u="1"/>
        <d v="2025-05-13T00:00:00" u="1"/>
        <d v="2025-05-12T12:41:00" u="1"/>
        <d v="2025-05-28T17:30:00" u="1"/>
        <d v="2025-05-19T12:33:00" u="1"/>
        <d v="2025-05-15T07:49:00" u="1"/>
        <d v="2025-05-27T15:11:00" u="1"/>
        <d v="2025-05-22T13:20:00" u="1"/>
        <d v="2025-05-20T08:31:00" u="1"/>
        <d v="2025-05-19T11:46:00" u="1"/>
        <d v="2025-05-19T15:32:00" u="1"/>
        <d v="2025-05-23T10:07:00" u="1"/>
        <d v="2025-05-26T10:38:00" u="1"/>
        <d v="2025-05-27T13:54:00" u="1"/>
        <d v="2025-05-20T14:36:00" u="1"/>
        <d v="2025-05-27T08:39:00" u="1"/>
        <d v="2025-05-27T08:50:00" u="1"/>
        <d v="2025-04-29T08:09:00" u="1"/>
        <d v="2025-05-26T07:00:00" u="1"/>
        <d v="2025-04-08T15:50:00" u="1"/>
        <d v="2025-04-11T09:06:00" u="1"/>
        <d v="2025-03-20T06:23:00" u="1"/>
        <d v="2025-05-26T07:18:00" u="1"/>
        <d v="2025-05-16T10:16:00" u="1"/>
        <d v="2025-05-23T15:41:00" u="1"/>
        <d v="2025-04-08T15:52:00" u="1"/>
        <d v="2025-05-16T07:27:00" u="1"/>
        <d v="2024-11-28T00:00:00" u="1"/>
        <d v="2025-05-19T15:17:00" u="1"/>
        <d v="2025-05-23T11:25:00" u="1"/>
        <d v="2025-05-15T00:00:00" u="1"/>
        <d v="2025-02-27T06:25:00" u="1"/>
        <d v="2025-05-28T09:03:00" u="1"/>
      </sharedItems>
      <fieldGroup par="44"/>
    </cacheField>
    <cacheField name="Requisição" numFmtId="0">
      <sharedItems containsBlank="1" containsMixedTypes="1" containsNumber="1" containsInteger="1" minValue="44" maxValue="13893799819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660876" maxValue="9781620000"/>
    </cacheField>
    <cacheField name="Canal de Vendas" numFmtId="0">
      <sharedItems containsBlank="1"/>
    </cacheField>
    <cacheField name="Codigo Evento" numFmtId="0">
      <sharedItems containsBlank="1"/>
    </cacheField>
    <cacheField name="Tarifa" numFmtId="0">
      <sharedItems containsString="0" containsBlank="1" containsNumber="1" minValue="-304948.56" maxValue="3118879.5" count="8000">
        <n v="10717.28"/>
        <n v="11945.44"/>
        <n v="489.99"/>
        <n v="230"/>
        <n v="1317.8"/>
        <n v="789.8"/>
        <n v="0"/>
        <n v="612"/>
        <n v="920"/>
        <n v="3409.02"/>
        <n v="219"/>
        <n v="440"/>
        <n v="1288"/>
        <n v="128.74"/>
        <n v="162.06"/>
        <n v="114.74"/>
        <n v="750"/>
        <n v="526"/>
        <n v="314.32"/>
        <n v="1046"/>
        <n v="2524.4"/>
        <n v="321.43"/>
        <n v="195.33359999999999"/>
        <n v="304.065"/>
        <n v="1335"/>
        <n v="4764.5640000000003"/>
        <n v="3757"/>
        <n v="594"/>
        <n v="3272.4047999999998"/>
        <n v="2468.0100000000002"/>
        <n v="2198.13"/>
        <n v="7739.95"/>
        <n v="4104.75"/>
        <n v="275"/>
        <n v="263"/>
        <n v="285.79000000000002"/>
        <n v="197"/>
        <n v="1362.8"/>
        <n v="285.44"/>
        <n v="107.42"/>
        <n v="477.94"/>
        <n v="141.30000000000001"/>
        <n v="485.63"/>
        <n v="928"/>
        <n v="4457.97"/>
        <n v="1611.99"/>
        <n v="856.5"/>
        <n v="175.22"/>
        <n v="868.03499999999997"/>
        <n v="937.1"/>
        <n v="1309.3599999999999"/>
        <n v="1176.328"/>
        <n v="367.75"/>
        <n v="252.46"/>
        <n v="2495.96"/>
        <n v="683.68"/>
        <n v="341.84"/>
        <n v="326.22000000000003"/>
        <n v="468.55"/>
        <n v="452.4"/>
        <n v="425.7"/>
        <n v="5453.4"/>
        <n v="12085.091200000001"/>
        <n v="1819.76"/>
        <n v="856"/>
        <n v="630"/>
        <n v="1460"/>
        <n v="365"/>
        <n v="665"/>
        <n v="408"/>
        <n v="189.75"/>
        <n v="220"/>
        <n v="182"/>
        <n v="584.41999999999996"/>
        <n v="546.03359999999998"/>
        <n v="266.76"/>
        <n v="266.67"/>
        <n v="344.68"/>
        <n v="5949.78"/>
        <n v="5926.86"/>
        <n v="85.52"/>
        <n v="788.5"/>
        <n v="394.25"/>
        <n v="110"/>
        <n v="3186.99"/>
        <n v="561"/>
        <n v="11174.3879"/>
        <n v="484"/>
        <n v="242"/>
        <n v="5850.4139999999998"/>
        <n v="1088.55"/>
        <n v="943.20399999999995"/>
        <n v="449.8"/>
        <n v="3571.2392"/>
        <n v="860.19600000000003"/>
        <n v="662"/>
        <n v="91.77"/>
        <n v="652.96"/>
        <n v="498.22"/>
        <n v="666.63520000000005"/>
        <n v="420.75940000000003"/>
        <n v="709.49030000000005"/>
        <n v="1779.702"/>
        <n v="895.78340000000003"/>
        <n v="1196.4000000000001"/>
        <n v="2707.4189999999999"/>
        <n v="293"/>
        <n v="740"/>
        <n v="824.91300000000001"/>
        <n v="445.7808"/>
        <n v="879.54300000000001"/>
        <n v="759.96559999999999"/>
        <n v="116.97"/>
        <n v="759.12"/>
        <n v="1783.3679999999999"/>
        <n v="1796.34"/>
        <n v="1110.52"/>
        <n v="305"/>
        <n v="834.74"/>
        <n v="983.22"/>
        <n v="273.27"/>
        <n v="1263.1500000000001"/>
        <n v="1273.28"/>
        <n v="3408.636"/>
        <n v="386"/>
        <n v="436.96"/>
        <n v="310.98"/>
        <n v="2480"/>
        <n v="5040"/>
        <n v="2170"/>
        <n v="5640"/>
        <n v="847.83"/>
        <n v="270"/>
        <n v="1982"/>
        <n v="5298"/>
        <n v="130"/>
        <n v="8020.16"/>
        <n v="11947"/>
        <n v="1283"/>
        <n v="3410"/>
        <n v="654.92999999999995"/>
        <n v="702"/>
        <n v="462"/>
        <n v="3239.9189999999999"/>
        <n v="290"/>
        <n v="233.85"/>
        <n v="219.34"/>
        <n v="618"/>
        <n v="609.15"/>
        <n v="264.91000000000003"/>
        <n v="624.39"/>
        <n v="643.08000000000004"/>
        <n v="661.5"/>
        <n v="205.19"/>
        <n v="349"/>
        <n v="794.73"/>
        <n v="449.66"/>
        <n v="2890"/>
        <n v="416.26"/>
        <n v="236.66"/>
        <n v="1716.1"/>
        <n v="675.32"/>
        <n v="245"/>
        <n v="247"/>
        <n v="1529"/>
        <n v="256.7"/>
        <n v="313.64999999999998"/>
        <n v="891.54"/>
        <n v="1020"/>
        <n v="324.68"/>
        <n v="398"/>
        <n v="208.33"/>
        <n v="958.5"/>
        <n v="236.15"/>
        <n v="780.18"/>
        <n v="215"/>
        <n v="196.27"/>
        <n v="210"/>
        <n v="534.79999999999995"/>
        <n v="958.9"/>
        <n v="222.26"/>
        <n v="204.75"/>
        <n v="496.16"/>
        <n v="281.49"/>
        <n v="561.04"/>
        <n v="192.21"/>
        <n v="698.97"/>
        <n v="406.06"/>
        <n v="391"/>
        <n v="205"/>
        <n v="406.22"/>
        <n v="384.42"/>
        <n v="283.44"/>
        <n v="224.53"/>
        <n v="190"/>
        <n v="287.5"/>
        <n v="510.4"/>
        <n v="840"/>
        <n v="217.85"/>
        <n v="283.83999999999997"/>
        <n v="790"/>
        <n v="47.1"/>
        <n v="44.5"/>
        <n v="200"/>
        <n v="800"/>
        <n v="156.1"/>
        <n v="1420"/>
        <n v="1079.973"/>
        <n v="394.02"/>
        <n v="623.54999999999995"/>
        <n v="702.59839999999997"/>
        <n v="572.85760000000005"/>
        <n v="2813.7"/>
        <n v="212.98"/>
        <n v="530"/>
        <n v="550"/>
        <n v="892.5"/>
        <n v="510"/>
        <n v="255"/>
        <n v="638.94000000000005"/>
        <n v="410"/>
        <n v="283.48"/>
        <n v="706"/>
        <n v="388.08"/>
        <n v="4700.6400000000003"/>
        <n v="286"/>
        <n v="460.18"/>
        <n v="440.92"/>
        <n v="1042"/>
        <n v="5581.9461000000001"/>
        <n v="382.88319999999999"/>
        <n v="4208.8288000000002"/>
        <n v="4207.7352000000001"/>
        <n v="3156.6215999999999"/>
        <n v="3155.8013999999998"/>
        <n v="8011.25"/>
        <n v="300.47359999999998"/>
        <n v="231.69"/>
        <n v="566"/>
        <n v="3912.36"/>
        <n v="249"/>
        <n v="14448.4"/>
        <n v="2095.83"/>
        <n v="235.74"/>
        <n v="15446.7616"/>
        <n v="5939.85"/>
        <n v="320"/>
        <n v="199.5"/>
        <n v="578"/>
        <n v="260"/>
        <n v="460"/>
        <n v="310.20999999999998"/>
        <n v="1173"/>
        <n v="1158"/>
        <n v="297"/>
        <n v="570"/>
        <n v="299"/>
        <n v="304.5"/>
        <n v="1604.4"/>
        <n v="825"/>
        <n v="265"/>
        <n v="295"/>
        <n v="1622.4"/>
        <n v="530.44000000000005"/>
        <n v="795"/>
        <n v="252"/>
        <n v="525"/>
        <n v="585.9"/>
        <n v="292.95"/>
        <n v="405.6"/>
        <n v="488"/>
        <n v="380"/>
        <n v="6888.96"/>
        <n v="254.1"/>
        <n v="240"/>
        <n v="288.75"/>
        <n v="225"/>
        <n v="604"/>
        <n v="400"/>
        <n v="2728"/>
        <n v="2108"/>
        <n v="808"/>
        <n v="31938.48"/>
        <n v="2680.5509999999999"/>
        <n v="4375.4399999999996"/>
        <n v="4292.2395999999999"/>
        <n v="432.73"/>
        <n v="437.10239999999999"/>
        <n v="1065.5999999999999"/>
        <n v="318.60000000000002"/>
        <n v="243.51"/>
        <n v="435"/>
        <n v="396.04320000000001"/>
        <n v="875.89599999999996"/>
        <n v="809.81600000000003"/>
        <n v="570.16959999999995"/>
        <n v="329.30239999999998"/>
        <n v="883.29"/>
        <n v="478.55"/>
        <n v="636.36"/>
        <n v="615"/>
        <n v="1737.5300999999999"/>
        <n v="2479.857"/>
        <n v="1471.3898999999999"/>
        <n v="733.32"/>
        <n v="950"/>
        <n v="1045"/>
        <n v="350"/>
        <n v="39317.040000000001"/>
        <n v="18993.599999999999"/>
        <n v="5337.49"/>
        <n v="894.53"/>
        <n v="528.61"/>
        <n v="1860.95"/>
        <n v="1135.8699999999999"/>
        <n v="1284.24"/>
        <n v="858.26"/>
        <n v="345.19"/>
        <n v="1197.83"/>
        <n v="1054.5899999999999"/>
        <n v="2273.89"/>
        <n v="489.65"/>
        <n v="2100.73"/>
        <n v="2966.21"/>
        <n v="637.14"/>
        <n v="859.52"/>
        <n v="932.64"/>
        <n v="250"/>
        <n v="1483.11"/>
        <n v="954.81"/>
        <n v="539.01"/>
        <n v="1020.77"/>
        <n v="3.38"/>
        <n v="3037.47"/>
        <n v="6165.98"/>
        <n v="906.13409999999999"/>
        <n v="1162.1848"/>
        <n v="783.71"/>
        <n v="430.02"/>
        <n v="4092.56"/>
        <n v="52996.57"/>
        <n v="27793.52"/>
        <n v="576.92999999999995"/>
        <n v="2523.92"/>
        <n v="1873.44"/>
        <n v="2345"/>
        <n v="487.61"/>
        <n v="450"/>
        <n v="1155"/>
        <n v="823.84"/>
        <n v="258"/>
        <n v="1894.32"/>
        <n v="2473.42"/>
        <n v="22769.62"/>
        <n v="2349.63"/>
        <n v="514.88"/>
        <n v="1405.44"/>
        <n v="5145.5544"/>
        <n v="4748.4566000000004"/>
        <n v="4026"/>
        <n v="2316.12"/>
        <n v="25375.65"/>
        <n v="1922.9914000000001"/>
        <n v="971.47"/>
        <n v="398.71"/>
        <n v="1581.3548000000001"/>
        <n v="1118.3599999999999"/>
        <n v="646.22"/>
        <n v="256.43630000000002"/>
        <n v="17566.400000000001"/>
        <n v="2609.37"/>
        <n v="542.23"/>
        <n v="30206.046300000002"/>
        <n v="24128.03"/>
        <n v="14580.18"/>
        <n v="1411.67"/>
        <n v="1364.27"/>
        <n v="693.98580000000004"/>
        <n v="634.78"/>
        <n v="632.49"/>
        <n v="1628.34"/>
        <n v="1406.78"/>
        <n v="9056.81"/>
        <n v="25126.39"/>
        <n v="6394.85"/>
        <n v="22088.34"/>
        <n v="6483.93"/>
        <n v="26737.34"/>
        <n v="9015.8700000000008"/>
        <n v="2637.91"/>
        <n v="3582.41"/>
        <n v="557.1"/>
        <n v="1177.52"/>
        <n v="3037.8"/>
        <n v="3311.46"/>
        <n v="3340.72"/>
        <n v="38529.26"/>
        <n v="25228.68"/>
        <n v="6117.24"/>
        <n v="1100"/>
        <n v="495.04"/>
        <n v="371.94"/>
        <n v="2650"/>
        <n v="423"/>
        <n v="286.52"/>
        <n v="24482.26"/>
        <n v="583"/>
        <n v="1421.17"/>
        <n v="774.9"/>
        <n v="3043.18"/>
        <n v="1579.8"/>
        <n v="234.85"/>
        <n v="6500.7359999999999"/>
        <n v="18883.87"/>
        <n v="15888.49"/>
        <n v="724.98"/>
        <n v="1971"/>
        <n v="405.99"/>
        <n v="564.78"/>
        <n v="2030"/>
        <n v="680"/>
        <n v="724.5"/>
        <n v="170"/>
        <n v="300"/>
        <n v="1080"/>
        <n v="3048"/>
        <n v="294"/>
        <n v="156.30000000000001"/>
        <n v="350.91"/>
        <n v="660"/>
        <n v="3063.39"/>
        <n v="417"/>
        <n v="426"/>
        <n v="1397.7375999999999"/>
        <n v="1021.8243"/>
        <m/>
        <n v="1530" u="1"/>
        <n v="379.76" u="1"/>
        <n v="427.04" u="1"/>
        <n v="224.43" u="1"/>
        <n v="276" u="1"/>
        <n v="7393.5995999999996" u="1"/>
        <n v="556.37120000000004" u="1"/>
        <n v="407.46" u="1"/>
        <n v="381.67360000000002" u="1"/>
        <n v="190.83680000000001" u="1"/>
        <n v="1345.9915000000001" u="1"/>
        <n v="1112.7424000000001" u="1"/>
        <n v="234.34" u="1"/>
        <n v="427.47039999999998" u="1"/>
        <n v="552.39520000000005" u="1"/>
        <n v="297.03519999999997" u="1"/>
        <n v="594.07039999999995" u="1"/>
        <n v="545" u="1"/>
        <n v="182.01" u="1"/>
        <n v="279.54660000000001" u="1"/>
        <n v="549.6934" u="1"/>
        <n v="608.54" u="1"/>
        <n v="688.26239999999996" u="1"/>
        <n v="773.51679999999999" u="1"/>
        <n v="468.96640000000002" u="1"/>
        <n v="729.47839999999997" u="1"/>
        <n v="2112.4319999999998" u="1"/>
        <n v="1933.0641000000001" u="1"/>
        <n v="347.13279999999997" u="1"/>
        <n v="719.44320000000005" u="1"/>
        <n v="885.52800000000002" u="1"/>
        <n v="1257.3119999999999" u="1"/>
        <n v="132.55000000000001" u="1"/>
        <n v="700" u="1"/>
        <n v="350.74" u="1"/>
        <n v="188.35" u="1"/>
        <n v="830.2" u="1"/>
        <n v="785.4" u="1"/>
        <n v="264.02659999999997" u="1"/>
        <n v="190.17" u="1"/>
        <n v="160" u="1"/>
        <n v="9253.09" u="1"/>
        <n v="920.3" u="1"/>
        <n v="8510" u="1"/>
        <n v="2349.09" u="1"/>
        <n v="355.42" u="1"/>
        <n v="433.26" u="1"/>
        <n v="199" u="1"/>
        <n v="257.71339999999998" u="1"/>
        <n v="515.41999999999996" u="1"/>
        <n v="176" u="1"/>
        <n v="314" u="1"/>
        <n v="505.14" u="1"/>
        <n v="1713" u="1"/>
        <n v="155.5" u="1"/>
        <n v="150.12" u="1"/>
        <n v="176.15" u="1"/>
        <n v="521.54999999999995" u="1"/>
        <n v="568.79999999999995" u="1"/>
        <n v="552" u="1"/>
        <n v="640" u="1"/>
        <n v="333" u="1"/>
        <n v="568.65" u="1"/>
        <n v="617.16" u="1"/>
        <n v="479.56799999999998" u="1"/>
        <n v="242.64" u="1"/>
        <n v="371.98" u="1"/>
        <n v="419.98" u="1"/>
        <n v="2486.7465000000002" u="1"/>
        <n v="182.0112" u="1"/>
        <n v="1389.6" u="1"/>
        <n v="224" u="1"/>
        <n v="246.92" u="1"/>
        <n v="222.62" u="1"/>
        <n v="100.08320000000001" u="1"/>
        <n v="339.69600000000003" u="1"/>
        <n v="192.65969999999999" u="1"/>
        <n v="200.16640000000001" u="1"/>
        <n v="5490.5798999999997" u="1"/>
        <n v="584" u="1"/>
        <n v="600" u="1"/>
        <n v="227" u="1"/>
        <n v="234.08" u="1"/>
        <n v="444.4384" u="1"/>
        <n v="163.56479999999999" u="1"/>
        <n v="717" u="1"/>
        <n v="463.64" u="1"/>
        <n v="287.52999999999997" u="1"/>
        <n v="561.08640000000003" u="1"/>
        <n v="509.54399999999998" u="1"/>
        <n v="213.76" u="1"/>
        <n v="8185" u="1"/>
        <n v="165.7" u="1"/>
        <n v="803.64" u="1"/>
        <n v="7934" u="1"/>
        <n v="85.19" u="1"/>
        <n v="78.88" u="1"/>
        <n v="12053.02" u="1"/>
        <n v="1437.66" u="1"/>
        <n v="16662.36" u="1"/>
        <n v="1583.77" u="1"/>
        <n v="207" u="1"/>
        <n v="876.62" u="1"/>
        <n v="744.78989999999999" u="1"/>
        <n v="149.59" u="1"/>
        <n v="464.65" u="1"/>
        <n v="1112.6976" u="1"/>
        <n v="790.23" u="1"/>
        <n v="104.51" u="1"/>
        <n v="268.32" u="1"/>
        <n v="1200" u="1"/>
        <n v="812.2" u="1"/>
        <n v="916.29" u="1"/>
        <n v="832.52" u="1"/>
        <n v="539.58240000000001" u="1"/>
        <n v="604.0299" u="1"/>
        <n v="464.6" u="1"/>
        <n v="18225" u="1"/>
        <n v="1778.9176" u="1"/>
        <n v="2123.6095999999998" u="1"/>
        <n v="852.46879999999999" u="1"/>
        <n v="834" u="1"/>
        <n v="590" u="1"/>
        <n v="432" u="1"/>
        <n v="351.26" u="1"/>
        <n v="657.8" u="1"/>
        <n v="738.27" u="1"/>
        <n v="1400" u="1"/>
        <n v="723.8" u="1"/>
        <n v="561.20000000000005" u="1"/>
        <n v="831.6" u="1"/>
        <n v="544" u="1"/>
        <n v="1544.81" u="1"/>
        <n v="1328" u="1"/>
        <n v="383.93" u="1"/>
        <n v="381.61" u="1"/>
        <n v="247.49" u="1"/>
        <n v="365.65" u="1"/>
        <n v="863.01" u="1"/>
        <n v="1127.27" u="1"/>
        <n v="478" u="1"/>
        <n v="770.99" u="1"/>
        <n v="738.18" u="1"/>
        <n v="299.52" u="1"/>
        <n v="300.60000000000002" u="1"/>
        <n v="585.32000000000005" u="1"/>
        <n v="165.70400000000001" u="1"/>
        <n v="596.43359999999996" u="1"/>
        <n v="571.16639999999995" u="1"/>
        <n v="498.52319999999997" u="1"/>
        <n v="796" u="1"/>
        <n v="6172.2" u="1"/>
        <n v="5527.32" u="1"/>
        <n v="7146.72" u="1"/>
        <n v="513.66" u="1"/>
        <n v="235.8" u="1"/>
        <n v="1046.4100000000001" u="1"/>
        <n v="664.69759999999997" u="1"/>
        <n v="352.41750000000002" u="1"/>
        <n v="539.65" u="1"/>
        <n v="616.70000000000005" u="1"/>
        <n v="654.20799999999997" u="1"/>
        <n v="1052.1279999999999" u="1"/>
        <n v="515.42399999999998" u="1"/>
        <n v="1348.76" u="1"/>
        <n v="361.60320000000002" u="1"/>
        <n v="980.28" u="1"/>
        <n v="881.08159999999998" u="1"/>
        <n v="771.59040000000005" u="1"/>
        <n v="591.822" u="1"/>
        <n v="892.92" u="1"/>
        <n v="1006.24" u="1"/>
        <n v="555.37440000000004" u="1"/>
        <n v="1702.46" u="1"/>
        <n v="155.54" u="1"/>
        <n v="495" u="1"/>
        <n v="589.32989999999995" u="1"/>
        <n v="140" u="1"/>
        <n v="291.40159999999997" u="1"/>
        <n v="470.13" u="1"/>
        <n v="624.91520000000003" u="1"/>
        <n v="559.74239999999998" u="1"/>
        <n v="2185.5120000000002" u="1"/>
        <n v="549.05759999999998" u="1"/>
        <n v="498.05" u="1"/>
        <n v="195.65280000000001" u="1"/>
        <n v="1025.1024" u="1"/>
        <n v="294.64" u="1"/>
        <n v="547.10879999999997" u="1"/>
        <n v="254.6096" u="1"/>
        <n v="366.03840000000002" u="1"/>
        <n v="248.43" u="1"/>
        <n v="645.97119999999995" u="1"/>
        <n v="467.00009999999997" u="1"/>
        <n v="364.8" u="1"/>
        <n v="178" u="1"/>
        <n v="204.36" u="1"/>
        <n v="2700" u="1"/>
        <n v="263.33999999999997" u="1"/>
        <n v="942" u="1"/>
        <n v="221" u="1"/>
        <n v="1648.14" u="1"/>
        <n v="499.72500000000002" u="1"/>
        <n v="169.49" u="1"/>
        <n v="280" u="1"/>
        <n v="445.86" u="1"/>
        <n v="262.33999999999997" u="1"/>
        <n v="7978.24" u="1"/>
        <n v="636.45600000000002" u="1"/>
        <n v="390.3134" u="1"/>
        <n v="491.5299" u="1"/>
        <n v="1176" u="1"/>
        <n v="474.88499999999999" u="1"/>
        <n v="173.74" u="1"/>
        <n v="316.2534" u="1"/>
        <n v="3475.8" u="1"/>
        <n v="1302.8900000000001" u="1"/>
        <n v="317.49" u="1"/>
        <n v="1460.4" u="1"/>
        <n v="1080.3699999999999" u="1"/>
        <n v="1429.64" u="1"/>
        <n v="1943.15" u="1"/>
        <n v="1009.2" u="1"/>
        <n v="1014.99" u="1"/>
        <n v="2989.82" u="1"/>
        <n v="1479.45" u="1"/>
        <n v="2518.4899999999998" u="1"/>
        <n v="1280.96" u="1"/>
        <n v="1044.9608000000001" u="1"/>
        <n v="162.83000000000001" u="1"/>
        <n v="5225.62" u="1"/>
        <n v="1658.52" u="1"/>
        <n v="1140.51" u="1"/>
        <n v="543.62" u="1"/>
        <n v="757.15219999999999" u="1"/>
        <n v="1163.9268999999999" u="1"/>
        <n v="628.23" u="1"/>
        <n v="559.91999999999996" u="1"/>
        <n v="994.4" u="1"/>
        <n v="2183.12" u="1"/>
        <n v="966.24" u="1"/>
        <n v="1327.2" u="1"/>
        <n v="340.36" u="1"/>
        <n v="312.72000000000003" u="1"/>
        <n v="479.12" u="1"/>
        <n v="511.59" u="1"/>
        <n v="908.58" u="1"/>
        <n v="412.82" u="1"/>
        <n v="923.15239999999994" u="1"/>
        <n v="568.30999999999995" u="1"/>
        <n v="2671.41" u="1"/>
        <n v="1301.6400000000001" u="1"/>
        <n v="408.92" u="1"/>
        <n v="1770.15" u="1"/>
        <n v="244.25" u="1"/>
        <n v="1824.11" u="1"/>
        <n v="1198.83" u="1"/>
        <n v="5821.13" u="1"/>
        <n v="379.94" u="1"/>
        <n v="1020.42" u="1"/>
        <n v="1807.45" u="1"/>
        <n v="252.38" u="1"/>
        <n v="500.2" u="1"/>
        <n v="2915.09" u="1"/>
        <n v="783.17750000000001" u="1"/>
        <n v="961.72" u="1"/>
        <n v="1174.7662" u="1"/>
        <n v="627.30999999999995" u="1"/>
        <n v="2868.78" u="1"/>
        <n v="3515.24" u="1"/>
        <n v="1073.44" u="1"/>
        <n v="697.94" u="1"/>
        <n v="1309.95" u="1"/>
        <n v="979.93470000000002" u="1"/>
        <n v="903.5" u="1"/>
        <n v="980.92" u="1"/>
        <n v="1945.47" u="1"/>
        <n v="470" u="1"/>
        <n v="2109.37" u="1"/>
        <n v="5671.08" u="1"/>
        <n v="4634.1000000000004" u="1"/>
        <n v="856.35" u="1"/>
        <n v="1077.18" u="1"/>
        <n v="374.58" u="1"/>
        <n v="331.23" u="1"/>
        <n v="1594.3059000000001" u="1"/>
        <n v="1202.46" u="1"/>
        <n v="229.71" u="1"/>
        <n v="220.13" u="1"/>
        <n v="1041.8800000000001" u="1"/>
        <n v="39894.33" u="1"/>
        <n v="5062.5" u="1"/>
        <n v="6431.94" u="1"/>
        <n v="333.2" u="1"/>
        <n v="1993.93" u="1"/>
        <n v="13358.35" u="1"/>
        <n v="1634.39" u="1"/>
        <n v="4275.6899999999996" u="1"/>
        <n v="1356.95" u="1"/>
        <n v="8657.34" u="1"/>
        <n v="9326.94" u="1"/>
        <n v="1060.22" u="1"/>
        <n v="11570.73" u="1"/>
        <n v="6983.45" u="1"/>
        <n v="5182.22" u="1"/>
        <n v="1565.79" u="1"/>
        <n v="2779.03" u="1"/>
        <n v="3430.36" u="1"/>
        <n v="3162.52" u="1"/>
        <n v="29011.59" u="1"/>
        <n v="5346.38" u="1"/>
        <n v="12239.94" u="1"/>
        <n v="741" u="1"/>
        <n v="654.54999999999995" u="1"/>
        <n v="572.52" u="1"/>
        <n v="29.74" u="1"/>
        <n v="524" u="1"/>
        <n v="338.37" u="1"/>
        <n v="2757.86" u="1"/>
        <n v="703.8" u="1"/>
        <n v="1035.51" u="1"/>
        <n v="642" u="1"/>
        <n v="1505.56" u="1"/>
        <n v="1983.49" u="1"/>
        <n v="171.67" u="1"/>
        <n v="880.15" u="1"/>
        <n v="2227.7199999999998" u="1"/>
        <n v="237.9" u="1"/>
        <n v="3075.91" u="1"/>
        <n v="1449.8" u="1"/>
        <n v="886.8" u="1"/>
        <n v="3047.82" u="1"/>
        <n v="4609.9799999999996" u="1"/>
        <n v="22261.27" u="1"/>
        <n v="259" u="1"/>
        <n v="442.25" u="1"/>
        <n v="473.55" u="1"/>
        <n v="156" u="1"/>
        <n v="11087.8" u="1"/>
        <n v="1497.8520000000001" u="1"/>
        <n v="2891.49" u="1"/>
        <n v="787.5" u="1"/>
        <n v="979.36" u="1"/>
        <n v="2495" u="1"/>
        <n v="998" u="1"/>
        <n v="1593.07" u="1"/>
        <n v="1694.54" u="1"/>
        <n v="250.95" u="1"/>
        <n v="1280.4000000000001" u="1"/>
        <n v="480" u="1"/>
        <n v="1320" u="1"/>
        <n v="501.6" u="1"/>
        <n v="564.77009999999996" u="1"/>
        <n v="186" u="1"/>
        <n v="637.65989999999999" u="1"/>
        <n v="194.1" u="1"/>
        <n v="5080.8765000000003" u="1"/>
        <n v="212" u="1"/>
        <n v="576.96079999999995" u="1"/>
        <n v="573.67420000000004" u="1"/>
        <n v="804.6" u="1"/>
        <n v="1472" u="1"/>
        <n v="304.52999999999997" u="1"/>
        <n v="1208.8800000000001" u="1"/>
        <n v="488.2" u="1"/>
        <n v="9409" u="1"/>
        <n v="85" u="1"/>
        <n v="4040" u="1"/>
        <n v="304" u="1"/>
        <n v="302" u="1"/>
        <n v="1152" u="1"/>
        <n v="786.6" u="1"/>
        <n v="958" u="1"/>
        <n v="7861.6" u="1"/>
        <n v="5055.3" u="1"/>
        <n v="780" u="1"/>
        <n v="1994.09" u="1"/>
        <n v="284.44" u="1"/>
        <n v="558.64" u="1"/>
        <n v="574.54999999999995" u="1"/>
        <n v="1052.3699999999999" u="1"/>
        <n v="761.11" u="1"/>
        <n v="871.68" u="1"/>
        <n v="1640.62" u="1"/>
        <n v="532.36" u="1"/>
        <n v="218" u="1"/>
        <n v="1679.04" u="1"/>
        <n v="400.31" u="1"/>
        <n v="3452.49" u="1"/>
        <n v="3929.44" u="1"/>
        <n v="643.20000000000005" u="1"/>
        <n v="1126.24" u="1"/>
        <n v="548.34" u="1"/>
        <n v="1263.92" u="1"/>
        <n v="203.4" u="1"/>
        <n v="4153.09" u="1"/>
        <n v="407.61" u="1"/>
        <n v="2104.19" u="1"/>
        <n v="396.45" u="1"/>
        <n v="591.91999999999996" u="1"/>
        <n v="413.34" u="1"/>
        <n v="20997.119999999999" u="1"/>
        <n v="798" u="1"/>
        <n v="752.75" u="1"/>
        <n v="3319.95" u="1"/>
        <n v="751.86" u="1"/>
        <n v="609.51" u="1"/>
        <n v="1356.79" u="1"/>
        <n v="1297.44" u="1"/>
        <n v="4049.84" u="1"/>
        <n v="1930.42" u="1"/>
        <n v="1120" u="1"/>
        <n v="990" u="1"/>
        <n v="946" u="1"/>
        <n v="1419" u="1"/>
        <n v="295.62" u="1"/>
        <n v="430" u="1"/>
        <n v="720" u="1"/>
        <n v="607" u="1"/>
        <n v="308" u="1"/>
        <n v="497.58" u="1"/>
        <n v="183.54" u="1"/>
        <n v="239" u="1"/>
        <n v="13776.071400000001" u="1"/>
        <n v="810" u="1"/>
        <n v="1364.76" u="1"/>
        <n v="869" u="1"/>
        <n v="1090" u="1"/>
        <n v="1980" u="1"/>
        <n v="3307.5" u="1"/>
        <n v="1790" u="1"/>
        <n v="2900" u="1"/>
        <n v="117.78" u="1"/>
        <n v="339.93" u="1"/>
        <n v="365.18" u="1"/>
        <n v="100.1" u="1"/>
        <n v="300.3" u="1"/>
        <n v="849" u="1"/>
        <n v="889.2" u="1"/>
        <n v="2593.8296999999998" u="1"/>
        <n v="4751.16" u="1"/>
        <n v="10853.1808" u="1"/>
        <n v="654.19000000000005" u="1"/>
        <n v="836.09" u="1"/>
        <n v="681.76" u="1"/>
        <n v="481" u="1"/>
        <n v="625.59" u="1"/>
        <n v="1235.83" u="1"/>
        <n v="1449.45" u="1"/>
        <n v="564.9" u="1"/>
        <n v="708.64" u="1"/>
        <n v="1294.32" u="1"/>
        <n v="816.32" u="1"/>
        <n v="1318.32" u="1"/>
        <n v="1157.1199999999999" u="1"/>
        <n v="310" u="1"/>
        <n v="1006" u="1"/>
        <n v="823.13" u="1"/>
        <n v="2219.54" u="1"/>
        <n v="2405.1" u="1"/>
        <n v="789.96" u="1"/>
        <n v="3263.82" u="1"/>
        <n v="4918.47" u="1"/>
        <n v="5546.5730000000003" u="1"/>
        <n v="679.37" u="1"/>
        <n v="11810.88" u="1"/>
        <n v="38798.76" u="1"/>
        <n v="4047.6" u="1"/>
        <n v="4274.26" u="1"/>
        <n v="4263.47" u="1"/>
        <n v="1198.74" u="1"/>
        <n v="2538.9499999999998" u="1"/>
        <n v="2144.92" u="1"/>
        <n v="433.84" u="1"/>
        <n v="836" u="1"/>
        <n v="675.62" u="1"/>
        <n v="586.44000000000005" u="1"/>
        <n v="837.67" u="1"/>
        <n v="690.99" u="1"/>
        <n v="300.58999999999997" u="1"/>
        <n v="953.92" u="1"/>
        <n v="1380.22" u="1"/>
        <n v="702.89" u="1"/>
        <n v="1890.86" u="1"/>
        <n v="1206" u="1"/>
        <n v="945" u="1"/>
        <n v="5538" u="1"/>
        <n v="3339" u="1"/>
        <n v="273" u="1"/>
        <n v="1349" u="1"/>
        <n v="189.6" u="1"/>
        <n v="278.18560000000002" u="1"/>
        <n v="2589.7984000000001" u="1"/>
        <n v="659.91989999999998" u="1"/>
        <n v="572.5104" u="1"/>
        <n v="609.16800000000001" u="1"/>
        <n v="432.20659999999998" u="1"/>
        <n v="427.67" u="1"/>
        <n v="434.61" u="1"/>
        <n v="577.59699999999998" u="1"/>
        <n v="100" u="1"/>
        <n v="284.89999999999998" u="1"/>
        <n v="1137" u="1"/>
        <n v="247.92" u="1"/>
        <n v="1119" u="1"/>
        <n v="2058.2600000000002" u="1"/>
        <n v="1142.94" u="1"/>
        <n v="1098.51" u="1"/>
        <n v="1943.16" u="1"/>
        <n v="7087.52" u="1"/>
        <n v="657" u="1"/>
        <n v="262.8" u="1"/>
        <n v="361.04" u="1"/>
        <n v="903.2" u="1"/>
        <n v="956" u="1"/>
        <n v="2985" u="1"/>
        <n v="843.75" u="1"/>
        <n v="590.15" u="1"/>
        <n v="790.3" u="1"/>
        <n v="790.39" u="1"/>
        <n v="811.3" u="1"/>
        <n v="474" u="1"/>
        <n v="285" u="1"/>
        <n v="1251" u="1"/>
        <n v="1031.04" u="1"/>
        <n v="1081.8" u="1"/>
        <n v="348.9" u="1"/>
        <n v="833.8" u="1"/>
        <n v="1676.48" u="1"/>
        <n v="855.73" u="1"/>
        <n v="1976.22" u="1"/>
        <n v="350.82" u="1"/>
        <n v="1149.9000000000001" u="1"/>
        <n v="3647.48" u="1"/>
        <n v="865.16" u="1"/>
        <n v="226.71" u="1"/>
        <n v="0.06" u="1"/>
        <n v="983.92" u="1"/>
        <n v="907.5" u="1"/>
        <n v="774.24" u="1"/>
        <n v="630.9" u="1"/>
        <n v="1583.4767999999999" u="1"/>
        <n v="485.95" u="1"/>
        <n v="983.97" u="1"/>
        <n v="439.37" u="1"/>
        <n v="758.27" u="1"/>
        <n v="2599.84" u="1"/>
        <n v="2473.44" u="1"/>
        <n v="1739.48" u="1"/>
        <n v="2101.85" u="1"/>
        <n v="306.32" u="1"/>
        <n v="438.68" u="1"/>
        <n v="4094.02" u="1"/>
        <n v="3766.5" u="1"/>
        <n v="1746" u="1"/>
        <n v="670" u="1"/>
        <n v="10" u="1"/>
        <n v="1174" u="1"/>
        <n v="134.91999999999999" u="1"/>
        <n v="299.92" u="1"/>
        <n v="253.42" u="1"/>
        <n v="2069.52" u="1"/>
        <n v="371.7" u="1"/>
        <n v="245.94" u="1"/>
        <n v="708.75" u="1"/>
        <n v="452.84" u="1"/>
        <n v="1324.34" u="1"/>
        <n v="1021.68" u="1"/>
        <n v="3250" u="1"/>
        <n v="1496.84" u="1"/>
        <n v="1240.46" u="1"/>
        <n v="2700.29" u="1"/>
        <n v="1515.23" u="1"/>
        <n v="67580" u="1"/>
        <n v="513" u="1"/>
        <n v="616" u="1"/>
        <n v="886" u="1"/>
        <n v="789" u="1"/>
        <n v="801.1" u="1"/>
        <n v="235.88" u="1"/>
        <n v="86.5" u="1"/>
        <n v="947.9" u="1"/>
        <n v="778.17" u="1"/>
        <n v="2988.9" u="1"/>
        <n v="2087.44" u="1"/>
        <n v="1474.86" u="1"/>
        <n v="1103.0999999999999" u="1"/>
        <n v="785.8" u="1"/>
        <n v="1403.76" u="1"/>
        <n v="734.92" u="1"/>
        <n v="2154.59" u="1"/>
        <n v="444.6" u="1"/>
        <n v="1338.96" u="1"/>
        <n v="458.92" u="1"/>
        <n v="1941.43" u="1"/>
        <n v="679.12" u="1"/>
        <n v="13217.101500000001" u="1"/>
        <n v="70.209999999999994" u="1"/>
        <n v="46.23" u="1"/>
        <n v="218.22" u="1"/>
        <n v="74.19" u="1"/>
        <n v="213.56" u="1"/>
        <n v="199.95" u="1"/>
        <n v="327.12959999999998" u="1"/>
        <n v="197.28800000000001" u="1"/>
        <n v="654.49" u="1"/>
        <n v="692.75" u="1"/>
        <n v="415" u="1"/>
        <n v="533.79999999999995" u="1"/>
        <n v="905" u="1"/>
        <n v="15562.72" u="1"/>
        <n v="2264.36" u="1"/>
        <n v="2456.09" u="1"/>
        <n v="514" u="1"/>
        <n v="34944.519999999997" u="1"/>
        <n v="3708.48" u="1"/>
        <n v="15775.48" u="1"/>
        <n v="4108.16" u="1"/>
        <n v="1129.97" u="1"/>
        <n v="1001.08" u="1"/>
        <n v="500.82260000000002" u="1"/>
        <n v="558.38840000000005" u="1"/>
        <n v="1641.731" u="1"/>
        <n v="2211.34" u="1"/>
        <n v="2076.8832000000002" u="1"/>
        <n v="1104.2639999999999" u="1"/>
        <n v="2518.0511999999999" u="1"/>
        <n v="528.05759999999998" u="1"/>
        <n v="1435" u="1"/>
        <n v="244" u="1"/>
        <n v="211.55" u="1"/>
        <n v="168" u="1"/>
        <n v="357.87" u="1"/>
        <n v="92.83" u="1"/>
        <n v="900" u="1"/>
        <n v="2142.8000000000002" u="1"/>
        <n v="2292.48" u="1"/>
        <n v="3429" u="1"/>
        <n v="598" u="1"/>
        <n v="815.673" u="1"/>
        <n v="2105.1799999999998" u="1"/>
        <n v="417.74" u="1"/>
        <n v="1827.8" u="1"/>
        <n v="476" u="1"/>
        <n v="2391.27" u="1"/>
        <n v="2112" u="1"/>
        <n v="416" u="1"/>
        <n v="433.76" u="1"/>
        <n v="4084.596" u="1"/>
        <n v="2613.7040000000002" u="1"/>
        <n v="81.3" u="1"/>
        <n v="78.290000000000006" u="1"/>
        <n v="150.35" u="1"/>
        <n v="148.68" u="1"/>
        <n v="342.08" u="1"/>
        <n v="57.15" u="1"/>
        <n v="298" u="1"/>
        <n v="248" u="1"/>
        <n v="390" u="1"/>
        <n v="3748.6" u="1"/>
        <n v="1076" u="1"/>
        <n v="538" u="1"/>
        <n v="138.6" u="1"/>
        <n v="352.75" u="1"/>
        <n v="930" u="1"/>
        <n v="251.05500000000001" u="1"/>
        <n v="403.065" u="1"/>
        <n v="1240" u="1"/>
        <n v="2360" u="1"/>
        <n v="414" u="1"/>
        <n v="500.0301" u="1"/>
        <n v="367.20319999999998" u="1"/>
        <n v="405.54750000000001" u="1"/>
        <n v="5741.4" u="1"/>
        <n v="360" u="1"/>
        <n v="93.22" u="1"/>
        <n v="364.73919999999998" u="1"/>
        <n v="260.87040000000002" u="1"/>
        <n v="1273.94" u="1"/>
        <n v="117" u="1"/>
        <n v="903" u="1"/>
        <n v="354.72" u="1"/>
        <n v="229.59" u="1"/>
        <n v="625.32000000000005" u="1"/>
        <n v="9921.19" u="1"/>
        <n v="7750.49" u="1"/>
        <n v="1181.02" u="1"/>
        <n v="1662.04" u="1"/>
        <n v="20916.060000000001" u="1"/>
        <n v="970.23" u="1"/>
        <n v="3296.6" u="1"/>
        <n v="17747.12" u="1"/>
        <n v="17795.310000000001" u="1"/>
        <n v="43540.747199999998" u="1"/>
        <n v="4772.54" u="1"/>
        <n v="1671.48" u="1"/>
        <n v="1045.48" u="1"/>
        <n v="2319.88" u="1"/>
        <n v="7945.64" u="1"/>
        <n v="6138.94" u="1"/>
        <n v="11905.7" u="1"/>
        <n v="8876" u="1"/>
        <n v="15457.19" u="1"/>
        <n v="627.53" u="1"/>
        <n v="1400.4" u="1"/>
        <n v="2176.2916" u="1"/>
        <n v="10653.34" u="1"/>
        <n v="4812.5" u="1"/>
        <n v="10224.459999999999" u="1"/>
        <n v="3530.9" u="1"/>
        <n v="8390.1299999999992" u="1"/>
        <n v="905.79" u="1"/>
        <n v="3100.86" u="1"/>
        <n v="21598.78" u="1"/>
        <n v="25096.062000000002" u="1"/>
        <n v="2336.7800000000002" u="1"/>
        <n v="18964.37" u="1"/>
        <n v="37618.959999999999" u="1"/>
        <n v="26722.25" u="1"/>
        <n v="26510.87" u="1"/>
        <n v="4616.87" u="1"/>
        <n v="15383.41" u="1"/>
        <n v="1729.8" u="1"/>
        <n v="32568.43" u="1"/>
        <n v="38119.81" u="1"/>
        <n v="24486.12" u="1"/>
        <n v="1259.8" u="1"/>
        <n v="3349.6" u="1"/>
        <n v="2041.8" u="1"/>
        <n v="19942.5" u="1"/>
        <n v="44782.37" u="1"/>
        <n v="43127.87" u="1"/>
        <n v="3543.1" u="1"/>
        <n v="961.3" u="1"/>
        <n v="3064.64" u="1"/>
        <n v="1831.68" u="1"/>
        <n v="11910.9" u="1"/>
        <n v="2512.91" u="1"/>
        <n v="278.8" u="1"/>
        <n v="1374.27" u="1"/>
        <n v="1262.29" u="1"/>
        <n v="650.19000000000005" u="1"/>
        <n v="1183.7853" u="1"/>
        <n v="3008" u="1"/>
        <n v="2454.2800000000002" u="1"/>
        <n v="220.45" u="1"/>
        <n v="4781" u="1"/>
        <n v="697.38" u="1"/>
        <n v="2022.12" u="1"/>
        <n v="433.09" u="1"/>
        <n v="1165.8499999999999" u="1"/>
        <n v="637.02" u="1"/>
        <n v="637.03" u="1"/>
        <n v="574.4" u="1"/>
        <n v="958.24" u="1"/>
        <n v="1136.0899999999999" u="1"/>
        <n v="555.44000000000005" u="1"/>
        <n v="1993.1" u="1"/>
        <n v="1908.64" u="1"/>
        <n v="672.6" u="1"/>
        <n v="572.84" u="1"/>
        <n v="686.32" u="1"/>
        <n v="1275.78" u="1"/>
        <n v="772.49" u="1"/>
        <n v="501.31" u="1"/>
        <n v="3195.72" u="1"/>
        <n v="1836.64" u="1"/>
        <n v="1617.44" u="1"/>
        <n v="1474.78" u="1"/>
        <n v="425.4" u="1"/>
        <n v="1496.09" u="1"/>
        <n v="1689.94" u="1"/>
        <n v="1689.95" u="1"/>
        <n v="1979.82" u="1"/>
        <n v="1539.6" u="1"/>
        <n v="2204.8200000000002" u="1"/>
        <n v="692.92" u="1"/>
        <n v="1488.72" u="1"/>
        <n v="1097.44" u="1"/>
        <n v="357.8" u="1"/>
        <n v="1023.87" u="1"/>
        <n v="1201.1099999999999" u="1"/>
        <n v="999.89" u="1"/>
        <n v="495.8" u="1"/>
        <n v="657.52" u="1"/>
        <n v="5116.96" u="1"/>
        <n v="1190" u="1"/>
        <n v="391.13" u="1"/>
        <n v="6291.72" u="1"/>
        <n v="2099.08" u="1"/>
        <n v="4141.67" u="1"/>
        <n v="917.96" u="1"/>
        <n v="632.79999999999995" u="1"/>
        <n v="1514.34" u="1"/>
        <n v="8062" u="1"/>
        <n v="2445.83" u="1"/>
        <n v="11427.9511" u="1"/>
        <n v="22027.148399999998" u="1"/>
        <n v="5064.6993000000002" u="1"/>
        <n v="24815.27" u="1"/>
        <n v="787.71839999999997" u="1"/>
        <n v="605.57280000000003" u="1"/>
        <n v="3963.33" u="1"/>
        <n v="304.03519999999997" u="1"/>
        <n v="391.30560000000003" u="1"/>
        <n v="432.17" u="1"/>
        <n v="6099.25" u="1"/>
        <n v="574.32479999999998" u="1"/>
        <n v="446.27519999999998" u="1"/>
        <n v="774.37919999999997" u="1"/>
        <n v="5243" u="1"/>
        <n v="325" u="1"/>
        <n v="752.73" u="1"/>
        <n v="139" u="1"/>
        <n v="154.80000000000001" u="1"/>
        <n v="143" u="1"/>
        <n v="548.02" u="1"/>
        <n v="283.02" u="1"/>
        <n v="286.04000000000002" u="1"/>
        <n v="6488.2" u="1"/>
        <n v="1622.05" u="1"/>
        <n v="4866.1499999999996" u="1"/>
        <n v="2350.0300000000002" u="1"/>
        <n v="1545.41" u="1"/>
        <n v="609.17999999999995" u="1"/>
        <n v="856.3" u="1"/>
        <n v="1031.76" u="1"/>
        <n v="1221.9100000000001" u="1"/>
        <n v="606.88" u="1"/>
        <n v="329.3" u="1"/>
        <n v="1485.6536000000001" u="1"/>
        <n v="852.928" u="1"/>
        <n v="812.06" u="1"/>
        <n v="455.51" u="1"/>
        <n v="325.38" u="1"/>
        <n v="590.73990000000003" u="1"/>
        <n v="559.74" u="1"/>
        <n v="871.24" u="1"/>
        <n v="330.16660000000002" u="1"/>
        <n v="3191.605" u="1"/>
        <n v="102" u="1"/>
        <n v="1141.4004" u="1"/>
        <n v="258.77999999999997" u="1"/>
        <n v="564" u="1"/>
        <n v="730.71" u="1"/>
        <n v="6196.32" u="1"/>
        <n v="539.28" u="1"/>
        <n v="746.44569999999999" u="1"/>
        <n v="1225.02" u="1"/>
        <n v="1394.84" u="1"/>
        <n v="4630.78" u="1"/>
        <n v="1162.43" u="1"/>
        <n v="6068.29" u="1"/>
        <n v="9215.89" u="1"/>
        <n v="995.63" u="1"/>
        <n v="10704.1" u="1"/>
        <n v="963.54" u="1"/>
        <n v="14958.37" u="1"/>
        <n v="3329.18" u="1"/>
        <n v="1416.59" u="1"/>
        <n v="14953.78" u="1"/>
        <n v="7658.39" u="1"/>
        <n v="5497.89" u="1"/>
        <n v="17922.16" u="1"/>
        <n v="3738" u="1"/>
        <n v="6024.14" u="1"/>
        <n v="5096.53" u="1"/>
        <n v="2090.61" u="1"/>
        <n v="6603.18" u="1"/>
        <n v="945.09130000000005" u="1"/>
        <n v="951.2" u="1"/>
        <n v="9834.98" u="1"/>
        <n v="4644.2299999999996" u="1"/>
        <n v="7070.15" u="1"/>
        <n v="9181.34" u="1"/>
        <n v="4497.6499999999996" u="1"/>
        <n v="3676.91" u="1"/>
        <n v="6918.66" u="1"/>
        <n v="9050.5300000000007" u="1"/>
        <n v="444.25" u="1"/>
        <n v="991.37009999999998" u="1"/>
        <n v="1083.8599999999999" u="1"/>
        <n v="3327.35" u="1"/>
        <n v="4885.87" u="1"/>
        <n v="11643.35" u="1"/>
        <n v="6939.02" u="1"/>
        <n v="6028.22" u="1"/>
        <n v="1043.83" u="1"/>
        <n v="7102.94" u="1"/>
        <n v="17428.62" u="1"/>
        <n v="25099.31" u="1"/>
        <n v="2663.37" u="1"/>
        <n v="666.58" u="1"/>
        <n v="4780.0200000000004" u="1"/>
        <n v="1766.07" u="1"/>
        <n v="4646.54" u="1"/>
        <n v="3959.73" u="1"/>
        <n v="1373.52" u="1"/>
        <n v="2098.33" u="1"/>
        <n v="485.0598" u="1"/>
        <n v="100.9" u="1"/>
        <n v="16449.34" u="1"/>
        <n v="1989.37" u="1"/>
        <n v="392.23" u="1"/>
        <n v="464.7" u="1"/>
        <n v="8652.9884999999995" u="1"/>
        <n v="120" u="1"/>
        <n v="1221" u="1"/>
        <n v="2608.23" u="1"/>
        <n v="1268.57" u="1"/>
        <n v="828" u="1"/>
        <n v="8820.2191999999995" u="1"/>
        <n v="29460.866399999999" u="1"/>
        <n v="29536.365600000001" u="1"/>
        <n v="25863.882000000001" u="1"/>
        <n v="32068.2582" u="1"/>
        <n v="12428.341200000001" u="1"/>
        <n v="3900.2494999999999" u="1"/>
        <n v="1240.3440000000001" u="1"/>
        <n v="89.22" u="1"/>
        <n v="3411.19" u="1"/>
        <n v="1904.19" u="1"/>
        <n v="61" u="1"/>
        <n v="165" u="1"/>
        <n v="144" u="1"/>
        <n v="9670.3505000000005" u="1"/>
        <n v="1834.87" u="1"/>
        <n v="500" u="1"/>
        <n v="2666.3159999999998" u="1"/>
        <n v="816.68" u="1"/>
        <n v="176.3" u="1"/>
        <n v="1" u="1"/>
        <n v="931.56" u="1"/>
        <n v="480.04" u="1"/>
        <n v="645" u="1"/>
        <n v="1594.03" u="1"/>
        <n v="696.83" u="1"/>
        <n v="564.87" u="1"/>
        <n v="1178.22" u="1"/>
        <n v="41799.559200000003" u="1"/>
        <n v="5640.8688000000002" u="1"/>
        <n v="3657.19" u="1"/>
        <n v="5160" u="1"/>
        <n v="86.088899999999995" u="1"/>
        <n v="192.63" u="1"/>
        <n v="1873" u="1"/>
        <n v="4094.16" u="1"/>
        <n v="677.928" u="1"/>
        <n v="919.59" u="1"/>
        <n v="7024.16" u="1"/>
        <n v="1049" u="1"/>
        <n v="2145" u="1"/>
        <n v="812176.87860000005" u="1"/>
        <n v="7100.87" u="1"/>
        <n v="229.2" u="1"/>
        <n v="619.20000000000005" u="1"/>
        <n v="274.51" u="1"/>
        <n v="2889.9360000000001" u="1"/>
        <n v="809.7" u="1"/>
        <n v="159.715" u="1"/>
        <n v="170.36500000000001" u="1"/>
        <n v="2464.52" u="1"/>
        <n v="1224.3" u="1"/>
        <n v="4802.1138000000001" u="1"/>
        <n v="1335.02" u="1"/>
        <n v="1472.04" u="1"/>
        <n v="2131.75" u="1"/>
        <n v="1956.04" u="1"/>
        <n v="2407.19" u="1"/>
        <n v="4933.1099999999997" u="1"/>
        <n v="2533.73" u="1"/>
        <n v="9937.41" u="1"/>
        <n v="3154.9834999999998" u="1"/>
        <n v="624.29349999999999" u="1"/>
        <n v="884.45" u="1"/>
        <n v="558.66999999999996" u="1"/>
        <n v="1895.7322999999999" u="1"/>
        <n v="1516.8013000000001" u="1"/>
        <n v="1215.06" u="1"/>
        <n v="446.86" u="1"/>
        <n v="2924.21" u="1"/>
        <n v="5221.12" u="1"/>
        <n v="851.20069999999998" u="1"/>
        <n v="1465.354" u="1"/>
        <n v="946.5" u="1"/>
        <n v="1152.06" u="1"/>
        <n v="1404.5787" u="1"/>
        <n v="1442.6651999999999" u="1"/>
        <n v="969.08579999999995" u="1"/>
        <n v="1365.8936000000001" u="1"/>
        <n v="1762.9734000000001" u="1"/>
        <n v="19657.91" u="1"/>
        <n v="21751.360000000001" u="1"/>
        <n v="3804.75" u="1"/>
        <n v="22104.9" u="1"/>
        <n v="18021.96" u="1"/>
        <n v="582.67999999999995" u="1"/>
        <n v="1992.42" u="1"/>
        <n v="208.24" u="1"/>
        <n v="5234.2386999999999" u="1"/>
        <n v="1549.9061999999999" u="1"/>
        <n v="832.62699999999995" u="1"/>
        <n v="3766.9803999999999" u="1"/>
        <n v="2279.7600000000002" u="1"/>
        <n v="2098.71" u="1"/>
        <n v="543.91999999999996" u="1"/>
        <n v="24863.772000000001" u="1"/>
        <n v="1559.86" u="1"/>
        <n v="2773.0839000000001" u="1"/>
        <n v="1518.9472000000001" u="1"/>
        <n v="2898.3042999999998" u="1"/>
        <n v="2402.1750000000002" u="1"/>
        <n v="2597.3959" u="1"/>
        <n v="18197.04" u="1"/>
        <n v="15062.09" u="1"/>
        <n v="367.09" u="1"/>
        <n v="1238.1600000000001" u="1"/>
        <n v="957.35" u="1"/>
        <n v="1997.1" u="1"/>
        <n v="4939.1099999999997" u="1"/>
        <n v="97.48" u="1"/>
        <n v="813.27" u="1"/>
        <n v="2785.9" u="1"/>
        <n v="650.18240000000003" u="1"/>
        <n v="826.28" u="1"/>
        <n v="7743.72" u="1"/>
        <n v="432.16" u="1"/>
        <n v="2292.9" u="1"/>
        <n v="193" u="1"/>
        <n v="193.2" u="1"/>
        <n v="540" u="1"/>
        <n v="1616" u="1"/>
        <n v="472.5" u="1"/>
        <n v="2651.8" u="1"/>
        <n v="3444.7204000000002" u="1"/>
        <n v="783.10400000000004" u="1"/>
        <n v="1478.39" u="1"/>
        <n v="637.98" u="1"/>
        <n v="1679.03" u="1"/>
        <n v="299.76" u="1"/>
        <n v="431.88" u="1"/>
        <n v="883.2" u="1"/>
        <n v="9015.6065999999992" u="1"/>
        <n v="329.84660000000002" u="1"/>
        <n v="694.59" u="1"/>
        <n v="582.30849999999998" u="1"/>
        <n v="333.06" u="1"/>
        <n v="38720.82" u="1"/>
        <n v="756" u="1"/>
        <n v="438" u="1"/>
        <n v="1168" u="1"/>
        <n v="1376" u="1"/>
        <n v="626.31650000000002" u="1"/>
        <n v="312.45760000000001" u="1"/>
        <n v="582.80319999999995" u="1"/>
        <n v="154.1232" u="1"/>
        <n v="647.8528" u="1"/>
        <n v="557.53599999999994" u="1"/>
        <n v="285.08479999999997" u="1"/>
        <n v="1094" u="1"/>
        <n v="1693.6" u="1"/>
        <n v="1417.09" u="1"/>
        <n v="977.52" u="1"/>
        <n v="387" u="1"/>
        <n v="531.6" u="1"/>
        <n v="976.35" u="1"/>
        <n v="219.12" u="1"/>
        <n v="8668.44" u="1"/>
        <n v="1336.31" u="1"/>
        <n v="1127.6500000000001" u="1"/>
        <n v="1022.25" u="1"/>
        <n v="623.20000000000005" u="1"/>
        <n v="368.63" u="1"/>
        <n v="10184.5" u="1"/>
        <n v="644.28" u="1"/>
        <n v="490.51519999999999" u="1"/>
        <n v="176.232" u="1"/>
        <n v="773.13599999999997" u="1"/>
        <n v="332.34879999999998" u="1"/>
        <n v="422.44600000000003" u="1"/>
        <n v="476.33600000000001" u="1"/>
        <n v="820.26559999999995" u="1"/>
        <n v="289.47519999999997" u="1"/>
        <n v="367.88639999999998" u="1"/>
        <n v="788.72" u="1"/>
        <n v="1306.68" u="1"/>
        <n v="369.6" u="1"/>
        <n v="2213.92" u="1"/>
        <n v="3872.3519999999999" u="1"/>
        <n v="1936.1759999999999" u="1"/>
        <n v="759" u="1"/>
        <n v="540.54999999999995" u="1"/>
        <n v="2237.94" u="1"/>
        <n v="1810.78" u="1"/>
        <n v="2919" u="1"/>
        <n v="2540.5300000000002" u="1"/>
        <n v="558.24" u="1"/>
        <n v="694.8" u="1"/>
        <n v="278.39999999999998" u="1"/>
        <n v="1956.3" u="1"/>
        <n v="387.39" u="1"/>
        <n v="1038.21" u="1"/>
        <n v="419.92" u="1"/>
        <n v="518.32000000000005" u="1"/>
        <n v="313.11" u="1"/>
        <n v="8032.3919999999998" u="1"/>
        <n v="187.02879999999999" u="1"/>
        <n v="2347.9679999999998" u="1"/>
        <n v="206.67" u="1"/>
        <n v="754.28639999999996" u="1"/>
        <n v="135" u="1"/>
        <n v="267" u="1"/>
        <n v="387.8" u="1"/>
        <n v="24223.13" u="1"/>
        <n v="699.8" u="1"/>
        <n v="555.60990000000004" u="1"/>
        <n v="41.9" u="1"/>
        <n v="104.23" u="1"/>
        <n v="214.35" u="1"/>
        <n v="869.52319999999997" u="1"/>
        <n v="872" u="1"/>
        <n v="79.900000000000006" u="1"/>
        <n v="40.44" u="1"/>
        <n v="1329.37" u="1"/>
        <n v="448.08100000000002" u="1"/>
        <n v="4555.3" u="1"/>
        <n v="1374.95" u="1"/>
        <n v="1085.8399999999999" u="1"/>
        <n v="445.05" u="1"/>
        <n v="7347.6480000000001" u="1"/>
        <n v="717.42719999999997" u="1"/>
        <n v="283.10660000000001" u="1"/>
        <n v="703.56650000000002" u="1"/>
        <n v="3489.09" u="1"/>
        <n v="450.01499999999999" u="1"/>
        <n v="477.88159999999999" u="1"/>
        <n v="675.44960000000003" u="1"/>
        <n v="734.36159999999995" u="1"/>
        <n v="1220" u="1"/>
        <n v="318.25" u="1"/>
        <n v="3236.1302000000001" u="1"/>
        <n v="2908.56" u="1"/>
        <n v="155" u="1"/>
        <n v="4623.2700000000004" u="1"/>
        <n v="196.7056" u="1"/>
        <n v="754.18560000000002" u="1"/>
        <n v="390.27519999999998" u="1"/>
        <n v="177.24" u="1"/>
        <n v="1442.22" u="1"/>
        <n v="1007.12" u="1"/>
        <n v="31426.720000000001" u="1"/>
        <n v="1357.5852" u="1"/>
        <n v="368.2" u="1"/>
        <n v="420" u="1"/>
        <n v="1090.7" u="1"/>
        <n v="439" u="1"/>
        <n v="2237.92" u="1"/>
        <n v="2531.21" u="1"/>
        <n v="930.8" u="1"/>
        <n v="222.89" u="1"/>
        <n v="306.89" u="1"/>
        <n v="896.72" u="1"/>
        <n v="588.4" u="1"/>
        <n v="267.60000000000002" u="1"/>
        <n v="360.72" u="1"/>
        <n v="512.9" u="1"/>
        <n v="1046.32" u="1"/>
        <n v="1933.03" u="1"/>
        <n v="655.92" u="1"/>
        <n v="904.34" u="1"/>
        <n v="1667.02" u="1"/>
        <n v="732.45" u="1"/>
        <n v="195.55" u="1"/>
        <n v="1531.04" u="1"/>
        <n v="553.49" u="1"/>
        <n v="408.42" u="1"/>
        <n v="408.41" u="1"/>
        <n v="0.01" u="1"/>
        <n v="874.56" u="1"/>
        <n v="397.13" u="1"/>
        <n v="789.52" u="1"/>
        <n v="209.99" u="1"/>
        <n v="1049.95" u="1"/>
        <n v="689.97" u="1"/>
        <n v="629.97" u="1"/>
        <n v="577.47" u="1"/>
        <n v="839.96" u="1"/>
        <n v="618.66999999999996" u="1"/>
        <n v="21271.488000000001" u="1"/>
        <n v="364.0224" u="1"/>
        <n v="249.07679999999999" u="1"/>
        <n v="559.67520000000002" u="1"/>
        <n v="237600" u="1"/>
        <n v="196.36" u="1"/>
        <n v="439.55520000000001" u="1"/>
        <n v="961.04960000000005" u="1"/>
        <n v="1030.4112" u="1"/>
        <n v="527.70749999999998" u="1"/>
        <n v="629" u="1"/>
        <n v="820.51199999999994" u="1"/>
        <n v="3042" u="1"/>
        <n v="195.715" u="1"/>
        <n v="201.24" u="1"/>
        <n v="2872.4" u="1"/>
        <n v="795.72" u="1"/>
        <n v="594.08000000000004" u="1"/>
        <n v="222.49" u="1"/>
        <n v="268.08999999999997" u="1"/>
        <n v="2783.8607999999999" u="1"/>
        <n v="1158.76" u="1"/>
        <n v="319.9504" u="1"/>
        <n v="954.73" u="1"/>
        <n v="720.71199999999999" u="1"/>
        <n v="1617.96" u="1"/>
        <n v="233.46" u="1"/>
        <n v="708.71" u="1"/>
        <n v="786.30719999999997" u="1"/>
        <n v="826.22400000000005" u="1"/>
        <n v="248.34" u="1"/>
        <n v="1325.0719999999999" u="1"/>
        <n v="522.00959999999998" u="1"/>
        <n v="812.24" u="1"/>
        <n v="731.85" u="1"/>
        <n v="384.12" u="1"/>
        <n v="159.4768" u="1"/>
        <n v="725.2672" u="1"/>
        <n v="964.72" u="1"/>
        <n v="49.25" u="1"/>
        <n v="367.22559999999999" u="1"/>
        <n v="403.93920000000003" u="1"/>
        <n v="377.72" u="1"/>
        <n v="177.09" u="1"/>
        <n v="124.05" u="1"/>
        <n v="249.26" u="1"/>
        <n v="164.08" u="1"/>
        <n v="10154.59" u="1"/>
        <n v="1348.9168" u="1"/>
        <n v="5580" u="1"/>
        <n v="358.71359999999999" u="1"/>
        <n v="1973" u="1"/>
        <n v="201.93" u="1"/>
        <n v="175.25" u="1"/>
        <n v="103.77" u="1"/>
        <n v="473.34" u="1"/>
        <n v="1429.0319999999999" u="1"/>
        <n v="137.75" u="1"/>
        <n v="674.2835" u="1"/>
        <n v="391.5" u="1"/>
        <n v="225.41" u="1"/>
        <n v="183.31" u="1"/>
        <n v="1737.8504" u="1"/>
        <n v="2113.12" u="1"/>
        <n v="1059.2302" u="1"/>
        <n v="763.08" u="1"/>
        <n v="323.72000000000003" u="1"/>
        <n v="685.75360000000001" u="1"/>
        <n v="599.90009999999995" u="1"/>
        <n v="638.7201" u="1"/>
        <n v="429.57" u="1"/>
        <n v="574.83749999999998" u="1"/>
        <n v="364.08960000000002" u="1"/>
        <n v="618.40800000000002" u="1"/>
        <n v="177.22" u="1"/>
        <n v="508.36799999999999" u="1"/>
        <n v="154.56" u="1"/>
        <n v="485.94560000000001" u="1"/>
        <n v="620.52800000000002" u="1"/>
        <n v="420.39" u="1"/>
        <n v="541.91999999999996" u="1"/>
        <n v="1251.31" u="1"/>
        <n v="1596.98" u="1"/>
        <n v="525.22" u="1"/>
        <n v="962.1" u="1"/>
        <n v="520" u="1"/>
        <n v="291.8" u="1"/>
        <n v="378" u="1"/>
        <n v="1009" u="1"/>
        <n v="1029" u="1"/>
        <n v="701.32" u="1"/>
        <n v="342.3" u="1"/>
        <n v="180" u="1"/>
        <n v="379" u="1"/>
        <n v="249.6" u="1"/>
        <n v="2043" u="1"/>
        <n v="275.10000000000002" u="1"/>
        <n v="178.2" u="1"/>
        <n v="914.1" u="1"/>
        <n v="192.16499999999999" u="1"/>
        <n v="1093.98" u="1"/>
        <n v="402.62880000000001" u="1"/>
        <n v="677.82399999999996" u="1"/>
        <n v="814.18399999999997" u="1"/>
        <n v="475.07040000000001" u="1"/>
        <n v="399.9744" u="1"/>
        <n v="218.3552" u="1"/>
        <n v="316.71359999999999" u="1"/>
        <n v="597.35199999999998" u="1"/>
        <n v="1070.4064000000001" u="1"/>
        <n v="436.66559999999998" u="1"/>
        <n v="624.44479999999999" u="1"/>
        <n v="641.76" u="1"/>
        <n v="1674.624" u="1"/>
        <n v="345.87" u="1"/>
        <n v="249.8" u="1"/>
        <n v="550.77120000000002" u="1"/>
        <n v="1006.06" u="1"/>
        <n v="725.62" u="1"/>
        <n v="336.12" u="1"/>
        <n v="271.48" u="1"/>
        <n v="542" u="1"/>
        <n v="745.75" u="1"/>
        <n v="876" u="1"/>
        <n v="1158.71" u="1"/>
        <n v="6001.35" u="1"/>
        <n v="19513.86" u="1"/>
        <n v="526.13" u="1"/>
        <n v="496" u="1"/>
        <n v="1251.92" u="1"/>
        <n v="2344.9" u="1"/>
        <n v="1895.88" u="1"/>
        <n v="1444.72" u="1"/>
        <n v="1017.4" u="1"/>
        <n v="1556.82" u="1"/>
        <n v="459.27" u="1"/>
        <n v="2753.47" u="1"/>
        <n v="1034.92" u="1"/>
        <n v="2799.2" u="1"/>
        <n v="179.36" u="1"/>
        <n v="633.66999999999996" u="1"/>
        <n v="350.47" u="1"/>
        <n v="404.16" u="1"/>
        <n v="1905.46" u="1"/>
        <n v="2650.63" u="1"/>
        <n v="339.17" u="1"/>
        <n v="530.32000000000005" u="1"/>
        <n v="681.67" u="1"/>
        <n v="962.95" u="1"/>
        <n v="3225.44" u="1"/>
        <n v="619.94000000000005" u="1"/>
        <n v="269.04000000000002" u="1"/>
        <n v="757.25" u="1"/>
        <n v="1384.42" u="1"/>
        <n v="373" u="1"/>
        <n v="675.9" u="1"/>
        <n v="1764.11" u="1"/>
        <n v="524.25" u="1"/>
        <n v="787.8" u="1"/>
        <n v="1342.24" u="1"/>
        <n v="449.28" u="1"/>
        <n v="315" u="1"/>
        <n v="1488.56" u="1"/>
        <n v="269.10000000000002" u="1"/>
        <n v="560" u="1"/>
        <n v="421.71" u="1"/>
        <n v="498.58" u="1"/>
        <n v="213.66" u="1"/>
        <n v="5032.6899999999996" u="1"/>
        <n v="3543.27" u="1"/>
        <n v="649.38" u="1"/>
        <n v="1181.76" u="1"/>
        <n v="1233.0802000000001" u="1"/>
        <n v="587.29999999999995" u="1"/>
        <n v="3009.86" u="1"/>
        <n v="5312.67" u="1"/>
        <n v="7357.56" u="1"/>
        <n v="3840" u="1"/>
        <n v="9654.11" u="1"/>
        <n v="1847.49" u="1"/>
        <n v="2602.1840000000002" u="1"/>
        <n v="218.99" u="1"/>
        <n v="906.72" u="1"/>
        <n v="997.10670000000005" u="1"/>
        <n v="1947.7476999999999" u="1"/>
        <n v="1483.47" u="1"/>
        <n v="3211.25" u="1"/>
        <n v="2381.8000000000002" u="1"/>
        <n v="3590.1498000000001" u="1"/>
        <n v="1483.4722999999999" u="1"/>
        <n v="9359" u="1"/>
        <n v="82.09" u="1"/>
        <n v="1016" u="1"/>
        <n v="587.99" u="1"/>
        <n v="45294.25" u="1"/>
        <n v="394" u="1"/>
        <n v="977.8" u="1"/>
        <n v="652.06399999999996" u="1"/>
        <n v="299.68" u="1"/>
        <n v="1455.32" u="1"/>
        <n v="1671.55" u="1"/>
        <n v="364.75" u="1"/>
        <n v="3106.7898" u="1"/>
        <n v="219.4" u="1"/>
        <n v="1600" u="1"/>
        <n v="556.38" u="1"/>
        <n v="1380" u="1"/>
        <n v="197.31" u="1"/>
        <n v="1740" u="1"/>
        <n v="2351.25" u="1"/>
        <n v="1719.9278999999999" u="1"/>
        <n v="1063.3692000000001" u="1"/>
        <n v="2193.6976" u="1"/>
        <n v="1331.0001" u="1"/>
        <n v="541.36500000000001" u="1"/>
        <n v="894.45" u="1"/>
        <n v="7480.1180999999997" u="1"/>
        <n v="2248.8000000000002" u="1"/>
        <n v="1292.1976" u="1"/>
        <n v="2817.1844000000001" u="1"/>
        <n v="498" u="1"/>
        <n v="518" u="1"/>
        <n v="690" u="1"/>
        <n v="934.10599999999999" u="1"/>
        <n v="1112.04" u="1"/>
        <n v="269" u="1"/>
        <n v="5459.7233999999999" u="1"/>
        <n v="768" u="1"/>
        <n v="1487.4" u="1"/>
        <n v="1256.269" u="1"/>
        <n v="257.61" u="1"/>
        <n v="909" u="1"/>
        <n v="54.78" u="1"/>
        <n v="9412.2720000000008" u="1"/>
        <n v="20524.625" u="1"/>
        <n v="8538.99" u="1"/>
        <n v="1150" u="1"/>
        <n v="1067.5999999999999" u="1"/>
        <n v="433.68" u="1"/>
        <n v="1430" u="1"/>
        <n v="376.69" u="1"/>
        <n v="502.25" u="1"/>
        <n v="342.18" u="1"/>
        <n v="283.99" u="1"/>
        <n v="209" u="1"/>
        <n v="1977.88" u="1"/>
        <n v="418" u="1"/>
        <n v="4655" u="1"/>
        <n v="588" u="1"/>
        <n v="3391.92" u="1"/>
        <n v="278.14" u="1"/>
        <n v="855" u="1"/>
        <n v="1005.48" u="1"/>
        <n v="1204.49" u="1"/>
        <n v="413.33" u="1"/>
        <n v="524.23" u="1"/>
        <n v="1083.45" u="1"/>
        <n v="747.6" u="1"/>
        <n v="608.4" u="1"/>
        <n v="988" u="1"/>
        <n v="1018.86" u="1"/>
        <n v="862.85" u="1"/>
        <n v="1016.37" u="1"/>
        <n v="362.78" u="1"/>
        <n v="189.3" u="1"/>
        <n v="1211.1099999999999" u="1"/>
        <n v="1894.5" u="1"/>
        <n v="1938.11" u="1"/>
        <n v="412.45" u="1"/>
        <n v="756.92" u="1"/>
        <n v="945.1" u="1"/>
        <n v="18777.66" u="1"/>
        <n v="2472.7199999999998" u="1"/>
        <n v="150" u="1"/>
        <n v="190.98" u="1"/>
        <n v="2725.44" u="1"/>
        <n v="811.12" u="1"/>
        <n v="1240.72" u="1"/>
        <n v="2206.3200000000002" u="1"/>
        <n v="859.04" u="1"/>
        <n v="1940.46" u="1"/>
        <n v="1957.52" u="1"/>
        <n v="492.72" u="1"/>
        <n v="449.9" u="1"/>
        <n v="2001.3409999999999" u="1"/>
        <n v="1379.0062" u="1"/>
        <n v="1627.39" u="1"/>
        <n v="2607.7337000000002" u="1"/>
        <n v="4699.5200000000004" u="1"/>
        <n v="982" u="1"/>
        <n v="394.8" u="1"/>
        <n v="1348.2" u="1"/>
        <n v="289" u="1"/>
        <n v="424.26" u="1"/>
        <n v="955.34" u="1"/>
        <n v="625.41999999999996" u="1"/>
        <n v="371.84" u="1"/>
        <n v="725.84" u="1"/>
        <n v="1532.31" u="1"/>
        <n v="921.93" u="1"/>
        <n v="508.57" u="1"/>
        <n v="636.59" u="1"/>
        <n v="628.41999999999996" u="1"/>
        <n v="455.92" u="1"/>
        <n v="451.14" u="1"/>
        <n v="2527.7800000000002" u="1"/>
        <n v="1241.17" u="1"/>
        <n v="659.92" u="1"/>
        <n v="285.45" u="1"/>
        <n v="483.84" u="1"/>
        <n v="1858.34" u="1"/>
        <n v="507.35140000000001" u="1"/>
        <n v="431.1" u="1"/>
        <n v="10591.68" u="1"/>
        <n v="626.99" u="1"/>
        <n v="472.27749999999997" u="1"/>
        <n v="1629.45" u="1"/>
        <n v="291" u="1"/>
        <n v="329" u="1"/>
        <n v="895.9" u="1"/>
        <n v="1392.7398000000001" u="1"/>
        <n v="268.95" u="1"/>
        <n v="278.33" u="1"/>
        <n v="3706.7579999999998" u="1"/>
        <n v="791.26319999999998" u="1"/>
        <n v="1599.7840000000001" u="1"/>
        <n v="2155.3200000000002" u="1"/>
        <n v="825.3" u="1"/>
        <n v="222.17" u="1"/>
        <n v="440.9" u="1"/>
        <n v="185.5" u="1"/>
        <n v="233.36" u="1"/>
        <n v="1279.432" u="1"/>
        <n v="896.89599999999996" u="1"/>
        <n v="1018.08" u="1"/>
        <n v="1782.9503999999999" u="1"/>
        <n v="3558.9690000000001" u="1"/>
        <n v="2472" u="1"/>
        <n v="201.97" u="1"/>
        <n v="626.48" u="1"/>
        <n v="268.42" u="1"/>
        <n v="717.43" u="1"/>
        <n v="566.28989999999999" u="1"/>
        <n v="299.98" u="1"/>
        <n v="800.14400000000001" u="1"/>
        <n v="342.88" u="1"/>
        <n v="66.099999999999994" u="1"/>
        <n v="65.92" u="1"/>
        <n v="1327.5" u="1"/>
        <n v="1728" u="1"/>
        <n v="716" u="1"/>
        <n v="1181.5776000000001" u="1"/>
        <n v="339.25920000000002" u="1"/>
        <n v="341.93599999999998" u="1"/>
        <n v="681.52" u="1"/>
        <n v="379.99079999999998" u="1"/>
        <n v="654.25919999999996" u="1"/>
        <n v="748.11519999999996" u="1"/>
        <n v="546" u="1"/>
        <n v="1061.5211999999999" u="1"/>
        <n v="2075.4499999999998" u="1"/>
        <n v="2152.4657999999999" u="1"/>
        <n v="332.01" u="1"/>
        <n v="1712.56" u="1"/>
        <n v="3950.8895000000002" u="1"/>
        <n v="331" u="1"/>
        <n v="568" u="1"/>
        <n v="13956.4692" u="1"/>
        <n v="1521.356" u="1"/>
        <n v="1988" u="1"/>
        <n v="302.2" u="1"/>
        <n v="607.41999999999996" u="1"/>
        <n v="1050.8735999999999" u="1"/>
        <n v="381.99" u="1"/>
        <n v="426.37" u="1"/>
        <n v="194.32" u="1"/>
        <n v="796.33" u="1"/>
        <n v="759.87" u="1"/>
        <n v="616.49279999999999" u="1"/>
        <n v="203.06" u="1"/>
        <n v="610.71" u="1"/>
        <n v="8041.0176000000001" u="1"/>
        <n v="273.81760000000003" u="1"/>
        <n v="1255.5" u="1"/>
        <n v="3750" u="1"/>
        <n v="2496" u="1"/>
        <n v="428.7" u="1"/>
        <n v="5400" u="1"/>
        <n v="209.5" u="1"/>
        <n v="68.45" u="1"/>
        <n v="366.04" u="1"/>
        <n v="370.4" u="1"/>
        <n v="886.26" u="1"/>
        <n v="371.04480000000001" u="1"/>
        <n v="163.352" u="1"/>
        <n v="1025.0239999999999" u="1"/>
        <n v="245.2576" u="1"/>
        <n v="218.45" u="1"/>
        <n v="382.815" u="1"/>
        <n v="574.66499999999996" u="1"/>
        <n v="532.26880000000006" u="1"/>
        <n v="1060.4799" u="1"/>
        <n v="660.97919999999999" u="1"/>
        <n v="306" u="1"/>
        <n v="572" u="1"/>
        <n v="235" u="1"/>
        <n v="227.41" u="1"/>
        <n v="1310" u="1"/>
        <n v="251.22" u="1"/>
        <n v="250.98" u="1"/>
        <n v="318.95359999999999" u="1"/>
        <n v="1000.5632000000001" u="1"/>
        <n v="683.87199999999996" u="1"/>
        <n v="634.81320000000005" u="1"/>
        <n v="1064.952" u="1"/>
        <n v="655.25599999999997" u="1"/>
        <n v="199.9872" u="1"/>
        <n v="84.17" u="1"/>
        <n v="199.4" u="1"/>
        <n v="1555.7" u="1"/>
        <n v="212.63" u="1"/>
        <n v="177.30500000000001" u="1"/>
        <n v="498.06990000000002" u="1"/>
        <n v="818.41" u="1"/>
        <n v="250.66499999999999" u="1"/>
        <n v="1615.92" u="1"/>
        <n v="278.3" u="1"/>
        <n v="219.13" u="1"/>
        <n v="272.6934" u="1"/>
        <n v="2486.04" u="1"/>
        <n v="2593.6875" u="1"/>
        <n v="284.07" u="1"/>
        <n v="248.67" u="1"/>
        <n v="225.07" u="1"/>
        <n v="213.27" u="1"/>
        <n v="157.41999999999999" u="1"/>
        <n v="108.53" u="1"/>
        <n v="4782.9799999999996" u="1"/>
        <n v="1366.2" u="1"/>
        <n v="261.88" u="1"/>
        <n v="354.7" u="1"/>
        <n v="950.79" u="1"/>
        <n v="1226.58" u="1"/>
        <n v="152.33000000000001" u="1"/>
        <n v="685.9" u="1"/>
        <n v="433.39" u="1"/>
        <n v="649.79999999999995" u="1"/>
        <n v="5838.76" u="1"/>
        <n v="753.18" u="1"/>
        <n v="1319.12" u="1"/>
        <n v="718.32" u="1"/>
        <n v="251.12" u="1"/>
        <n v="440.82" u="1"/>
        <n v="440.81" u="1"/>
        <n v="2652.26" u="1"/>
        <n v="437.52" u="1"/>
        <n v="2639.12" u="1"/>
        <n v="161.52000000000001" u="1"/>
        <n v="1253.7" u="1"/>
        <n v="912.86" u="1"/>
        <n v="959.84" u="1"/>
        <n v="3644.6" u="1"/>
        <n v="805.52" u="1"/>
        <n v="918.31" u="1"/>
        <n v="3884.32" u="1"/>
        <n v="1745.88" u="1"/>
        <n v="2483.6999999999998" u="1"/>
        <n v="2483.7084" u="1"/>
        <n v="2234.1588000000002" u="1"/>
        <n v="718.63" u="1"/>
        <n v="739.75019999999995" u="1"/>
        <n v="3601.3582000000001" u="1"/>
        <n v="477.17" u="1"/>
        <n v="502.82" u="1"/>
        <n v="1949.9503999999999" u="1"/>
        <n v="757.10680000000002" u="1"/>
        <n v="5037.62" u="1"/>
        <n v="1646.37" u="1"/>
        <n v="1667.28" u="1"/>
        <n v="1956.07" u="1"/>
        <n v="4240.45" u="1"/>
        <n v="1362.28" u="1"/>
        <n v="4301.75" u="1"/>
        <n v="1621.56" u="1"/>
        <n v="2562.41" u="1"/>
        <n v="23202.29" u="1"/>
        <n v="26248.11" u="1"/>
        <n v="1607.35" u="1"/>
        <n v="5431.74" u="1"/>
        <n v="50838.68" u="1"/>
        <n v="36429.120000000003" u="1"/>
        <n v="49419.61" u="1"/>
        <n v="1107" u="1"/>
        <n v="1691.5" u="1"/>
        <n v="922.34" u="1"/>
        <n v="562.34" u="1"/>
        <n v="4104.8999999999996" u="1"/>
        <n v="423.59" u="1"/>
        <n v="858.67" u="1"/>
        <n v="1457.84" u="1"/>
        <n v="2152.25" u="1"/>
        <n v="819.78" u="1"/>
        <n v="513.47" u="1"/>
        <n v="448.34" u="1"/>
        <n v="55" u="1"/>
        <n v="582.73" u="1"/>
        <n v="6609.1742000000004" u="1"/>
        <n v="24606.73" u="1"/>
        <n v="1897.77" u="1"/>
        <n v="596" u="1"/>
        <n v="388" u="1"/>
        <n v="1653.8" u="1"/>
        <n v="1175" u="1"/>
        <n v="516" u="1"/>
        <n v="7016.31" u="1"/>
        <n v="4717.96" u="1"/>
        <n v="6292.8" u="1"/>
        <n v="4542.24" u="1"/>
        <n v="5487" u="1"/>
        <n v="810.41099999999994" u="1"/>
        <n v="1248.4681" u="1"/>
        <n v="1028.2429999999999" u="1"/>
        <n v="374" u="1"/>
        <n v="854" u="1"/>
        <n v="1821.6792" u="1"/>
        <n v="456" u="1"/>
        <n v="330" u="1"/>
        <n v="2590" u="1"/>
        <n v="2938.4639999999999" u="1"/>
        <n v="684.87549999999999" u="1"/>
        <n v="629.28" u="1"/>
        <n v="678.96579999999994" u="1"/>
        <n v="233.94" u="1"/>
        <n v="213" u="1"/>
        <n v="18700" u="1"/>
        <n v="1776.8" u="1"/>
        <n v="2807.5889999999999" u="1"/>
        <n v="4655.8050000000003" u="1"/>
        <n v="848.17499999999995" u="1"/>
        <n v="119.47" u="1"/>
        <n v="110.62" u="1"/>
        <n v="131.68" u="1"/>
        <n v="551.28" u="1"/>
        <n v="294.99" u="1"/>
        <n v="274.99" u="1"/>
        <n v="393.99" u="1"/>
        <n v="14039.6" u="1"/>
        <n v="6687.66" u="1"/>
        <n v="6458.16" u="1"/>
        <n v="3975.72" u="1"/>
        <n v="3973.41" u="1"/>
        <n v="2665.18" u="1"/>
        <n v="11215.75" u="1"/>
        <n v="202.7" u="1"/>
        <n v="2276.1536000000001" u="1"/>
        <n v="1161.9100000000001" u="1"/>
        <n v="453.09" u="1"/>
        <n v="731.54" u="1"/>
        <n v="1199.8" u="1"/>
        <n v="638.9" u="1"/>
        <n v="2836.8006999999998" u="1"/>
        <n v="972.8" u="1"/>
        <n v="1844.6963000000001" u="1"/>
        <n v="986.32" u="1"/>
        <n v="784.32" u="1"/>
        <n v="2497.98" u="1"/>
        <n v="1079.7545" u="1"/>
        <n v="184.38550000000001" u="1"/>
        <n v="3280.64" u="1"/>
        <n v="384.64" u="1"/>
        <n v="271.92" u="1"/>
        <n v="701.06510000000003" u="1"/>
        <n v="1384.6104" u="1"/>
        <n v="1824.5648000000001" u="1"/>
        <n v="1105.3814" u="1"/>
        <n v="49561.99" u="1"/>
        <n v="1754.92" u="1"/>
        <n v="11121.92" u="1"/>
        <n v="358" u="1"/>
        <n v="1028" u="1"/>
        <n v="963.6" u="1"/>
        <n v="6664.45" u="1"/>
        <n v="487.35" u="1"/>
        <n v="676" u="1"/>
        <n v="3171" u="1"/>
        <n v="2091.9" u="1"/>
        <n v="276.75" u="1"/>
        <n v="834.57" u="1"/>
        <n v="3273.3" u="1"/>
        <n v="1081.8800000000001" u="1"/>
        <n v="1193.8" u="1"/>
        <n v="426.42" u="1"/>
        <n v="1135.24" u="1"/>
        <n v="563" u="1"/>
        <n v="226.44" u="1"/>
        <n v="1140" u="1"/>
        <n v="1083.95" u="1"/>
        <n v="9909.25" u="1"/>
        <n v="136.63999999999999" u="1"/>
        <n v="688" u="1"/>
        <n v="281" u="1"/>
        <n v="1157.0999999999999" u="1"/>
        <n v="745" u="1"/>
        <n v="258.38" u="1"/>
        <n v="1047.54" u="1"/>
        <n v="931.26" u="1"/>
        <n v="1013.32" u="1"/>
        <n v="1204.17" u="1"/>
        <n v="357" u="1"/>
        <n v="323.39999999999998" u="1"/>
        <n v="1110" u="1"/>
        <n v="506.68" u="1"/>
        <n v="253.98" u="1"/>
        <n v="216" u="1"/>
        <n v="2779.8" u="1"/>
        <n v="986" u="1"/>
        <n v="563.66" u="1"/>
        <n v="455" u="1"/>
        <n v="41.69" u="1"/>
        <n v="11449.094999999999" u="1"/>
        <n v="200.5" u="1"/>
        <n v="1518.07" u="1"/>
        <n v="2904.14" u="1"/>
        <n v="703.08" u="1"/>
        <n v="4216.45" u="1"/>
        <n v="6852.42" u="1"/>
        <n v="218.1" u="1"/>
        <n v="718.2" u="1"/>
        <n v="1665.67" u="1"/>
        <n v="2283.59" u="1"/>
        <n v="2378.91" u="1"/>
        <n v="1372.9" u="1"/>
        <n v="1265.6099999999999" u="1"/>
        <n v="1237.8" u="1"/>
        <n v="1302.01" u="1"/>
        <n v="330.23" u="1"/>
        <n v="1087.49" u="1"/>
        <n v="378.46" u="1"/>
        <n v="1499.58" u="1"/>
        <n v="151.91999999999999" u="1"/>
        <n v="393.42" u="1"/>
        <n v="3026.91" u="1"/>
        <n v="15550.76" u="1"/>
        <n v="524.16" u="1"/>
        <n v="2582.2157000000002" u="1"/>
        <n v="938.94" u="1"/>
        <n v="4808.41" u="1"/>
        <n v="1271.8399999999999" u="1"/>
        <n v="2502.0300000000002" u="1"/>
        <n v="1427.15" u="1"/>
        <n v="326.27" u="1"/>
        <n v="959.92" u="1"/>
        <n v="4807.7233999999999" u="1"/>
        <n v="326.32" u="1"/>
        <n v="627.64" u="1"/>
        <n v="2908.97" u="1"/>
        <n v="2610.64" u="1"/>
        <n v="2338.1799999999998" u="1"/>
        <n v="2389.2199999999998" u="1"/>
        <n v="2300.73" u="1"/>
        <n v="4177.3" u="1"/>
        <n v="471.51190000000003" u="1"/>
        <n v="328.19" u="1"/>
        <n v="557.09780000000001" u="1"/>
        <n v="1317.3604" u="1"/>
        <n v="2895.0154000000002" u="1"/>
        <n v="2019.02" u="1"/>
        <n v="1542.702" u="1"/>
        <n v="7266.77" u="1"/>
        <n v="2961.3948" u="1"/>
        <n v="10182.18" u="1"/>
        <n v="2735.91" u="1"/>
        <n v="5819.94" u="1"/>
        <n v="653.5" u="1"/>
        <n v="1056.9000000000001" u="1"/>
        <n v="559.98" u="1"/>
        <n v="831.4" u="1"/>
        <n v="1819.5" u="1"/>
        <n v="1655.84" u="1"/>
        <n v="1472.09" u="1"/>
        <n v="413.92" u="1"/>
        <n v="35" u="1"/>
        <n v="847.9" u="1"/>
        <n v="232.12" u="1"/>
        <n v="1343.84" u="1"/>
        <n v="1302.05" u="1"/>
        <n v="1462.42" u="1"/>
        <n v="1014.33" u="1"/>
        <n v="877.8" u="1"/>
        <n v="974" u="1"/>
        <n v="262" u="1"/>
        <n v="11290" u="1"/>
        <n v="2178.9899999999998" u="1"/>
        <n v="1472.0160000000001" u="1"/>
        <n v="8335" u="1"/>
        <n v="3252" u="1"/>
        <n v="375" u="1"/>
        <n v="865.6" u="1"/>
        <n v="534" u="1"/>
        <n v="195" u="1"/>
        <n v="850" u="1"/>
        <n v="278.99" u="1"/>
        <n v="1592" u="1"/>
        <n v="188.67519999999999" u="1"/>
        <n v="490.69439999999997" u="1"/>
        <n v="893.30799999999999" u="1"/>
        <n v="695.03719999999998" u="1"/>
        <n v="902.02319999999997" u="1"/>
        <n v="975.01300000000003" u="1"/>
        <n v="1183" u="1"/>
        <n v="12909.39" u="1"/>
        <n v="1331" u="1"/>
        <n v="857.85490000000004" u="1"/>
        <n v="1816.08" u="1"/>
        <n v="68671.56" u="1"/>
        <n v="3960" u="1"/>
        <n v="406.12" u="1"/>
        <n v="1128.81" u="1"/>
        <n v="506.36" u="1"/>
        <n v="1260" u="1"/>
        <n v="236.23" u="1"/>
        <n v="213.92" u="1"/>
        <n v="494.22239999999999" u="1"/>
        <n v="177.93" u="1"/>
        <n v="869.29600000000005" u="1"/>
        <n v="121.93" u="1"/>
        <n v="675.428" u="1"/>
        <n v="952.03700000000003" u="1"/>
        <n v="910.13580000000002" u="1"/>
        <n v="570.20000000000005" u="1"/>
        <n v="245.86" u="1"/>
        <n v="2640" u="1"/>
        <n v="297.04000000000002" u="1"/>
        <n v="1028.79" u="1"/>
        <n v="370" u="1"/>
        <n v="355.88659999999999" u="1"/>
        <n v="403.42" u="1"/>
        <n v="681.4" u="1"/>
        <n v="268" u="1"/>
        <n v="1274.2009" u="1"/>
        <n v="699" u="1"/>
        <n v="230.33" u="1"/>
        <n v="1544.4" u="1"/>
        <n v="151.87" u="1"/>
        <n v="148.66" u="1"/>
        <n v="233.06" u="1"/>
        <n v="13544.79" u="1"/>
        <n v="3600" u="1"/>
        <n v="162.66" u="1"/>
        <n v="716.82240000000002" u="1"/>
        <n v="1011.9415" u="1"/>
        <n v="203.04" u="1"/>
        <n v="175" u="1"/>
        <n v="56.05" u="1"/>
        <n v="1226.8704" u="1"/>
        <n v="847.97" u="1"/>
        <n v="302.51" u="1"/>
        <n v="698.47680000000003" u="1"/>
        <n v="627" u="1"/>
        <n v="927.97" u="1"/>
        <n v="919.63" u="1"/>
        <n v="950.67" u="1"/>
        <n v="1155.42" u="1"/>
        <n v="574.58240000000001" u="1"/>
        <n v="1930.2303999999999" u="1"/>
        <n v="817.82399999999996" u="1"/>
        <n v="189" u="1"/>
        <n v="279.72000000000003" u="1"/>
        <n v="679.39200000000005" u="1"/>
        <n v="917.21280000000002" u="1"/>
        <n v="610.27679999999998" u="1"/>
        <n v="536.83839999999998" u="1"/>
        <n v="1656" u="1"/>
        <n v="2716.52" u="1"/>
        <n v="223" u="1"/>
        <n v="4633.84" u="1"/>
        <n v="268.41919999999999" u="1"/>
        <n v="418.95" u="1"/>
        <n v="652.51199999999994" u="1"/>
        <n v="344.04160000000002" u="1"/>
        <n v="831.66719999999998" u="1"/>
        <n v="788.61440000000005" u="1"/>
        <n v="144.73759999999999" u="1"/>
        <n v="411.83519999999999" u="1"/>
        <n v="138.34" u="1"/>
        <n v="969.3" u="1"/>
        <n v="424.8" u="1"/>
        <n v="151.25" u="1"/>
        <n v="3578" u="1"/>
        <n v="400.87040000000002" u="1"/>
        <n v="707.89599999999996" u="1"/>
        <n v="4738.24" u="1"/>
        <n v="175.54" u="1"/>
        <n v="502" u="1"/>
        <n v="191.91499999999999" u="1"/>
        <n v="737.00800000000004" u="1"/>
        <n v="240.8" u="1"/>
        <n v="665.48800000000006" u="1"/>
        <n v="699.65" u="1"/>
        <n v="2545.19" u="1"/>
        <n v="1010" u="1"/>
        <n v="1301.2" u="1"/>
        <n v="240.14" u="1"/>
        <n v="1290.18" u="1"/>
        <n v="1037.8" u="1"/>
        <n v="738.8" u="1"/>
        <n v="2953.55" u="1"/>
        <n v="556.79999999999995" u="1"/>
        <n v="2227.34" u="1"/>
        <n v="1214.9100000000001" u="1"/>
        <n v="1220.57" u="1"/>
        <n v="611.77" u="1"/>
        <n v="588.41999999999996" u="1"/>
        <n v="5302.94" u="1"/>
        <n v="4197.4841999999999" u="1"/>
        <n v="1340.17" u="1"/>
        <n v="1532.92" u="1"/>
        <n v="1217.92" u="1"/>
        <n v="589.41999999999996" u="1"/>
        <n v="882.07" u="1"/>
        <n v="1550.26" u="1"/>
        <n v="2040.71" u="1"/>
        <n v="1084.42" u="1"/>
        <n v="1898.84" u="1"/>
        <n v="1553.17" u="1"/>
        <n v="2395.02" u="1"/>
        <n v="745.72" u="1"/>
        <n v="1094.74" u="1"/>
        <n v="2190" u="1"/>
        <n v="557" u="1"/>
        <n v="793.3184" u="1"/>
        <n v="2208" u="1"/>
        <n v="261.54000000000002" u="1"/>
        <n v="660.99" u="1"/>
        <n v="410.43" u="1"/>
        <n v="311.56" u="1"/>
        <n v="260.27679999999998" u="1"/>
        <n v="423.98719999999997" u="1"/>
        <n v="624" u="1"/>
        <n v="563.33759999999995" u="1"/>
        <n v="227.78559999999999" u="1"/>
        <n v="530.47680000000003" u="1"/>
        <n v="690.952" u="1"/>
        <n v="433.94400000000002" u="1"/>
        <n v="610.04549999999995" u="1"/>
        <n v="785.29920000000004" u="1"/>
        <n v="243.12960000000001" u="1"/>
        <n v="155.2544" u="1"/>
        <n v="172.1104" u="1"/>
        <n v="507.3152" u="1"/>
        <n v="652.55679999999995" u="1"/>
        <n v="750.7808" u="1"/>
        <n v="253.6576" u="1"/>
        <n v="206.8528" u="1"/>
        <n v="207.71520000000001" u="1"/>
        <n v="380.4864" u="1"/>
        <n v="1935.91" u="1"/>
        <n v="139.13999999999999" u="1"/>
        <n v="251.55" u="1"/>
        <n v="15358.48" u="1"/>
        <n v="714.56730000000005" u="1"/>
        <n v="1574.1" u="1"/>
        <n v="985.9" u="1"/>
        <n v="1031.8" u="1"/>
        <n v="2320.96" u="1"/>
        <n v="1194.2863" u="1"/>
        <n v="1938.17" u="1"/>
        <n v="1510.43" u="1"/>
        <n v="2161.67" u="1"/>
        <n v="1685.56" u="1"/>
        <n v="322.11" u="1"/>
        <n v="1302.67" u="1"/>
        <n v="326.89999999999998" u="1"/>
        <n v="598.89" u="1"/>
        <n v="3939.12" u="1"/>
        <n v="462.39" u="1"/>
        <n v="4661.0436" u="1"/>
        <n v="674.5" u="1"/>
        <n v="1360.39" u="1"/>
        <n v="736.53" u="1"/>
        <n v="2400" u="1"/>
        <n v="1858.5" u="1"/>
        <n v="644.38499999999999" u="1"/>
        <n v="83.63" u="1"/>
        <n v="85.8" u="1"/>
        <n v="571.08799999999997" u="1"/>
        <n v="400.8" u="1"/>
        <n v="1138.22" u="1"/>
        <n v="418.21" u="1"/>
        <n v="3206.44" u="1"/>
        <n v="1091.8" u="1"/>
        <n v="554" u="1"/>
        <n v="691.86990000000003" u="1"/>
        <n v="1890.94" u="1"/>
        <n v="1909.28" u="1"/>
        <n v="2024.55" u="1"/>
        <n v="669.33" u="1"/>
        <n v="1033.45" u="1"/>
        <n v="2256.84" u="1"/>
        <n v="217.68" u="1"/>
        <n v="600.54" u="1"/>
        <n v="600.53" u="1"/>
        <n v="805.57" u="1"/>
        <n v="805.58" u="1"/>
        <n v="601.85" u="1"/>
        <n v="5662.44" u="1"/>
        <n v="16015.37" u="1"/>
        <n v="13832.2" u="1"/>
        <n v="3030.8409999999999" u="1"/>
        <n v="607.69000000000005" u="1"/>
        <n v="1417.31" u="1"/>
        <n v="614.51" u="1"/>
        <n v="550.97" u="1"/>
        <n v="830.22" u="1"/>
        <n v="767.18" u="1"/>
        <n v="1608.67" u="1"/>
        <n v="328" u="1"/>
        <n v="1144.3499999999999" u="1"/>
        <n v="1805.39" u="1"/>
        <n v="580" u="1"/>
        <n v="453" u="1"/>
        <n v="1511" u="1"/>
        <n v="234" u="1"/>
        <n v="8530.0614000000005" u="1"/>
        <n v="248.81" u="1"/>
        <n v="18945" u="1"/>
        <n v="389" u="1"/>
        <n v="2858" u="1"/>
        <n v="2173.5" u="1"/>
        <n v="395.28" u="1"/>
        <n v="23153.58" u="1"/>
        <n v="492.3" u="1"/>
        <n v="1590.58" u="1"/>
        <n v="339.9" u="1"/>
        <n v="2336.3200000000002" u="1"/>
        <n v="2769.21" u="1"/>
        <n v="1503.84" u="1"/>
        <n v="1318.36" u="1"/>
        <n v="12852" u="1"/>
        <n v="1064.56" u="1"/>
        <n v="1069.3399999999999" u="1"/>
        <n v="686.92" u="1"/>
        <n v="283.5" u="1"/>
        <n v="1393.42" u="1"/>
        <n v="495.55" u="1"/>
        <n v="333.9" u="1"/>
        <n v="772.13" u="1"/>
        <n v="1406.17" u="1"/>
        <n v="13313.26" u="1"/>
        <n v="2913.1959999999999" u="1"/>
        <n v="376.08" u="1"/>
        <n v="873" u="1"/>
        <n v="351" u="1"/>
        <n v="3969.56" u="1"/>
        <n v="3807.9450000000002" u="1"/>
        <n v="5106.08" u="1"/>
        <n v="770" u="1"/>
        <n v="7971.5328" u="1"/>
        <n v="4054" u="1"/>
        <n v="308.7" u="1"/>
        <n v="433.66" u="1"/>
        <n v="87.02" u="1"/>
        <n v="319" u="1"/>
        <n v="40.4" u="1"/>
        <n v="257.83999999999997" u="1"/>
        <n v="1073.5999999999999" u="1"/>
        <n v="715.9" u="1"/>
        <n v="1586.03" u="1"/>
        <n v="848.83" u="1"/>
        <n v="499.49" u="1"/>
        <n v="325.89999999999998" u="1"/>
        <n v="1421.73" u="1"/>
        <n v="1674.76" u="1"/>
        <n v="1674.78" u="1"/>
        <n v="346.32" u="1"/>
        <n v="1570.49" u="1"/>
        <n v="4046.48" u="1"/>
        <n v="201.77" u="1"/>
        <n v="289.60000000000002" u="1"/>
        <n v="1769.44" u="1"/>
        <n v="640.72" u="1"/>
        <n v="2986.91" u="1"/>
        <n v="2986.89" u="1"/>
        <n v="389.98" u="1"/>
        <n v="106.19" u="1"/>
        <n v="4240.8284000000003" u="1"/>
        <n v="1894.35" u="1"/>
        <n v="2518.1999999999998" u="1"/>
        <n v="14658.902400000001" u="1"/>
        <n v="552.83000000000004" u="1"/>
        <n v="36890" u="1"/>
        <n v="773.17" u="1"/>
        <n v="436.34" u="1"/>
        <n v="848.92" u="1"/>
        <n v="2540" u="1"/>
        <n v="693.8" u="1"/>
        <n v="1520.42" u="1"/>
        <n v="1035.5899999999999" u="1"/>
        <n v="1226.9000000000001" u="1"/>
        <n v="176.32" u="1"/>
        <n v="518.16999999999996" u="1"/>
        <n v="887.65" u="1"/>
        <n v="584.91999999999996" u="1"/>
        <n v="880.21" u="1"/>
        <n v="2163.67" u="1"/>
        <n v="15116.018400000001" u="1"/>
        <n v="28838.0445" u="1"/>
        <n v="5751.26" u="1"/>
        <n v="282" u="1"/>
        <n v="371.8" u="1"/>
        <n v="231" u="1"/>
        <n v="487" u="1"/>
        <n v="7475" u="1"/>
        <n v="547.04" u="1"/>
        <n v="2350" u="1"/>
        <n v="50" u="1"/>
        <n v="679.14" u="1"/>
        <n v="251" u="1"/>
        <n v="1160" u="1"/>
        <n v="486" u="1"/>
        <n v="501.93" u="1"/>
        <n v="6433.36" u="1"/>
        <n v="40.46" u="1"/>
        <n v="715" u="1"/>
        <n v="547.54999999999995" u="1"/>
        <n v="285.99" u="1"/>
        <n v="1157.4749999999999" u="1"/>
        <n v="865" u="1"/>
        <n v="576" u="1"/>
        <n v="288" u="1"/>
        <n v="224.1" u="1"/>
        <n v="999.8" u="1"/>
        <n v="332.5" u="1"/>
        <n v="134.38" u="1"/>
        <n v="528" u="1"/>
        <n v="143.96" u="1"/>
        <n v="1377" u="1"/>
        <n v="178.5" u="1"/>
        <n v="2241.75" u="1"/>
        <n v="457.8" u="1"/>
        <n v="330.75" u="1"/>
        <n v="236" u="1"/>
        <n v="1230" u="1"/>
        <n v="1879.2149999999999" u="1"/>
        <n v="786.77" u="1"/>
        <n v="791.6" u="1"/>
        <n v="1237.5" u="1"/>
        <n v="1128.3" u="1"/>
        <n v="6254.18" u="1"/>
        <n v="2582.02" u="1"/>
        <n v="132" u="1"/>
        <n v="618.32000000000005" u="1"/>
        <n v="1671.84" u="1"/>
        <n v="359.12" u="1"/>
        <n v="800.9" u="1"/>
        <n v="674.95" u="1"/>
        <n v="193.08" u="1"/>
        <n v="1863.25" u="1"/>
        <n v="570.89009999999996" u="1"/>
        <n v="8864.4480000000003" u="1"/>
        <n v="238" u="1"/>
        <n v="1399.35" u="1"/>
        <n v="175.66" u="1"/>
        <n v="173.315" u="1"/>
        <n v="353.16" u="1"/>
        <n v="428.11900000000003" u="1"/>
        <n v="164.6848" u="1"/>
        <n v="2040" u="1"/>
        <n v="960" u="1"/>
        <n v="552.29999999999995" u="1"/>
        <n v="1582.4570000000001" u="1"/>
        <n v="97.94" u="1"/>
        <n v="2200" u="1"/>
        <n v="3553.4504999999999" u="1"/>
        <n v="675.29409999999996" u="1"/>
        <n v="789.60450000000003" u="1"/>
        <n v="1129.6778999999999" u="1"/>
        <n v="822" u="1"/>
        <n v="1559.82" u="1"/>
        <n v="305.37" u="1"/>
        <n v="11247" u="1"/>
        <n v="6756" u="1"/>
        <n v="3824.01" u="1"/>
        <n v="2786" u="1"/>
        <n v="274.83999999999997" u="1"/>
        <n v="96.03" u="1"/>
        <n v="472" u="1"/>
        <n v="1464" u="1"/>
        <n v="512" u="1"/>
        <n v="851.19" u="1"/>
        <n v="208" u="1"/>
        <n v="550.58000000000004" u="1"/>
        <n v="711" u="1"/>
        <n v="163.9" u="1"/>
        <n v="338.91199999999998" u="1"/>
        <n v="410.50240000000002" u="1"/>
        <n v="714.17" u="1"/>
        <n v="679.30240000000003" u="1"/>
        <n v="725.84960000000001" u="1"/>
        <n v="371" u="1"/>
        <n v="1276" u="1"/>
        <n v="573" u="1"/>
        <n v="1236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257.52" u="1"/>
        <n v="458.4" u="1"/>
        <n v="435.2" u="1"/>
        <n v="1007.84" u="1"/>
        <n v="364.72" u="1"/>
        <n v="377.74" u="1"/>
        <n v="2531.1" u="1"/>
        <n v="2531.0700000000002" u="1"/>
        <n v="3006.45" u="1"/>
        <n v="3006.44" u="1"/>
        <n v="584.13" u="1"/>
        <n v="4855.7299999999996" u="1"/>
        <n v="2645.87" u="1"/>
        <n v="28230.73" u="1"/>
        <n v="808.92" u="1"/>
        <n v="8428.94" u="1"/>
        <n v="1045.3399999999999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749.92" u="1"/>
        <n v="1052.6207999999999" u="1"/>
        <n v="173.44" u="1"/>
        <n v="654.69600000000003" u="1"/>
        <n v="645.45600000000002" u="1"/>
        <n v="380.59339999999997" u="1"/>
        <n v="812.05" u="1"/>
        <n v="1230.44" u="1"/>
        <n v="508.86079999999998" u="1"/>
        <n v="734.45119999999997" u="1"/>
        <n v="505.83" u="1"/>
        <n v="800.72" u="1"/>
        <n v="812.46" u="1"/>
        <n v="125" u="1"/>
        <n v="249.9" u="1"/>
        <n v="797.88" u="1"/>
        <n v="445.96" u="1"/>
        <n v="489" u="1"/>
        <n v="329.67" u="1"/>
        <n v="7951.68" u="1"/>
        <n v="7945.89" u="1"/>
        <n v="326" u="1"/>
        <n v="870" u="1"/>
        <n v="1639" u="1"/>
        <n v="522" u="1"/>
        <n v="978" u="1"/>
        <n v="4731" u="1"/>
        <n v="6071.31" u="1"/>
        <n v="9787.4" u="1"/>
        <n v="4297.75" u="1"/>
        <n v="923.36" u="1"/>
        <n v="185" u="1"/>
        <n v="185.02" u="1"/>
        <n v="826.5" u="1"/>
        <n v="824.1" u="1"/>
        <n v="232" u="1"/>
        <n v="8009.52" u="1"/>
        <n v="385.2" u="1"/>
        <n v="468" u="1"/>
        <n v="12775.8" u="1"/>
        <n v="313" u="1"/>
        <n v="2236.86" u="1"/>
        <n v="2066.3200000000002" u="1"/>
        <n v="3150" u="1"/>
        <n v="4492.32" u="1"/>
        <n v="1145" u="1"/>
        <n v="490" u="1"/>
        <n v="458.85" u="1"/>
        <n v="311.60000000000002" u="1"/>
        <n v="2987" u="1"/>
        <n v="7376" u="1"/>
        <n v="5937.48" u="1"/>
        <n v="935.24" u="1"/>
        <n v="4151.3999999999996" u="1"/>
        <n v="11053.1" u="1"/>
        <n v="743.75" u="1"/>
        <n v="658" u="1"/>
        <n v="1421.97" u="1"/>
        <n v="930.49599999999998" u="1"/>
        <n v="335.79840000000002" u="1"/>
        <n v="405.28320000000002" u="1"/>
        <n v="362.30040000000002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539.1" u="1"/>
        <n v="5215.1400000000003" u="1"/>
        <n v="507.72" u="1"/>
        <n v="253.88" u="1"/>
        <n v="3137.0976000000001" u="1"/>
        <n v="436.9" u="1"/>
        <n v="388.8" u="1"/>
        <n v="214.61" u="1"/>
        <n v="585.36749999999995" u="1"/>
        <n v="316" u="1"/>
        <n v="3752.4" u="1"/>
        <n v="690.45759999999996" u="1"/>
        <n v="519.63199999999995" u="1"/>
        <n v="875.73" u="1"/>
        <n v="2584.44" u="1"/>
        <n v="601.64160000000004" u="1"/>
        <n v="428.04160000000002" u="1"/>
        <n v="329.36959999999999" u="1"/>
        <n v="446.02" u="1"/>
        <n v="910.74" u="1"/>
        <n v="1916.5663999999999" u="1"/>
        <n v="308.58" u="1"/>
        <n v="5338.08" u="1"/>
        <n v="550.32000000000005" u="1"/>
        <n v="148.74" u="1"/>
        <n v="2384.9" u="1"/>
        <n v="171.59" u="1"/>
        <n v="483.54" u="1"/>
        <n v="517.75" u="1"/>
        <n v="1027.9023999999999" u="1"/>
        <n v="802.9" u="1"/>
        <n v="436.71039999999999" u="1"/>
        <n v="128.6" u="1"/>
        <n v="205.01" u="1"/>
        <n v="352" u="1"/>
        <n v="475.5" u="1"/>
        <n v="748" u="1"/>
        <n v="387.45" u="1"/>
        <n v="583.16160000000002" u="1"/>
        <n v="986.49" u="1"/>
        <n v="894.76800000000003" u="1"/>
        <n v="1064.9856" u="1"/>
        <n v="1309" u="1"/>
        <n v="1203.384" u="1"/>
        <n v="1097.6784" u="1"/>
        <n v="763.29" u="1"/>
        <n v="452.47500000000002" u="1"/>
        <n v="762.26" u="1"/>
        <n v="495.74250000000001" u="1"/>
        <n v="1446.3" u="1"/>
        <n v="119.97" u="1"/>
        <n v="606.24" u="1"/>
        <n v="2743.2" u="1"/>
        <n v="1116.32" u="1"/>
        <n v="1440.97" u="1"/>
        <n v="1119.92" u="1"/>
        <n v="1590.39" u="1"/>
        <n v="2590.4699999999998" u="1"/>
        <n v="202.9" u="1"/>
        <n v="1269.0899999999999" u="1"/>
        <n v="1262.17" u="1"/>
        <n v="1253.0899999999999" u="1"/>
        <n v="32565.19" u="1"/>
        <n v="1392.67" u="1"/>
        <n v="1130.5899999999999" u="1"/>
        <n v="570.59" u="1"/>
        <n v="1337.17" u="1"/>
        <n v="1133.17" u="1"/>
        <n v="929.09" u="1"/>
        <n v="30790.87" u="1"/>
        <n v="513.37440000000004" u="1"/>
        <n v="84.4" u="1"/>
        <n v="726" u="1"/>
        <n v="880" u="1"/>
        <n v="193.98" u="1"/>
        <n v="907.39" u="1"/>
        <n v="1276.6400000000001" u="1"/>
        <n v="464.88" u="1"/>
        <n v="479.92" u="1"/>
        <n v="1375.8" u="1"/>
        <n v="393.9" u="1"/>
        <n v="3191.6" u="1"/>
        <n v="980.88" u="1"/>
        <n v="1850.04" u="1"/>
        <n v="20400.96" u="1"/>
        <n v="1178.79" u="1"/>
        <n v="234.73" u="1"/>
        <n v="551.16999999999996" u="1"/>
        <n v="1160.8399999999999" u="1"/>
        <n v="1068.5899999999999" u="1"/>
        <n v="3374.05" u="1"/>
        <n v="142.41999999999999" u="1"/>
        <n v="627.66999999999996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353.08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94.43199999999999" u="1"/>
        <n v="494.05439999999999" u="1"/>
        <n v="376.82" u="1"/>
        <n v="340" u="1"/>
        <n v="6861.45" u="1"/>
        <n v="1116" u="1"/>
        <n v="933.50879999999995" u="1"/>
        <n v="750.98239999999998" u="1"/>
        <n v="374.05759999999998" u="1"/>
        <n v="506.65440000000001" u="1"/>
        <n v="901.84640000000002" u="1"/>
        <n v="107.96" u="1"/>
        <n v="2324.3200000000002" u="1"/>
        <n v="2188.16" u="1"/>
        <n v="524.20799999999997" u="1"/>
        <n v="726.64" u="1"/>
        <n v="2433.6" u="1"/>
        <n v="278.19" u="1"/>
        <n v="1051.0116" u="1"/>
        <n v="955.9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534.91999999999996" u="1"/>
        <n v="224.81" u="1"/>
        <n v="854.30529999999999" u="1"/>
        <n v="1565.3902" u="1"/>
        <n v="1406.8208" u="1"/>
        <n v="189.99" u="1"/>
        <n v="609" u="1"/>
        <n v="627.51" u="1"/>
        <n v="1088.96" u="1"/>
        <n v="2146.84" u="1"/>
        <n v="2572.8000000000002" u="1"/>
        <n v="3743.712" u="1"/>
        <n v="487.33440000000002" u="1"/>
        <n v="942.95" u="1"/>
        <n v="646" u="1"/>
        <n v="985" u="1"/>
        <n v="7719.2327999999998" u="1"/>
        <n v="1796.058" u="1"/>
        <n v="186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1144.5" u="1"/>
        <n v="179" u="1"/>
        <n v="344.2208" u="1"/>
        <n v="156.3184" u="1"/>
        <n v="621.23040000000003" u="1"/>
        <n v="218.33279999999999" u="1"/>
        <n v="524.20479999999998" u="1"/>
        <n v="241.49440000000001" u="1"/>
        <n v="239.16480000000001" u="1"/>
        <n v="486.25920000000002" u="1"/>
        <n v="482.71" u="1"/>
        <n v="253.27" u="1"/>
        <n v="227.95" u="1"/>
        <n v="182.79" u="1"/>
        <n v="44.4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40" u="1"/>
        <n v="1091.4000000000001" u="1"/>
        <n v="1606.2891" u="1"/>
        <n v="1985.6" u="1"/>
        <n v="916.32" u="1"/>
        <n v="21353.41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325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207.15" u="1"/>
        <n v="777.76" u="1"/>
        <n v="712.41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08" u="1"/>
        <n v="2497.9499999999998" u="1"/>
        <n v="1950" u="1"/>
        <n v="1800" u="1"/>
        <n v="961.8" u="1"/>
        <n v="761.3" u="1"/>
        <n v="169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259.99" u="1"/>
        <n v="935.14400000000001" u="1"/>
        <n v="666.6576" u="1"/>
        <n v="1433.7009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279" u="1"/>
        <n v="346" u="1"/>
        <n v="188.68" u="1"/>
        <n v="221.4" u="1"/>
        <n v="8605.48" u="1"/>
        <n v="796.22" u="1"/>
        <n v="489.69" u="1"/>
        <n v="4010.72" u="1"/>
        <n v="625.16999999999996" u="1"/>
        <n v="1180.77" u="1"/>
        <n v="496.12" u="1"/>
        <n v="1042.5" u="1"/>
        <n v="478.18" u="1"/>
        <n v="990.24" u="1"/>
        <n v="1184" u="1"/>
        <n v="487.5" u="1"/>
        <n v="223.75" u="1"/>
        <n v="698" u="1"/>
        <n v="458.6" u="1"/>
        <n v="205.71340000000001" u="1"/>
        <n v="171.08" u="1"/>
        <n v="2948.93" u="1"/>
        <n v="2475.6799999999998" u="1"/>
        <n v="594.98879999999997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325.92" u="1"/>
        <n v="537.69000000000005" u="1"/>
        <n v="805.11199999999997" u="1"/>
        <n v="255.78559999999999" u="1"/>
        <n v="168.952" u="1"/>
        <n v="494.72640000000001" u="1"/>
        <n v="511.21280000000002" u="1"/>
        <n v="489.38400000000001" u="1"/>
        <n v="79.738399999999999" u="1"/>
        <n v="644.08960000000002" u="1"/>
        <n v="468.45119999999997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1195.6400000000001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154" u="1"/>
        <n v="2522.4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286.88" u="1"/>
        <n v="1229.0001" u="1"/>
        <n v="263.75" u="1"/>
        <n v="296.39999999999998" u="1"/>
        <n v="603.99990000000003" u="1"/>
        <n v="1428.32" u="1"/>
        <n v="8285.52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409.98719999999997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72" u="1"/>
        <n v="203.05600000000001" u="1"/>
        <n v="128.65" u="1"/>
        <n v="771.54" u="1"/>
        <n v="1388.7719999999999" u="1"/>
        <n v="392.49279999999999" u="1"/>
        <n v="559.26990000000001" u="1"/>
        <n v="3547.9584" u="1"/>
        <n v="498.46" u="1"/>
        <n v="455.4144" u="1"/>
        <n v="459.7824" u="1"/>
        <n v="2295.1999999999998" u="1"/>
        <n v="2150" u="1"/>
        <n v="595.20000000000005" u="1"/>
        <n v="278.25" u="1"/>
        <n v="217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5435.5" u="1"/>
        <n v="21809.13" u="1"/>
        <n v="1258.5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1385.54" u="1"/>
        <n v="799.1" u="1"/>
        <n v="589.79999999999995" u="1"/>
        <n v="1330.32" u="1"/>
        <n v="1217.8499999999999" u="1"/>
        <n v="1023.29" u="1"/>
        <n v="555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61.27" u="1"/>
        <n v="752.86" u="1"/>
        <n v="740.94" u="1"/>
        <n v="2716.3348999999998" u="1"/>
        <n v="579.29999999999995" u="1"/>
        <n v="223.61" u="1"/>
        <n v="793.8" u="1"/>
        <n v="2072.5913" u="1"/>
        <n v="1415.0749000000001" u="1"/>
        <n v="422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455.91" u="1"/>
        <n v="391.92" u="1"/>
        <n v="489.97" u="1"/>
        <n v="1134.9000000000001" u="1"/>
        <n v="765.72" u="1"/>
        <n v="587.97" u="1"/>
        <n v="1941.68" u="1"/>
        <n v="1595.12" u="1"/>
        <n v="479.62" u="1"/>
        <n v="649.9" u="1"/>
        <n v="734.35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101.5999999999999" u="1"/>
        <n v="19219.66" u="1"/>
        <n v="337.1" u="1"/>
        <n v="428" u="1"/>
        <n v="2000" u="1"/>
        <n v="875.6" u="1"/>
        <n v="1175.8" u="1"/>
        <n v="248.56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251.75" u="1"/>
        <n v="514.14" u="1"/>
        <n v="1967.55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35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1874.22" u="1"/>
        <n v="481.5" u="1"/>
        <n v="101.52" u="1"/>
        <n v="106.31" u="1"/>
        <n v="92.96" u="1"/>
        <n v="109.57" u="1"/>
        <n v="2781.96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26.75" u="1"/>
        <n v="27.2" u="1"/>
        <n v="65.77" u="1"/>
        <n v="60.52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726.8" u="1"/>
        <n v="456.3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209.15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885" u="1"/>
        <n v="292.8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84.96" u="1"/>
        <n v="1604" u="1"/>
        <n v="2006" u="1"/>
        <n v="871.44" u="1"/>
        <n v="1760" u="1"/>
        <n v="1309.0999999999999" u="1"/>
        <n v="166" u="1"/>
        <n v="2278.518" u="1"/>
        <n v="546.29999999999995" u="1"/>
        <n v="95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650" u="1"/>
        <n v="5911" u="1"/>
        <n v="18016.18" u="1"/>
        <n v="1841" u="1"/>
        <n v="73.11" u="1"/>
        <n v="334.79039999999998" u="1"/>
        <n v="313.33" u="1"/>
        <n v="731.31" u="1"/>
        <n v="1665" u="1"/>
        <n v="1755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601.32000000000005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526.16999999999996" u="1"/>
        <n v="406" u="1"/>
        <n v="477.52" u="1"/>
        <n v="424.44" u="1"/>
        <n v="237" u="1"/>
        <n v="437.7" u="1"/>
        <n v="404" u="1"/>
        <n v="168.88480000000001" u="1"/>
        <n v="169.84800000000001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351.9" u="1"/>
        <n v="1629.6" u="1"/>
        <n v="1417.5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88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1719" u="1"/>
        <n v="889.11" u="1"/>
        <n v="1000" u="1"/>
        <n v="127.38" u="1"/>
        <n v="686" u="1"/>
        <n v="933" u="1"/>
        <n v="338.64359999999999" u="1"/>
        <n v="999.78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65.37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760" u="1"/>
        <n v="1715" u="1"/>
        <n v="11339.16" u="1"/>
        <n v="172.99" u="1"/>
        <n v="3644.73" u="1"/>
        <n v="2325.29" u="1"/>
        <n v="1847.1" u="1"/>
        <n v="503.98" u="1"/>
        <n v="929.72" u="1"/>
        <n v="1752.68" u="1"/>
        <n v="1038" u="1"/>
        <n v="22729" u="1"/>
        <n v="9091.6" u="1"/>
        <n v="381.69" u="1"/>
        <n v="104.99" u="1"/>
        <n v="916.47" u="1"/>
        <n v="3877" u="1"/>
        <n v="5385" u="1"/>
        <n v="7754.01" u="1"/>
        <n v="320.39999999999998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1024" u="1"/>
        <n v="129.44" u="1"/>
        <n v="136.09" u="1"/>
        <n v="605" u="1"/>
        <n v="1000.68" u="1"/>
        <n v="182.55" u="1"/>
        <n v="1360" u="1"/>
        <n v="173.33" u="1"/>
        <n v="1415.82" u="1"/>
        <n v="744.81" u="1"/>
        <n v="221.24" u="1"/>
        <n v="674.01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992" u="1"/>
        <n v="355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2" u="1"/>
        <n v="5870.83" u="1"/>
        <n v="6175.22" u="1"/>
        <n v="652.77" u="1"/>
        <n v="895.94" u="1"/>
        <n v="490.94" u="1"/>
        <n v="307" u="1"/>
        <n v="369" u="1"/>
        <n v="858" u="1"/>
        <n v="330.6" u="1"/>
        <n v="429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603" u="1"/>
        <n v="901.84609999999998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74.99" u="1"/>
        <n v="373.29599999999999" u="1"/>
        <n v="936" u="1"/>
        <n v="250.62" u="1"/>
        <n v="843.85" u="1"/>
        <n v="239.53" u="1"/>
        <n v="252.51" u="1"/>
        <n v="446.67" u="1"/>
        <n v="700.49279999999999" u="1"/>
        <n v="274.35000000000002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461.7" u="1"/>
        <n v="668.1" u="1"/>
        <n v="508.2" u="1"/>
        <n v="407.4" u="1"/>
        <n v="202.8" u="1"/>
        <n v="470.4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69.44" u="1"/>
        <n v="66.67" u="1"/>
        <n v="1242" u="1"/>
        <n v="84.5" u="1"/>
        <n v="688.8" u="1"/>
        <n v="347" u="1"/>
        <n v="1910" u="1"/>
        <n v="1470" u="1"/>
        <n v="562" u="1"/>
        <n v="325.5" u="1"/>
        <n v="328.9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1254.1500000000001" u="1"/>
        <n v="1168.3399999999999" u="1"/>
        <n v="413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984.76980000000003" u="1"/>
        <n v="730.91200000000003" u="1"/>
        <n v="441.22500000000002" u="1"/>
        <n v="446.11559999999997" u="1"/>
        <n v="861.03359999999998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491" u="1"/>
        <n v="1694.01" u="1"/>
        <n v="1824" u="1"/>
        <n v="10884.57" u="1"/>
        <n v="366" u="1"/>
        <n v="1122" u="1"/>
        <n v="937.3338" u="1"/>
        <n v="1226.848" u="1"/>
        <n v="710" u="1"/>
        <n v="2140.27" u="1"/>
        <n v="2600" u="1"/>
        <n v="288.79000000000002" u="1"/>
        <n v="6654.48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8011.02" u="1"/>
        <n v="1437.13" u="1"/>
        <n v="373.47" u="1"/>
        <n v="373.46" u="1"/>
        <n v="999.46" u="1"/>
        <n v="291.60000000000002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1428.42" u="1"/>
        <n v="534.25" u="1"/>
        <n v="502.52" u="1"/>
        <n v="714.54" u="1"/>
        <n v="884.31" u="1"/>
        <n v="1004" u="1"/>
        <n v="736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1435.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267.58" u="1"/>
        <n v="5503.9859999999999" u="1"/>
        <n v="2831.2919999999999" u="1"/>
        <n v="2892" u="1"/>
        <n v="804.38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574.88" u="1"/>
        <n v="227.84" u="1"/>
        <n v="232.34" u="1"/>
        <n v="1479" u="1"/>
        <n v="2166.0812999999998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15.76" u="1"/>
        <n v="1244.04" u="1"/>
        <n v="491.84" u="1"/>
        <n v="240.17" u="1"/>
        <n v="1285.99" u="1"/>
        <n v="290.8999999999999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637.41" u="1"/>
        <n v="241.9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381.41320000000002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196.17" u="1"/>
        <n v="121.64" u="1"/>
        <n v="934.92" u="1"/>
        <n v="170.58" u="1"/>
        <n v="52.72" u="1"/>
        <n v="49.19" u="1"/>
        <n v="44.68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1166" u="1"/>
        <n v="1619.22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983.53920000000005" u="1"/>
        <n v="819.9743999999999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</sharedItems>
    </cacheField>
    <cacheField name="Taxa" numFmtId="0">
      <sharedItems containsString="0" containsBlank="1" containsNumber="1" minValue="0" maxValue="3418.27"/>
    </cacheField>
    <cacheField name="Outras Taxas" numFmtId="0">
      <sharedItems containsString="0" containsBlank="1" containsNumber="1" minValue="0" maxValue="4416"/>
    </cacheField>
    <cacheField name="Taxa DU" numFmtId="0">
      <sharedItems containsString="0" containsBlank="1" containsNumber="1" minValue="0" maxValue="189.43"/>
    </cacheField>
    <cacheField name="Taxa BR" numFmtId="0">
      <sharedItems containsString="0" containsBlank="1" containsNumber="1" minValue="0" maxValue="149.19999999999999"/>
    </cacheField>
    <cacheField name="Taxa Extra" numFmtId="0">
      <sharedItems containsString="0" containsBlank="1" containsNumber="1" minValue="0" maxValue="831.32"/>
    </cacheField>
    <cacheField name="Fee" numFmtId="0">
      <sharedItems containsString="0" containsBlank="1" containsNumber="1" minValue="0" maxValue="250.05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01-23T08:27:00" endDate="2025-09-11T20:28:00"/>
        <groupItems count="14">
          <s v="&lt;23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1/09/2025"/>
        </groupItems>
      </fieldGroup>
    </cacheField>
    <cacheField name="Trimestres (Data Emissão)" numFmtId="0" databaseField="0">
      <fieldGroup base="12">
        <rangePr groupBy="quarters" startDate="2025-01-23T08:27:00" endDate="2025-09-11T20:28:00"/>
        <groupItems count="6">
          <s v="&lt;23/01/2025"/>
          <s v="Trim1"/>
          <s v="Trim2"/>
          <s v="Trim3"/>
          <s v="Trim4"/>
          <s v="&gt;11/09/2025"/>
        </groupItems>
      </fieldGroup>
    </cacheField>
    <cacheField name="Anos (Data Emissão)" numFmtId="0" databaseField="0">
      <fieldGroup base="12">
        <rangePr groupBy="years" startDate="2025-01-23T08:27:00" endDate="2025-09-11T20:28:00"/>
        <groupItems count="3">
          <s v="&lt;23/01/2025"/>
          <s v="2025"/>
          <s v="&gt;11/09/2025"/>
        </groupItems>
      </fieldGroup>
    </cacheField>
    <cacheField name="Meses (Data Inclusão)" numFmtId="0" databaseField="0">
      <fieldGroup base="3">
        <rangePr groupBy="months" startDate="2025-08-21T15:16:29" endDate="2025-09-12T06:49:42"/>
        <groupItems count="14">
          <s v="&lt;21/08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2/09/2025"/>
        </groupItems>
      </fieldGroup>
    </cacheField>
    <cacheField name="Trimestres (Data Inclusão)" numFmtId="0" databaseField="0">
      <fieldGroup base="3">
        <rangePr groupBy="quarters" startDate="2025-08-21T15:16:29" endDate="2025-09-12T06:49:42"/>
        <groupItems count="6">
          <s v="&lt;21/08/2025"/>
          <s v="Trim1"/>
          <s v="Trim2"/>
          <s v="Trim3"/>
          <s v="Trim4"/>
          <s v="&gt;12/09/2025"/>
        </groupItems>
      </fieldGroup>
    </cacheField>
    <cacheField name="Anos (Data Inclusão)" numFmtId="0" databaseField="0">
      <fieldGroup base="3">
        <rangePr groupBy="years" startDate="2025-08-21T15:16:29" endDate="2025-09-12T06:49:42"/>
        <groupItems count="3">
          <s v="&lt;21/08/2025"/>
          <s v="2025"/>
          <s v="&gt;12/0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912.321095486113" createdVersion="8" refreshedVersion="8" minRefreshableVersion="3" recordCount="594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2786000" maxValue="22913667"/>
    </cacheField>
    <cacheField name="Handle ACC" numFmtId="0">
      <sharedItems containsString="0" containsBlank="1" containsNumber="1" containsInteger="1" minValue="23577451" maxValue="23686259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4-08-27T20:34:26" maxDate="2025-09-12T06:49:42" count="8000">
        <d v="2025-09-08T10:50:16"/>
        <d v="2025-09-04T18:25:54"/>
        <d v="2025-09-04T17:45:11"/>
        <d v="2025-09-02T22:16:46"/>
        <d v="2025-08-28T11:28:34"/>
        <d v="2025-09-04T08:06:27"/>
        <d v="2025-09-02T16:48:57"/>
        <d v="2025-09-11T16:17:41"/>
        <d v="2025-09-11T16:17:55"/>
        <d v="2025-09-11T16:18:13"/>
        <d v="2025-09-11T16:18:47"/>
        <d v="2025-08-28T10:35:45"/>
        <d v="2025-09-10T09:57:01"/>
        <d v="2025-09-01T13:17:40"/>
        <d v="2025-08-22T16:07:19"/>
        <d v="2025-08-26T15:25:24"/>
        <d v="2025-09-05T15:45:42"/>
        <d v="2025-08-21T18:04:40"/>
        <d v="2025-09-11T15:16:22"/>
        <d v="2025-09-04T17:12:08"/>
        <d v="2025-09-09T18:05:26"/>
        <d v="2025-09-01T14:48:13"/>
        <d v="2025-09-06T08:24:26"/>
        <d v="2025-09-11T19:35:50"/>
        <d v="2025-09-02T12:51:44"/>
        <d v="2025-09-01T12:58:32"/>
        <d v="2025-09-01T21:11:28"/>
        <d v="2025-09-01T21:11:39"/>
        <d v="2025-09-11T19:34:27"/>
        <d v="2025-09-12T00:40:14"/>
        <d v="2025-09-02T19:20:51"/>
        <d v="2025-08-26T08:01:21"/>
        <d v="2025-09-10T21:15:40"/>
        <d v="2025-09-10T21:14:38"/>
        <d v="2025-09-10T21:14:42"/>
        <d v="2025-09-11T19:01:36"/>
        <d v="2025-09-11T17:05:29"/>
        <d v="2025-09-04T10:52:47"/>
        <d v="2025-08-28T13:27:47"/>
        <d v="2025-09-11T10:45:33"/>
        <d v="2025-09-01T12:47:52"/>
        <d v="2025-09-01T12:47:55"/>
        <d v="2025-09-05T11:17:19"/>
        <d v="2025-09-02T10:46:56"/>
        <d v="2025-09-05T15:26:50"/>
        <d v="2025-09-05T15:35:49"/>
        <d v="2025-09-03T10:16:12"/>
        <d v="2025-09-06T00:13:29"/>
        <d v="2025-09-06T00:13:33"/>
        <d v="2025-09-11T00:18:15"/>
        <d v="2025-09-08T17:26:18"/>
        <d v="2025-09-11T19:26:45"/>
        <d v="2025-09-11T16:16:15"/>
        <d v="2025-09-02T19:28:23"/>
        <d v="2025-09-02T19:28:24"/>
        <d v="2025-09-02T19:28:28"/>
        <d v="2025-09-02T19:28:29"/>
        <d v="2025-09-01T11:09:06"/>
        <d v="2025-09-11T16:17:56"/>
        <d v="2025-08-28T16:59:09"/>
        <d v="2025-09-11T19:29:46"/>
        <d v="2025-09-11T19:29:58"/>
        <d v="2025-08-22T09:31:19"/>
        <d v="2025-08-21T15:16:29"/>
        <d v="2025-08-28T09:01:29"/>
        <d v="2025-09-10T21:12:49"/>
        <d v="2025-09-11T16:13:22"/>
        <d v="2025-09-10T00:20:17"/>
        <d v="2025-09-02T10:31:59"/>
        <d v="2025-09-02T10:32:22"/>
        <d v="2025-09-02T10:33:02"/>
        <d v="2025-09-08T17:32:29"/>
        <d v="2025-09-08T17:33:33"/>
        <d v="2025-09-03T10:07:16"/>
        <d v="2025-08-27T09:33:28"/>
        <d v="2025-08-27T15:47:38"/>
        <d v="2025-09-01T08:34:48"/>
        <d v="2025-09-01T18:34:52"/>
        <d v="2025-09-10T22:37:27"/>
        <d v="2025-09-03T15:34:58"/>
        <d v="2025-09-08T14:07:08"/>
        <d v="2025-09-09T17:07:02"/>
        <d v="2025-08-22T14:06:35"/>
        <d v="2025-08-28T12:49:33"/>
        <d v="2025-09-02T00:24:30"/>
        <d v="2025-09-02T00:24:38"/>
        <d v="2025-08-28T19:07:58"/>
        <d v="2025-08-28T19:08:06"/>
        <d v="2025-08-29T18:58:21"/>
        <d v="2025-09-11T00:27:40"/>
        <d v="2025-08-29T18:37:07"/>
        <d v="2025-09-11T18:47:22"/>
        <d v="2025-08-26T19:36:29"/>
        <d v="2025-08-28T12:47:55"/>
        <d v="2025-08-30T00:07:47"/>
        <d v="2025-09-05T00:04:43"/>
        <d v="2025-09-05T00:04:44"/>
        <d v="2025-09-06T00:05:22"/>
        <d v="2025-09-06T00:05:23"/>
        <d v="2025-09-06T00:05:24"/>
        <d v="2025-09-01T16:04:08"/>
        <d v="2025-09-09T16:36:52"/>
        <d v="2025-09-10T12:25:54"/>
        <d v="2025-08-25T19:24:00"/>
        <d v="2025-09-10T21:13:04"/>
        <d v="2025-09-10T21:18:09"/>
        <d v="2025-09-10T21:02:40"/>
        <d v="2025-09-11T15:03:01"/>
        <d v="2025-09-11T21:33:19"/>
        <d v="2025-09-12T06:49:05"/>
        <d v="2025-09-12T06:49:27"/>
        <d v="2025-09-04T12:53:15"/>
        <d v="2025-09-04T12:53:21"/>
        <d v="2025-09-04T12:41:47"/>
        <d v="2025-09-11T15:07:09"/>
        <d v="2025-09-11T15:08:45"/>
        <d v="2025-09-12T06:48:39"/>
        <d v="2025-08-29T17:31:08"/>
        <d v="2025-09-01T09:31:01"/>
        <d v="2025-08-29T11:06:16"/>
        <d v="2025-09-01T16:02:35"/>
        <d v="2025-09-03T14:48:22"/>
        <d v="2025-09-01T11:47:46"/>
        <d v="2025-09-11T15:04:00"/>
        <d v="2025-09-04T12:49:34"/>
        <d v="2025-09-04T12:37:49"/>
        <d v="2025-09-01T16:01:24"/>
        <d v="2025-09-11T15:09:01"/>
        <d v="2025-09-12T06:46:56"/>
        <d v="2025-09-12T06:47:16"/>
        <d v="2025-09-12T06:47:34"/>
        <d v="2025-09-10T21:01:32"/>
        <d v="2025-09-10T21:03:09"/>
        <d v="2025-09-10T21:03:15"/>
        <d v="2025-09-01T16:01:54"/>
        <d v="2025-09-01T16:01:59"/>
        <d v="2025-08-28T13:16:09"/>
        <d v="2025-08-28T13:31:32"/>
        <d v="2025-09-11T15:05:41"/>
        <d v="2025-09-03T09:16:07"/>
        <d v="2025-09-10T22:24:47"/>
        <d v="2025-09-10T12:03:35"/>
        <d v="2025-09-09T14:02:48"/>
        <d v="2025-09-08T14:02:19"/>
        <d v="2025-09-09T19:01:23"/>
        <d v="2025-09-08T13:02:00"/>
        <d v="2025-09-08T13:02:02"/>
        <d v="2025-09-08T13:02:13"/>
        <d v="2025-09-01T21:26:28"/>
        <d v="2025-09-04T18:06:19"/>
        <d v="2025-09-09T18:00:38"/>
        <d v="2025-09-04T08:36:14"/>
        <d v="2025-09-04T08:36:15"/>
        <d v="2025-09-08T10:00:43"/>
        <d v="2025-09-05T08:03:03"/>
        <d v="2025-09-01T18:00:41"/>
        <d v="2025-09-04T07:33:31"/>
        <d v="2025-09-04T07:34:11"/>
        <d v="2025-09-04T08:32:52"/>
        <d v="2025-09-08T15:03:16"/>
        <d v="2025-09-08T15:03:19"/>
        <d v="2025-09-10T12:03:55"/>
        <d v="2025-09-09T22:02:36"/>
        <d v="2025-09-10T22:25:53"/>
        <d v="2025-09-10T11:03:02"/>
        <d v="2025-09-10T19:03:29"/>
        <d v="2025-09-04T07:36:48"/>
        <d v="2025-09-03T16:00:51"/>
        <d v="2025-09-08T09:01:04"/>
        <d v="2025-09-09T16:03:33"/>
        <d v="2025-09-09T17:00:52"/>
        <d v="2025-09-09T17:01:09"/>
        <d v="2025-09-09T10:02:54"/>
        <d v="2025-09-09T15:00:38"/>
        <d v="2025-09-08T17:01:34"/>
        <d v="2025-09-08T17:02:00"/>
        <d v="2025-09-08T17:02:04"/>
        <d v="2025-08-28T10:27:45"/>
        <d v="2025-08-28T10:24:58"/>
        <d v="2025-08-28T17:10:40"/>
        <d v="2025-08-28T15:18:48"/>
        <d v="2025-09-01T14:01:50"/>
        <d v="2025-09-01T15:00:44"/>
        <d v="2025-09-01T12:01:19"/>
        <d v="2025-09-04T08:32:17"/>
        <d v="2025-09-04T08:32:23"/>
        <d v="2025-09-02T11:00:16"/>
        <d v="2025-09-02T14:00:45"/>
        <d v="2025-09-10T14:03:02"/>
        <d v="2025-09-10T16:01:33"/>
        <d v="2025-09-10T17:02:21"/>
        <d v="2025-09-04T08:35:24"/>
        <d v="2025-09-08T16:01:39"/>
        <d v="2025-09-08T16:02:24"/>
        <d v="2025-09-05T11:06:08"/>
        <d v="2025-09-05T12:05:12"/>
        <d v="2025-09-05T14:07:39"/>
        <d v="2025-09-04T15:03:55"/>
        <d v="2025-09-04T15:04:47"/>
        <d v="2025-09-04T15:17:33"/>
        <d v="2025-08-29T18:02:18"/>
        <d v="2025-08-29T08:13:32"/>
        <d v="2025-08-28T11:32:24"/>
        <d v="2025-08-26T12:02:26"/>
        <d v="2025-08-28T10:18:09"/>
        <d v="2025-08-28T10:24:28"/>
        <d v="2025-08-28T10:26:08"/>
        <d v="2025-09-10T16:07:20"/>
        <d v="2025-09-10T17:10:18"/>
        <d v="2025-09-10T19:04:31"/>
        <d v="2025-09-10T20:02:57"/>
        <d v="2025-09-10T10:03:55"/>
        <d v="2025-09-10T11:04:15"/>
        <d v="2025-09-10T11:04:16"/>
        <d v="2025-09-10T14:00:57"/>
        <d v="2025-09-10T14:01:03"/>
        <d v="2025-09-10T14:01:06"/>
        <d v="2025-09-09T14:02:21"/>
        <d v="2025-09-08T15:03:36"/>
        <d v="2025-09-08T10:00:45"/>
        <d v="2025-09-08T10:02:18"/>
        <d v="2025-09-08T11:01:39"/>
        <d v="2025-09-08T12:01:08"/>
        <d v="2025-09-09T19:03:14"/>
        <d v="2025-09-09T16:01:12"/>
        <d v="2025-09-04T07:37:27"/>
        <d v="2025-09-04T07:33:45"/>
        <d v="2025-09-04T07:34:50"/>
        <d v="2025-09-08T20:01:50"/>
        <d v="2025-09-05T12:35:11"/>
        <d v="2025-08-26T00:14:22"/>
        <d v="2025-09-10T00:35:11"/>
        <d v="2025-09-09T12:48:17"/>
        <d v="2025-08-27T00:13:37"/>
        <d v="2025-08-30T00:22:03"/>
        <d v="2025-09-04T12:46:19"/>
        <d v="2025-09-02T12:31:17"/>
        <d v="2025-09-05T00:35:23"/>
        <d v="2025-09-09T18:57:01"/>
        <d v="2025-09-11T19:29:07"/>
        <d v="2025-09-11T18:41:20"/>
        <d v="2025-09-11T18:41:28"/>
        <d v="2025-09-11T18:41:35"/>
        <d v="2025-09-11T18:41:50"/>
        <d v="2025-09-11T18:24:34"/>
        <d v="2025-09-02T18:08:38"/>
        <d v="2025-08-26T12:03:15"/>
        <d v="2025-08-25T18:05:51"/>
        <d v="2025-09-08T18:05:04"/>
        <d v="2025-09-08T18:06:00"/>
        <d v="2025-09-08T18:06:08"/>
        <d v="2025-09-10T00:02:27"/>
        <d v="2025-09-05T18:16:23"/>
        <d v="2025-09-11T18:10:21"/>
        <d v="2025-09-12T00:04:36"/>
        <d v="2025-08-29T18:50:46"/>
        <d v="2025-09-11T12:28:26"/>
        <d v="2025-09-01T18:39:44"/>
        <d v="2025-09-06T00:21:47"/>
        <d v="2025-09-06T00:21:53"/>
        <d v="2025-08-28T18:36:16"/>
        <d v="2025-09-08T11:56:36"/>
        <d v="2025-09-11T18:42:42"/>
        <d v="2025-09-04T18:18:38"/>
        <d v="2025-09-04T18:18:44"/>
        <d v="2025-09-04T18:18:50"/>
        <d v="2025-09-04T18:18:56"/>
        <d v="2025-09-10T21:15:18"/>
        <d v="2025-09-09T19:54:23"/>
        <d v="2025-09-03T13:35:11"/>
        <d v="2025-09-10T17:13:15"/>
        <d v="2025-09-10T17:13:18"/>
        <d v="2025-09-10T11:26:48"/>
        <d v="2025-09-09T16:55:42"/>
        <d v="2025-09-10T16:26:31"/>
        <d v="2025-09-10T18:05:53"/>
        <d v="2025-09-08T15:18:26"/>
        <d v="2025-09-11T16:13:46"/>
        <d v="2025-09-11T16:13:50"/>
        <d v="2025-09-10T22:46:41"/>
        <d v="2025-09-10T22:46:51"/>
        <d v="2025-09-10T22:47:01"/>
        <d v="2025-09-10T22:47:05"/>
        <d v="2025-09-10T22:47:09"/>
        <d v="2025-09-10T22:47:13"/>
        <d v="2025-09-10T22:47:28"/>
        <d v="2025-09-10T22:47:39"/>
        <d v="2025-09-10T22:48:19"/>
        <d v="2025-09-10T22:48:51"/>
        <d v="2025-09-10T22:49:26"/>
        <d v="2025-09-10T22:49:29"/>
        <d v="2025-09-11T16:19:02"/>
        <d v="2025-09-11T19:33:38"/>
        <d v="2025-09-11T19:33:41"/>
        <d v="2025-09-11T19:33:45"/>
        <d v="2025-09-11T19:33:49"/>
        <d v="2025-09-11T19:33:57"/>
        <d v="2025-09-10T22:45:31"/>
        <d v="2025-09-10T22:45:48"/>
        <d v="2025-09-10T22:45:56"/>
        <d v="2025-09-10T22:46:00"/>
        <d v="2025-09-10T22:45:26"/>
        <d v="2025-08-26T16:32:47"/>
        <d v="2025-09-05T11:35:04"/>
        <d v="2025-09-05T11:35:08"/>
        <d v="2025-09-05T16:33:39"/>
        <d v="2025-09-05T16:33:44"/>
        <d v="2025-09-04T11:19:47"/>
        <d v="2025-09-04T11:19:53"/>
        <d v="2025-09-04T18:22:09"/>
        <d v="2025-09-05T10:22:13"/>
        <d v="2025-09-05T10:22:17"/>
        <d v="2025-09-05T10:22:31"/>
        <d v="2025-09-05T10:22:39"/>
        <d v="2025-09-05T10:22:47"/>
        <d v="2025-09-05T10:22:51"/>
        <d v="2025-09-05T10:22:55"/>
        <d v="2025-09-05T10:23:33"/>
        <d v="2025-09-11T19:34:05"/>
        <d v="2025-09-10T22:50:58"/>
        <d v="2025-09-10T22:51:10"/>
        <d v="2025-09-10T22:51:19"/>
        <d v="2025-09-10T22:51:39"/>
        <d v="2025-09-10T22:51:43"/>
        <d v="2025-09-10T22:51:48"/>
        <d v="2025-09-08T18:44:01"/>
        <d v="2025-09-09T18:58:52"/>
        <d v="2025-09-11T12:26:55"/>
        <d v="2025-09-11T18:13:32"/>
        <d v="2025-09-11T18:13:40"/>
        <d v="2025-09-11T18:13:47"/>
        <d v="2025-09-11T18:14:41"/>
        <d v="2025-09-11T18:14:38"/>
        <d v="2025-08-30T00:09:51"/>
        <d v="2025-09-01T18:10:37"/>
        <d v="2025-08-23T12:01:42"/>
        <d v="2025-09-11T18:14:55"/>
        <d v="2025-09-11T18:14:05"/>
        <d v="2025-09-11T18:14:13"/>
        <d v="2025-09-11T18:14:28"/>
        <d v="2025-09-11T18:14:31"/>
        <d v="2025-09-09T00:05:55"/>
        <d v="2025-09-03T00:22:49"/>
        <d v="2025-09-03T00:22:52"/>
        <d v="2025-09-09T12:39:54"/>
        <d v="2025-09-11T18:53:38"/>
        <d v="2025-09-11T18:50:43"/>
        <d v="2025-09-11T18:51:28"/>
        <d v="2025-09-12T00:31:42"/>
        <d v="2025-09-05T18:53:02"/>
        <d v="2025-09-05T18:53:31"/>
        <d v="2025-09-05T18:55:13"/>
        <d v="2025-09-11T18:52:09"/>
        <d v="2025-09-11T18:52:14"/>
        <d v="2025-08-29T12:49:47"/>
        <d v="2025-09-03T18:37:26"/>
        <d v="2025-09-11T18:51:50"/>
        <d v="2025-08-26T18:41:14"/>
        <d v="2025-09-02T12:46:38"/>
        <d v="2025-09-11T16:37:02"/>
        <d v="2025-09-11T16:37:04"/>
        <d v="2025-08-28T16:59:24"/>
        <d v="2025-09-05T18:49:36"/>
        <d v="2025-09-11T18:24:37"/>
        <d v="2025-09-08T19:46:48"/>
        <d v="2025-09-08T19:46:53"/>
        <d v="2025-09-08T19:46:57"/>
        <d v="2025-09-04T14:17:16"/>
        <d v="2025-09-05T20:21:03"/>
        <d v="2025-09-11T15:15:57"/>
        <d v="2025-09-11T15:12:04"/>
        <d v="2025-09-11T22:50:27"/>
        <d v="2025-09-11T16:59:59"/>
        <d v="2025-09-11T17:10:30"/>
        <d v="2025-09-11T15:30:00"/>
        <d v="2025-09-11T20:05:21"/>
        <d v="2025-09-11T18:32:32"/>
        <d v="2025-09-08T10:32:39"/>
        <d v="2025-09-11T18:47:11"/>
        <d v="2025-09-02T19:38:17"/>
        <d v="2025-09-11T16:16:26"/>
        <d v="2025-09-11T16:16:30"/>
        <d v="2025-09-11T16:16:35"/>
        <d v="2025-09-11T16:16:40"/>
        <d v="2025-09-05T19:05:15"/>
        <d v="2025-09-03T14:38:46"/>
        <d v="2025-09-03T14:40:43"/>
        <d v="2025-09-03T17:26:57"/>
        <d v="2025-09-09T11:31:25"/>
        <d v="2025-09-05T19:05:23"/>
        <d v="2025-09-11T21:36:08"/>
        <d v="2025-08-26T09:01:56"/>
        <d v="2025-09-11T18:42:02"/>
        <d v="2025-08-28T15:49:49"/>
        <d v="2025-09-11T21:31:59"/>
        <d v="2025-09-11T21:37:27"/>
        <d v="2025-09-11T21:37:36"/>
        <d v="2025-09-11T21:37:41"/>
        <d v="2025-09-11T17:25:08"/>
        <d v="2025-09-08T13:06:43"/>
        <d v="2025-09-11T21:32:24"/>
        <d v="2025-09-10T22:29:07"/>
        <d v="2025-09-11T21:37:57"/>
        <d v="2025-09-11T21:37:22"/>
        <d v="2025-09-11T21:41:57"/>
        <d v="2025-09-11T21:04:16"/>
        <d v="2025-09-11T16:36:56"/>
        <d v="2025-09-11T16:36:59"/>
        <d v="2025-09-11T21:38:08"/>
        <d v="2025-09-10T22:29:16"/>
        <d v="2025-09-11T21:38:18"/>
        <d v="2025-09-08T18:42:53"/>
        <d v="2025-09-08T18:42:56"/>
        <d v="2025-09-11T19:00:02"/>
        <d v="2025-09-10T12:12:04"/>
        <d v="2025-09-05T10:46:58"/>
        <d v="2025-09-11T18:44:52"/>
        <d v="2025-09-11T16:56:19"/>
        <d v="2025-09-11T20:24:47"/>
        <d v="2025-09-11T21:41:02"/>
        <d v="2025-09-11T19:50:30"/>
        <d v="2025-09-11T13:42:05"/>
        <d v="2025-09-11T14:49:54"/>
        <d v="2025-09-11T21:37:06"/>
        <d v="2025-09-11T21:38:46"/>
        <d v="2025-09-10T22:30:02"/>
        <d v="2025-09-11T17:50:23"/>
        <d v="2025-09-01T20:56:24"/>
        <d v="2025-09-09T15:19:03"/>
        <d v="2025-09-08T13:07:49"/>
        <d v="2025-09-11T16:33:55"/>
        <d v="2025-09-11T17:36:07"/>
        <d v="2025-09-11T17:45:42"/>
        <d v="2025-09-10T21:16:09"/>
        <d v="2025-09-10T19:35:34"/>
        <d v="2025-09-12T06:45:40"/>
        <d v="2025-09-11T21:42:10"/>
        <d v="2025-09-11T21:38:14"/>
        <d v="2025-09-10T22:23:02"/>
        <d v="2025-09-11T21:42:20"/>
        <d v="2025-09-11T15:05:10"/>
        <d v="2025-09-11T21:38:28"/>
        <d v="2025-08-27T13:17:37"/>
        <d v="2025-09-11T21:38:50"/>
        <d v="2025-09-11T15:12:56"/>
        <d v="2025-08-27T19:36:37"/>
        <d v="2025-09-12T06:46:30"/>
        <d v="2025-09-12T06:48:46"/>
        <d v="2025-09-11T21:34:53"/>
        <d v="2025-09-11T15:01:21"/>
        <d v="2025-09-02T15:33:47"/>
        <d v="2025-09-11T15:05:51"/>
        <d v="2025-09-10T21:02:34"/>
        <d v="2025-09-11T21:36:36"/>
        <d v="2025-09-10T21:14:58"/>
        <d v="2025-09-11T16:07:30"/>
        <d v="2025-09-10T16:26:07"/>
        <d v="2025-09-11T12:48:47"/>
        <d v="2025-08-25T11:48:05"/>
        <d v="2025-09-10T22:22:09"/>
        <d v="2025-09-09T18:43:54"/>
        <d v="2025-09-10T22:23:58"/>
        <d v="2025-09-04T18:53:39"/>
        <d v="2025-09-09T12:02:15"/>
        <d v="2025-09-08T13:08:25"/>
        <d v="2025-09-08T13:08:33"/>
        <d v="2025-09-08T13:08:17"/>
        <d v="2025-09-11T21:35:18"/>
        <d v="2025-09-11T17:41:51"/>
        <d v="2025-09-04T18:53:21"/>
        <d v="2025-09-11T21:35:13"/>
        <d v="2025-09-10T22:29:21"/>
        <d v="2025-09-11T15:05:27"/>
        <d v="2025-09-11T21:33:04"/>
        <d v="2025-09-11T21:35:31"/>
        <d v="2025-09-11T21:35:24"/>
        <d v="2025-09-10T22:23:23"/>
        <d v="2025-09-11T22:33:37"/>
        <d v="2025-09-11T16:07:03"/>
        <d v="2025-09-11T13:54:04"/>
        <d v="2025-09-11T14:51:09"/>
        <d v="2025-09-11T17:12:39"/>
        <d v="2025-09-11T18:11:32"/>
        <d v="2025-09-11T19:24:12"/>
        <d v="2025-09-11T20:24:45"/>
        <d v="2025-09-11T21:19:21"/>
        <d v="2025-09-12T00:25:38"/>
        <d v="2025-09-11T23:30:24"/>
        <d v="2025-09-12T01:38:13"/>
        <d v="2025-09-12T02:37:07"/>
        <d v="2025-09-12T03:36:23"/>
        <d v="2025-09-12T04:39:18"/>
        <d v="2025-09-12T05:39:36"/>
        <d v="2025-09-01T12:43:04"/>
        <d v="2025-08-21T19:15:41"/>
        <d v="2025-09-05T12:16:50"/>
        <d v="2025-09-10T00:42:59"/>
        <d v="2025-09-06T18:04:57"/>
        <d v="2025-09-10T22:23:06"/>
        <d v="2025-09-08T09:56:05"/>
        <d v="2025-09-10T22:30:31"/>
        <d v="2025-09-08T12:40:00"/>
        <d v="2025-09-11T18:15:58"/>
        <d v="2025-09-11T14:47:57"/>
        <d v="2025-09-08T14:09:13"/>
        <d v="2025-09-03T09:49:08"/>
        <d v="2025-09-10T22:39:29"/>
        <d v="2025-09-10T22:41:44"/>
        <d v="2025-09-12T06:45:59"/>
        <d v="2025-09-11T16:13:04"/>
        <d v="2025-09-10T22:30:17"/>
        <d v="2025-08-22T16:31:43"/>
        <d v="2025-09-08T13:03:31"/>
        <d v="2025-09-08T13:08:40"/>
        <d v="2025-09-10T22:35:24"/>
        <d v="2025-09-11T21:40:43"/>
        <d v="2025-08-29T14:58:02"/>
        <d v="2025-08-28T10:15:48"/>
        <d v="2025-09-11T21:38:22"/>
        <d v="2025-09-10T14:56:12"/>
        <d v="2025-08-28T18:55:16"/>
        <d v="2025-09-05T18:02:46"/>
        <d v="2025-08-29T11:57:23"/>
        <d v="2025-09-01T12:58:17"/>
        <d v="2025-09-10T00:37:37"/>
        <d v="2025-09-12T06:49:42"/>
        <d v="2025-09-03T10:16:36"/>
        <d v="2025-09-11T17:15:49"/>
        <d v="2025-08-29T15:02:47"/>
        <d v="2025-08-29T17:43:52"/>
        <d v="2025-09-11T17:41:40"/>
        <d v="2025-08-29T11:57:24"/>
        <d v="2025-09-09T09:58:53"/>
        <d v="2025-09-10T21:07:14"/>
        <d v="2025-09-10T21:08:36"/>
        <m/>
        <d v="2025-07-16T18:44:21" u="1"/>
        <d v="2025-07-16T18:54:16" u="1"/>
        <d v="2025-07-18T11:16:33" u="1"/>
        <d v="2025-09-04T17:08:36" u="1"/>
        <d v="2025-09-05T11:34:47" u="1"/>
        <d v="2025-09-04T17:08:07" u="1"/>
        <d v="2025-09-10T08:15:20" u="1"/>
        <d v="2025-07-15T13:04:37" u="1"/>
        <d v="2025-09-04T20:08:08" u="1"/>
        <d v="2025-09-08T13:27:25" u="1"/>
        <d v="2025-09-08T13:27:41" u="1"/>
        <d v="2025-09-10T19:39:02" u="1"/>
        <d v="2025-09-10T19:39:31" u="1"/>
        <d v="2025-09-10T19:39:48" u="1"/>
        <d v="2025-09-08T19:37:37" u="1"/>
        <d v="2025-09-09T19:59:41" u="1"/>
        <d v="2025-09-09T19:59:44" u="1"/>
        <d v="2025-09-09T19:59:47" u="1"/>
        <d v="2025-09-09T20:04:39" u="1"/>
        <d v="2025-09-10T13:05:36" u="1"/>
        <d v="2025-09-10T13:05:38" u="1"/>
        <d v="2025-08-22T19:16:20" u="1"/>
        <d v="2025-09-10T13:03:04" u="1"/>
        <d v="2025-09-10T13:05:44" u="1"/>
        <d v="2025-09-09T13:13:58" u="1"/>
        <d v="2025-09-09T13:14:36" u="1"/>
        <d v="2025-09-05T19:05:55" u="1"/>
        <d v="2025-09-05T19:06:03" u="1"/>
        <d v="2025-09-10T12:40:18" u="1"/>
        <d v="2025-09-08T18:57:37" u="1"/>
        <d v="2025-09-09T12:51:28" u="1"/>
        <d v="2025-09-10T19:06:35" u="1"/>
        <d v="2025-09-10T19:07:12" u="1"/>
        <d v="2025-09-10T19:07:48" u="1"/>
        <d v="2025-09-10T19:07:52" u="1"/>
        <d v="2025-09-09T18:59:57" u="1"/>
        <d v="2025-09-09T19:00:00" u="1"/>
        <d v="2025-09-05T18:23:38" u="1"/>
        <d v="2025-09-09T18:28:44" u="1"/>
        <d v="2025-09-08T18:21:38" u="1"/>
        <d v="2025-09-09T12:19:52" u="1"/>
        <d v="2025-08-07T16:47:09" u="1"/>
        <d v="2025-09-05T12:50:12" u="1"/>
        <d v="2025-09-10T15:58:58" u="1"/>
        <d v="2025-08-27T12:38:17" u="1"/>
        <d v="2025-09-09T19:58:18" u="1"/>
        <d v="2025-09-08T13:23:21" u="1"/>
        <d v="2025-08-26T12:53:12" u="1"/>
        <d v="2025-08-11T18:10:07" u="1"/>
        <d v="2025-08-13T12:41:39" u="1"/>
        <d v="2025-08-11T18:09:54" u="1"/>
        <d v="2025-08-11T18:08:19" u="1"/>
        <d v="2025-08-11T18:08:18" u="1"/>
        <d v="2025-09-10T12:59:42" u="1"/>
        <d v="2025-09-10T12:59:45" u="1"/>
        <d v="2025-09-09T13:11:28" u="1"/>
        <d v="2025-09-11T00:32:13" u="1"/>
        <d v="2025-09-08T19:35:12" u="1"/>
        <d v="2025-09-10T22:28:39" u="1"/>
        <d v="2025-09-10T22:26:50" u="1"/>
        <d v="2025-09-10T22:27:24" u="1"/>
        <d v="2025-09-10T22:27:36" u="1"/>
        <d v="2025-09-10T22:27:40" u="1"/>
        <d v="2025-09-10T22:27:45" u="1"/>
        <d v="2025-09-10T22:27:49" u="1"/>
        <d v="2025-09-10T12:25:47" u="1"/>
        <d v="2025-09-10T12:25:50" u="1"/>
        <d v="2025-09-10T00:31:20" u="1"/>
        <d v="2025-07-15T19:34:35" u="1"/>
        <d v="2025-09-10T21:07:56" u="1"/>
        <d v="2025-09-10T21:08:17" u="1"/>
        <d v="2025-09-10T21:08:26" u="1"/>
        <d v="2025-09-10T21:08:58" u="1"/>
        <d v="2025-09-10T21:10:24" u="1"/>
        <d v="2025-09-10T21:07:24" u="1"/>
        <d v="2025-09-10T21:07:40" u="1"/>
        <d v="2025-09-10T21:10:42" u="1"/>
        <d v="2025-08-15T09:04:45" u="1"/>
        <d v="2025-08-18T17:32:36" u="1"/>
        <d v="2025-08-20T19:47:08" u="1"/>
        <d v="2025-09-10T22:34:11" u="1"/>
        <d v="2025-09-10T18:48:02" u="1"/>
        <d v="2025-09-08T18:41:15" u="1"/>
        <d v="2025-09-05T00:32:03" u="1"/>
        <d v="2025-09-10T18:47:09" u="1"/>
        <d v="2025-08-14T11:17:50" u="1"/>
        <d v="2025-08-12T00:19:37" u="1"/>
        <d v="2025-08-19T12:31:46" u="1"/>
        <d v="2025-09-11T00:24:31" u="1"/>
        <d v="2025-09-08T19:08:44" u="1"/>
        <d v="2025-09-08T19:09:51" u="1"/>
        <d v="2025-09-08T19:10:02" u="1"/>
        <d v="2025-09-08T19:10:40" u="1"/>
        <d v="2025-09-05T19:16:04" u="1"/>
        <d v="2025-09-06T12:04:12" u="1"/>
        <d v="2025-09-04T19:36:18" u="1"/>
        <d v="2025-09-05T12:44:48" u="1"/>
        <d v="2025-09-10T19:30:37" u="1"/>
        <d v="2025-09-09T00:26:26" u="1"/>
        <d v="2025-08-26T19:39:00" u="1"/>
        <d v="2025-08-12T00:20:08" u="1"/>
        <d v="2025-09-09T00:22:30" u="1"/>
        <d v="2025-09-10T19:19:13" u="1"/>
        <d v="2025-07-23T18:41:25" u="1"/>
        <d v="2025-09-09T19:11:17" u="1"/>
        <d v="2025-09-03T12:37:25" u="1"/>
        <d v="2025-09-03T12:37:31" u="1"/>
        <d v="2025-09-05T19:15:34" u="1"/>
        <d v="2025-09-09T13:04:39" u="1"/>
        <d v="2025-09-03T14:47:35" u="1"/>
        <d v="2025-09-09T19:00:16" u="1"/>
        <d v="2025-09-08T17:00:58" u="1"/>
        <d v="2025-09-08T16:02:39" u="1"/>
        <d v="2025-09-08T17:01:48" u="1"/>
        <d v="2025-08-28T10:17:57" u="1"/>
        <d v="2025-09-10T14:03:12" u="1"/>
        <d v="2025-09-10T14:03:13" u="1"/>
        <d v="2025-08-11T09:01:54" u="1"/>
        <d v="2025-08-11T18:02:41" u="1"/>
        <d v="2025-08-15T17:01:08" u="1"/>
        <d v="2025-08-15T17:01:18" u="1"/>
        <d v="2025-09-03T18:57:14" u="1"/>
        <d v="2025-08-20T18:17:44" u="1"/>
        <d v="2025-08-29T18:32:42" u="1"/>
        <d v="2025-09-05T18:44:35" u="1"/>
        <d v="2025-09-08T12:38:51" u="1"/>
        <d v="2025-09-10T18:43:30" u="1"/>
        <d v="2025-09-09T18:36:24" u="1"/>
        <d v="2025-09-05T12:23:09" u="1"/>
        <d v="2025-08-18T17:01:35" u="1"/>
        <d v="2025-08-04T09:01:34" u="1"/>
        <d v="2025-08-18T08:01:24" u="1"/>
        <d v="2025-08-11T12:02:50" u="1"/>
        <d v="2025-09-05T17:04:19" u="1"/>
        <d v="2025-09-05T17:04:22" u="1"/>
        <d v="2025-09-05T17:04:25" u="1"/>
        <d v="2025-09-08T09:00:59" u="1"/>
        <d v="2025-09-08T17:02:20" u="1"/>
        <d v="2025-09-09T00:19:20" u="1"/>
        <d v="2025-09-09T18:55:44" u="1"/>
        <d v="2025-09-08T12:50:04" u="1"/>
        <d v="2025-08-08T12:27:05" u="1"/>
        <d v="2025-08-08T17:32:46" u="1"/>
        <d v="2025-08-08T17:32:53" u="1"/>
        <d v="2025-08-08T17:33:00" u="1"/>
        <d v="2025-08-15T11:35:43" u="1"/>
        <d v="2025-09-04T18:54:33" u="1"/>
        <d v="2025-08-04T12:26:02" u="1"/>
        <d v="2025-09-05T19:01:16" u="1"/>
        <d v="2025-09-06T00:17:57" u="1"/>
        <d v="2025-08-28T18:04:43" u="1"/>
        <d v="2025-09-10T18:12:41" u="1"/>
        <d v="2025-09-06T18:01:37" u="1"/>
        <d v="2025-09-05T18:07:39" u="1"/>
        <d v="2025-09-05T12:05:28" u="1"/>
        <d v="2025-09-04T18:04:04" u="1"/>
        <d v="2025-09-11T00:04:14" u="1"/>
        <d v="2025-09-02T18:06:08" u="1"/>
        <d v="2025-09-10T19:09:10" u="1"/>
        <d v="2025-09-10T19:11:39" u="1"/>
        <d v="2025-09-09T00:20:49" u="1"/>
        <d v="2025-09-09T13:00:11" u="1"/>
        <d v="2025-09-08T18:58:48" u="1"/>
        <d v="2025-09-08T18:58:39" u="1"/>
        <d v="2025-08-23T18:04:02" u="1"/>
        <d v="2025-09-11T00:22:16" u="1"/>
        <d v="2025-09-08T18:58:43" u="1"/>
        <d v="2025-09-11T00:22:34" u="1"/>
        <d v="2025-09-05T19:07:46" u="1"/>
        <d v="2025-09-08T19:00:05" u="1"/>
        <d v="2025-09-05T18:49:27" u="1"/>
        <d v="2025-08-15T17:54:53" u="1"/>
        <d v="2025-08-18T09:56:59" u="1"/>
        <d v="2025-09-04T14:17:53" u="1"/>
        <d v="2025-09-04T14:17:54" u="1"/>
        <d v="2025-09-08T08:47:55" u="1"/>
        <d v="2025-09-08T10:10:15" u="1"/>
        <d v="2025-09-10T19:25:19" u="1"/>
        <d v="2025-09-10T12:29:00" u="1"/>
        <d v="2025-09-09T18:39:21" u="1"/>
        <d v="2025-09-09T18:39:25" u="1"/>
        <d v="2025-09-09T18:39:30" u="1"/>
        <d v="2025-09-08T12:03:27" u="1"/>
        <d v="2025-08-27T18:02:29" u="1"/>
        <d v="2025-09-10T00:33:33" u="1"/>
        <d v="2025-09-10T00:33:36" u="1"/>
        <d v="2025-09-05T12:30:49" u="1"/>
        <d v="2025-09-04T00:29:54" u="1"/>
        <d v="2025-09-08T12:47:16" u="1"/>
        <d v="2025-09-08T12:47:21" u="1"/>
        <d v="2025-09-09T12:35:52" u="1"/>
        <d v="2025-09-09T00:16:49" u="1"/>
        <d v="2025-09-08T12:39:52" u="1"/>
        <d v="2025-09-06T06:20:17" u="1"/>
        <d v="2025-09-10T00:32:21" u="1"/>
        <d v="2025-09-03T00:29:37" u="1"/>
        <d v="2025-09-09T19:56:08" u="1"/>
        <d v="2025-09-10T19:31:28" u="1"/>
        <d v="2025-09-09T19:54:11" u="1"/>
        <d v="2025-09-09T19:54:26" u="1"/>
        <d v="2025-09-10T12:53:50" u="1"/>
        <d v="2025-09-05T19:27:33" u="1"/>
        <d v="2025-09-05T19:28:09" u="1"/>
        <d v="2025-09-05T19:29:03" u="1"/>
        <d v="2025-09-08T19:30:37" u="1"/>
        <d v="2025-09-08T19:30:47" u="1"/>
        <d v="2025-09-08T19:30:57" u="1"/>
        <d v="2025-09-08T19:31:00" u="1"/>
        <d v="2025-09-08T19:31:46" u="1"/>
        <d v="2025-09-08T13:18:00" u="1"/>
        <d v="2025-08-13T09:45:46" u="1"/>
        <d v="2025-09-10T21:17:01" u="1"/>
        <d v="2025-09-06T00:28:09" u="1"/>
        <d v="2025-09-10T12:54:31" u="1"/>
        <d v="2025-09-04T18:47:38" u="1"/>
        <d v="2025-08-12T17:21:22" u="1"/>
        <d v="2025-09-06T00:19:59" u="1"/>
        <d v="2025-08-11T11:50:19" u="1"/>
        <d v="2025-08-12T17:21:17" u="1"/>
        <d v="2025-09-09T00:05:11" u="1"/>
        <d v="2025-09-09T00:05:14" u="1"/>
        <d v="2025-09-09T00:05:30" u="1"/>
        <d v="2025-09-08T18:11:59" u="1"/>
        <d v="2025-09-08T18:12:43" u="1"/>
        <d v="2025-09-05T18:16:37" u="1"/>
        <d v="2025-09-03T00:23:06" u="1"/>
        <d v="2025-09-10T06:03:57" u="1"/>
        <d v="2025-09-10T12:10:20" u="1"/>
        <d v="2025-09-10T12:09:31" u="1"/>
        <d v="2025-09-01T12:10:03" u="1"/>
        <d v="2025-09-10T00:19:40" u="1"/>
        <d v="2025-09-09T00:05:48" u="1"/>
        <d v="2025-09-09T00:06:00" u="1"/>
        <d v="2025-09-09T00:06:20" u="1"/>
        <d v="2025-09-08T18:11:50" u="1"/>
        <d v="2025-09-09T00:05:36" u="1"/>
        <d v="2025-09-10T12:10:04" u="1"/>
        <d v="2025-09-10T00:19:49" u="1"/>
        <d v="2025-09-10T00:20:00" u="1"/>
        <d v="2025-08-14T00:12:25" u="1"/>
        <d v="2025-09-05T18:17:10" u="1"/>
        <d v="2025-09-08T12:45:06" u="1"/>
        <d v="2025-08-19T18:32:38" u="1"/>
        <d v="2025-08-12T12:23:06" u="1"/>
        <d v="2025-08-12T12:23:12" u="1"/>
        <d v="2025-08-12T12:23:18" u="1"/>
        <d v="2025-09-10T22:45:41" u="1"/>
        <d v="2025-09-09T18:38:13" u="1"/>
        <d v="2025-09-10T22:50:27" u="1"/>
        <d v="2025-09-10T22:50:39" u="1"/>
        <d v="2025-09-09T18:49:40" u="1"/>
        <d v="2025-09-08T18:48:14" u="1"/>
        <d v="2025-09-03T18:38:19" u="1"/>
        <d v="2025-09-10T12:34:06" u="1"/>
        <d v="2025-09-08T12:45:13" u="1"/>
        <d v="2025-09-08T12:45:24" u="1"/>
        <d v="2025-09-05T12:31:12" u="1"/>
        <d v="2025-09-08T12:44:45" u="1"/>
        <d v="2025-09-08T12:45:02" u="1"/>
        <d v="2025-09-10T18:53:33" u="1"/>
        <d v="2025-09-10T18:55:27" u="1"/>
        <d v="2025-09-09T18:46:33" u="1"/>
        <d v="2025-09-09T12:40:43" u="1"/>
        <d v="2025-08-27T00:12:24" u="1"/>
        <d v="2025-08-28T12:32:11" u="1"/>
        <d v="2025-09-09T18:46:15" u="1"/>
        <d v="2025-09-11T00:20:20" u="1"/>
        <d v="2025-09-09T18:44:58" u="1"/>
        <d v="2025-09-08T12:33:48" u="1"/>
        <d v="2025-09-09T19:15:37" u="1"/>
        <d v="2025-09-10T21:09:32" u="1"/>
        <d v="2025-09-04T20:04:08" u="1"/>
        <d v="2025-09-04T20:04:46" u="1"/>
        <d v="2025-09-10T11:46:02" u="1"/>
        <d v="2025-09-10T22:43:17" u="1"/>
        <d v="2025-09-10T22:41:29" u="1"/>
        <d v="2025-09-10T22:43:33" u="1"/>
        <d v="2025-09-10T22:39:57" u="1"/>
        <d v="2025-09-10T22:39:50" u="1"/>
        <d v="2025-09-10T22:43:40" u="1"/>
        <d v="2025-09-10T22:40:04" u="1"/>
        <d v="2025-09-10T21:21:02" u="1"/>
        <d v="2025-09-10T21:21:42" u="1"/>
        <d v="2025-08-14T21:18:13" u="1"/>
        <d v="2025-08-29T16:16:35" u="1"/>
        <d v="2025-09-10T22:26:22" u="1"/>
        <d v="2025-09-10T22:28:17" u="1"/>
        <d v="2025-09-08T13:06:36" u="1"/>
        <d v="2025-09-10T21:20:11" u="1"/>
        <d v="2025-09-10T22:35:11" u="1"/>
        <d v="2025-09-10T22:32:40" u="1"/>
        <d v="2025-09-10T11:16:47" u="1"/>
        <d v="2025-09-10T22:34:24" u="1"/>
        <d v="2025-09-10T22:33:39" u="1"/>
        <d v="2025-09-10T22:34:01" u="1"/>
        <d v="2025-09-10T20:56:48" u="1"/>
        <d v="2025-09-10T20:59:59" u="1"/>
        <d v="2025-09-10T14:54:25" u="1"/>
        <d v="2025-08-18T12:33:41" u="1"/>
        <d v="2025-09-10T15:24:44" u="1"/>
        <d v="2025-09-09T11:41:31" u="1"/>
        <d v="2025-09-10T09:19:53" u="1"/>
        <d v="2025-09-04T13:54:14" u="1"/>
        <d v="2025-09-10T13:41:55" u="1"/>
        <d v="2025-09-10T13:41:58" u="1"/>
        <d v="2025-09-10T21:17:55" u="1"/>
        <d v="2025-09-10T21:19:11" u="1"/>
        <d v="2025-09-10T21:15:57" u="1"/>
        <d v="2025-09-10T21:14:19" u="1"/>
        <d v="2025-09-04T20:04:47" u="1"/>
        <d v="2025-09-10T22:40:09" u="1"/>
        <d v="2025-09-06T09:54:43" u="1"/>
        <d v="2025-09-04T09:37:24" u="1"/>
        <d v="2025-09-10T21:14:12" u="1"/>
        <d v="2025-09-10T21:16:46" u="1"/>
        <d v="2025-09-08T13:04:08" u="1"/>
        <d v="2025-09-10T22:40:17" u="1"/>
        <d v="2025-09-10T22:40:27" u="1"/>
        <d v="2025-09-04T15:33:49" u="1"/>
        <d v="2025-09-10T22:40:45" u="1"/>
        <d v="2025-09-10T22:40:57" u="1"/>
        <d v="2025-09-10T22:43:25" u="1"/>
        <d v="2025-09-10T19:20:23" u="1"/>
        <d v="2025-09-10T22:43:09" u="1"/>
        <d v="2025-09-10T21:20:55" u="1"/>
        <d v="2025-08-14T21:19:06" u="1"/>
        <d v="2025-08-15T14:45:37" u="1"/>
        <d v="2025-08-14T21:19:27" u="1"/>
        <d v="2025-09-10T21:01:24" u="1"/>
        <d v="2025-09-04T12:38:46" u="1"/>
        <d v="2025-09-10T21:01:04" u="1"/>
        <d v="2025-09-10T21:01:15" u="1"/>
        <d v="2025-09-10T21:03:40" u="1"/>
        <d v="2025-09-10T21:03:57" u="1"/>
        <d v="2025-09-08T11:50:18" u="1"/>
        <d v="2025-09-03T22:14:52" u="1"/>
        <d v="2025-09-08T13:02:29" u="1"/>
        <d v="2025-08-29T15:20:16" u="1"/>
        <d v="2025-08-18T14:21:53" u="1"/>
        <d v="2025-08-01T09:07:30" u="1"/>
        <d v="2025-09-10T21:05:56" u="1"/>
        <d v="2025-09-10T21:05:50" u="1"/>
        <d v="2025-09-10T21:05:17" u="1"/>
        <d v="2025-09-10T21:05:29" u="1"/>
        <d v="2025-09-10T21:05:41" u="1"/>
        <d v="2025-09-08T13:05:24" u="1"/>
        <d v="2025-09-08T13:05:38" u="1"/>
        <d v="2025-09-03T14:46:45" u="1"/>
        <d v="2025-09-08T13:03:42" u="1"/>
        <d v="2025-09-03T14:48:04" u="1"/>
        <d v="2025-09-04T17:02:44" u="1"/>
        <d v="2025-04-02T18:01:07" u="1"/>
        <d v="2025-09-05T12:46:37" u="1"/>
        <d v="2025-09-05T12:46:25" u="1"/>
        <d v="2025-09-10T21:21:56" u="1"/>
        <d v="2025-09-10T21:20:38" u="1"/>
        <d v="2025-09-10T22:24:53" u="1"/>
        <d v="2025-09-10T22:24:59" u="1"/>
        <d v="2025-09-10T22:25:24" u="1"/>
        <d v="2025-09-10T22:23:12" u="1"/>
        <d v="2025-09-08T13:05:58" u="1"/>
        <d v="2025-09-08T13:03:53" u="1"/>
        <d v="2025-09-08T13:04:48" u="1"/>
        <d v="2025-09-10T22:24:27" u="1"/>
        <d v="2025-09-10T22:23:29" u="1"/>
        <d v="2025-09-10T22:23:34" u="1"/>
        <d v="2025-09-10T22:23:39" u="1"/>
        <d v="2025-09-10T21:20:21" u="1"/>
        <d v="2025-09-10T21:15:46" u="1"/>
        <d v="2025-09-10T22:29:33" u="1"/>
        <d v="2025-09-04T21:14:14" u="1"/>
        <d v="2025-09-04T14:29:08" u="1"/>
        <d v="2025-09-04T15:14:28" u="1"/>
        <d v="2025-09-10T11:08:33" u="1"/>
        <d v="2025-09-10T21:21:23" u="1"/>
        <d v="2025-09-10T21:21:50" u="1"/>
        <d v="2025-09-10T22:29:40" u="1"/>
        <d v="2025-03-18T10:34:02" u="1"/>
        <d v="2025-09-10T21:14:27" u="1"/>
        <d v="2025-09-08T13:04:41" u="1"/>
        <d v="2025-09-08T13:05:15" u="1"/>
        <d v="2025-09-10T22:23:18" u="1"/>
        <d v="2025-09-10T19:03:28" u="1"/>
        <d v="2025-09-10T21:13:59" u="1"/>
        <d v="2025-04-17T19:06:28" u="1"/>
        <d v="2025-09-10T22:41:15" u="1"/>
        <d v="2025-09-10T22:40:35" u="1"/>
        <d v="2025-09-04T20:48:13" u="1"/>
        <d v="2025-09-08T16:32:08" u="1"/>
        <d v="2025-09-10T22:23:45" u="1"/>
        <d v="2025-05-08T20:04:40" u="1"/>
        <d v="2025-09-10T14:44:46" u="1"/>
        <d v="2025-09-05T20:50:32" u="1"/>
        <d v="2025-09-05T21:51:25" u="1"/>
        <d v="2025-09-05T22:51:00" u="1"/>
        <d v="2025-09-05T23:53:15" u="1"/>
        <d v="2025-09-05T19:54:53" u="1"/>
        <d v="2025-09-05T14:59:58" u="1"/>
        <d v="2025-09-05T17:27:00" u="1"/>
        <d v="2025-09-05T18:40:18" u="1"/>
        <d v="2025-09-06T09:22:30" u="1"/>
        <d v="2025-09-06T12:21:39" u="1"/>
        <d v="2025-09-06T13:21:09" u="1"/>
        <d v="2025-09-06T14:20:46" u="1"/>
        <d v="2025-09-06T15:21:26" u="1"/>
        <d v="2025-09-06T16:21:01" u="1"/>
        <d v="2025-09-06T17:20:17" u="1"/>
        <d v="2025-09-06T06:23:25" u="1"/>
        <d v="2025-09-06T07:20:45" u="1"/>
        <d v="2025-09-06T08:21:29" u="1"/>
        <d v="2025-09-06T00:53:23" u="1"/>
        <d v="2025-09-06T01:54:15" u="1"/>
        <d v="2025-09-06T02:54:33" u="1"/>
        <d v="2025-09-06T03:53:21" u="1"/>
        <d v="2025-09-06T05:10:30" u="1"/>
        <d v="2025-09-06T18:21:10" u="1"/>
        <d v="2025-09-06T19:20:46" u="1"/>
        <d v="2025-09-06T20:21:39" u="1"/>
        <d v="2025-09-06T21:22:54" u="1"/>
        <d v="2025-09-06T22:21:44" u="1"/>
        <d v="2025-09-06T23:22:52" u="1"/>
        <d v="2025-09-07T00:20:49" u="1"/>
        <d v="2025-09-07T01:22:29" u="1"/>
        <d v="2025-09-06T10:23:19" u="1"/>
        <d v="2025-09-06T11:24:15" u="1"/>
        <d v="2025-09-04T18:06:51" u="1"/>
        <d v="2025-09-04T20:30:35" u="1"/>
        <d v="2025-09-04T21:38:19" u="1"/>
        <d v="2025-09-04T22:37:49" u="1"/>
        <d v="2025-09-04T23:37:40" u="1"/>
        <d v="2025-09-05T00:37:53" u="1"/>
        <d v="2025-09-05T01:41:01" u="1"/>
        <d v="2025-09-05T02:52:48" u="1"/>
        <d v="2025-09-05T03:52:21" u="1"/>
        <d v="2025-09-05T04:53:48" u="1"/>
        <d v="2025-09-05T06:11:15" u="1"/>
        <d v="2025-09-05T07:25:03" u="1"/>
        <d v="2025-09-05T11:18:36" u="1"/>
        <d v="2025-09-05T08:40:35" u="1"/>
        <d v="2025-09-05T10:01:28" u="1"/>
        <d v="2025-09-05T12:31:10" u="1"/>
        <d v="2025-09-04T19:18:35" u="1"/>
        <d v="2025-09-05T13:41:40" u="1"/>
        <d v="2025-09-05T16:18:40" u="1"/>
        <d v="2025-09-08T15:01:56" u="1"/>
        <d v="2025-09-08T18:29:57" u="1"/>
        <d v="2025-09-08T20:37:55" u="1"/>
        <d v="2025-09-08T21:33:33" u="1"/>
        <d v="2025-09-08T22:36:57" u="1"/>
        <d v="2025-09-08T23:32:27" u="1"/>
        <d v="2025-09-08T19:33:42" u="1"/>
        <d v="2025-09-08T17:16:46" u="1"/>
        <d v="2025-09-08T16:12:41" u="1"/>
        <d v="2025-09-08T12:52:03" u="1"/>
        <d v="2025-09-08T11:29:42" u="1"/>
        <d v="2025-09-08T10:19:10" u="1"/>
        <d v="2025-09-08T08:56:18" u="1"/>
        <d v="2025-09-07T02:20:44" u="1"/>
        <d v="2025-09-07T03:21:28" u="1"/>
        <d v="2025-09-07T04:22:50" u="1"/>
        <d v="2025-09-07T05:22:33" u="1"/>
        <d v="2025-09-07T06:23:22" u="1"/>
        <d v="2025-09-07T07:22:38" u="1"/>
        <d v="2025-09-07T08:23:11" u="1"/>
        <d v="2025-09-07T09:24:47" u="1"/>
        <d v="2025-09-07T10:22:50" u="1"/>
        <d v="2025-09-07T11:22:00" u="1"/>
        <d v="2025-09-07T12:22:41" u="1"/>
        <d v="2025-09-07T13:20:04" u="1"/>
        <d v="2025-09-07T14:22:09" u="1"/>
        <d v="2025-09-07T15:21:20" u="1"/>
        <d v="2025-09-07T16:21:08" u="1"/>
        <d v="2025-09-07T17:22:09" u="1"/>
        <d v="2025-09-07T18:20:59" u="1"/>
        <d v="2025-09-07T19:21:33" u="1"/>
        <d v="2025-09-07T20:22:29" u="1"/>
        <d v="2025-09-07T21:22:22" u="1"/>
        <d v="2025-09-07T22:22:27" u="1"/>
        <d v="2025-09-07T23:22:17" u="1"/>
        <d v="2025-09-08T00:21:41" u="1"/>
        <d v="2025-09-08T01:24:35" u="1"/>
        <d v="2025-09-08T02:36:57" u="1"/>
        <d v="2025-09-08T03:37:41" u="1"/>
        <d v="2025-09-08T04:39:02" u="1"/>
        <d v="2025-09-08T05:54:21" u="1"/>
        <d v="2025-09-08T06:52:44" u="1"/>
        <d v="2025-09-08T07:52:13" u="1"/>
        <d v="2025-09-04T16:34:04" u="1"/>
        <d v="2025-09-08T14:00:54" u="1"/>
        <d v="2025-09-09T00:35:24" u="1"/>
        <d v="2025-09-09T01:30:19" u="1"/>
        <d v="2025-09-09T02:38:55" u="1"/>
        <d v="2025-09-09T03:38:15" u="1"/>
        <d v="2025-09-09T04:37:40" u="1"/>
        <d v="2025-09-09T05:39:00" u="1"/>
        <d v="2025-09-10T22:14:06" u="1"/>
        <d v="2025-09-10T23:42:52" u="1"/>
        <d v="2025-09-11T00:39:05" u="1"/>
        <d v="2025-09-11T01:38:27" u="1"/>
        <d v="2025-09-11T02:38:02" u="1"/>
        <d v="2025-09-11T03:36:45" u="1"/>
        <d v="2025-09-11T04:38:19" u="1"/>
        <d v="2025-09-11T05:37:44" u="1"/>
        <d v="2025-09-11T06:37:00" u="1"/>
        <d v="2025-09-10T22:25:17" u="1"/>
        <d v="2025-09-10T22:41:22" u="1"/>
        <d v="2025-07-18T14:10:51" u="1"/>
        <d v="2025-08-13T19:19:41" u="1"/>
        <d v="2025-09-05T19:38:09" u="1"/>
        <d v="2025-03-26T16:28:53" u="1"/>
        <d v="2025-08-07T15:10:56" u="1"/>
        <d v="2025-09-09T11:04:26" u="1"/>
        <d v="2025-09-10T08:16:21" u="1"/>
        <d v="2025-09-10T21:13:44" u="1"/>
        <d v="2025-09-10T09:25:55" u="1"/>
        <d v="2025-09-10T18:15:57" u="1"/>
        <d v="2025-09-10T14:13:48" u="1"/>
        <d v="2025-09-10T13:44:12" u="1"/>
        <d v="2025-09-10T21:07:50" u="1"/>
        <d v="2025-09-10T18:55:59" u="1"/>
        <d v="2025-09-10T19:31:49" u="1"/>
        <d v="2025-09-10T13:27:52" u="1"/>
        <d v="2025-09-10T21:19:25" u="1"/>
        <d v="2025-09-10T21:17:18" u="1"/>
        <d v="2025-09-10T21:16:40" u="1"/>
        <d v="2025-08-15T09:53:04" u="1"/>
        <d v="2025-09-09T18:37:45" u="1"/>
        <d v="2025-08-18T14:21:00" u="1"/>
        <d v="2025-09-05T12:18:29" u="1"/>
        <d v="2025-08-11T00:03:44" u="1"/>
        <d v="2025-08-04T18:14:40" u="1"/>
        <d v="2025-08-05T08:04:49" u="1"/>
        <d v="2025-08-19T16:17:18" u="1"/>
        <d v="2025-08-15T12:04:38" u="1"/>
        <d v="2025-09-10T21:17:58" u="1"/>
        <d v="2025-08-07T09:01:50" u="1"/>
        <d v="2025-08-04T18:18:06" u="1"/>
        <d v="2025-07-28T18:23:36" u="1"/>
        <d v="2025-07-24T18:18:28" u="1"/>
        <d v="2025-07-24T18:18:12" u="1"/>
        <d v="2025-09-10T14:32:29" u="1"/>
        <d v="2025-08-08T17:44:53" u="1"/>
        <d v="2025-09-10T21:19:20" u="1"/>
        <d v="2025-03-06T09:43:10" u="1"/>
        <d v="2025-09-07T12:04:57" u="1"/>
        <d v="2025-09-10T17:30:43" u="1"/>
        <d v="2025-08-13T19:53:48" u="1"/>
        <d v="2025-08-13T19:53:47" u="1"/>
        <d v="2025-09-09T18:41:14" u="1"/>
        <d v="2025-09-08T16:22:27" u="1"/>
        <d v="2025-08-26T14:35:26" u="1"/>
        <d v="2025-09-03T11:05:55" u="1"/>
        <d v="2025-08-28T10:03:17" u="1"/>
        <d v="2025-08-29T19:03:00" u="1"/>
        <d v="2025-09-01T17:19:46" u="1"/>
        <d v="2025-09-02T11:46:37" u="1"/>
        <d v="2025-09-05T14:02:27" u="1"/>
        <d v="2025-09-04T14:19:33" u="1"/>
        <d v="2025-09-05T17:49:09" u="1"/>
        <d v="2025-09-08T17:17:08" u="1"/>
        <d v="2025-09-08T11:54:12" u="1"/>
        <d v="2025-09-08T18:02:24" u="1"/>
        <d v="2025-08-28T11:34:06" u="1"/>
        <d v="2025-08-28T10:28:45" u="1"/>
        <d v="2025-09-05T09:00:31" u="1"/>
        <d v="2025-09-05T10:04:15" u="1"/>
        <d v="2025-08-29T16:51:23" u="1"/>
        <d v="2025-09-08T15:55:48" u="1"/>
        <d v="2025-09-05T19:15:12" u="1"/>
        <d v="2025-09-02T18:07:16" u="1"/>
        <d v="2025-09-02T10:47:13" u="1"/>
        <d v="2025-09-02T12:26:49" u="1"/>
        <d v="2025-09-01T09:37:49" u="1"/>
        <d v="2025-08-28T15:57:21" u="1"/>
        <d v="2025-08-28T16:26:28" u="1"/>
        <d v="2025-08-26T15:35:37" u="1"/>
        <d v="2025-08-14T15:26:01" u="1"/>
        <d v="2025-08-28T12:35:05" u="1"/>
        <d v="2025-08-28T12:35:07" u="1"/>
        <d v="2025-08-28T12:35:09" u="1"/>
        <d v="2025-08-28T12:35:11" u="1"/>
        <d v="2025-08-28T12:35:13" u="1"/>
        <d v="2025-08-28T12:35:17" u="1"/>
        <d v="2025-08-21T16:15:38" u="1"/>
        <d v="2025-09-09T16:55:56" u="1"/>
        <d v="2025-09-09T16:10:05" u="1"/>
        <d v="2025-09-08T13:09:59" u="1"/>
        <d v="2025-09-08T16:24:01" u="1"/>
        <d v="2025-09-08T16:38:24" u="1"/>
        <d v="2025-09-09T20:49:51" u="1"/>
        <d v="2025-09-09T12:20:03" u="1"/>
        <d v="2025-09-08T16:26:39" u="1"/>
        <d v="2025-09-09T18:37:11" u="1"/>
        <d v="2025-09-08T18:15:44" u="1"/>
        <d v="2025-09-03T22:54:58" u="1"/>
        <d v="2025-09-09T20:05:51" u="1"/>
        <d v="2025-09-04T01:40:20" u="1"/>
        <d v="2025-09-09T14:03:16" u="1"/>
        <d v="2025-09-09T10:30:05" u="1"/>
        <d v="2025-09-09T15:44:46" u="1"/>
        <d v="2025-09-09T19:54:34" u="1"/>
        <d v="2025-09-09T20:39:51" u="1"/>
        <d v="2025-09-09T19:19:44" u="1"/>
        <d v="2025-09-09T16:10:06" u="1"/>
        <d v="2025-09-09T16:10:08" u="1"/>
        <d v="2025-09-09T11:51:58" u="1"/>
        <d v="2025-08-27T18:03:34" u="1"/>
        <d v="2025-09-09T18:08:27" u="1"/>
        <d v="2025-09-09T17:33:53" u="1"/>
        <d v="2025-09-09T17:47:46" u="1"/>
        <d v="2025-09-09T18:24:51" u="1"/>
        <d v="2025-09-09T18:30:44" u="1"/>
        <d v="2025-09-09T12:42:09" u="1"/>
        <d v="2025-09-07T13:50:28" u="1"/>
        <d v="2025-09-03T17:35:58" u="1"/>
        <d v="2025-08-27T19:02:30" u="1"/>
        <d v="2025-09-10T05:01:25" u="1"/>
        <d v="2025-09-09T17:03:29" u="1"/>
        <d v="2025-09-09T15:39:34" u="1"/>
        <d v="2025-09-09T15:41:14" u="1"/>
        <d v="2025-09-09T09:15:09" u="1"/>
        <d v="2025-09-02T10:37:06" u="1"/>
        <d v="2025-09-09T11:59:47" u="1"/>
        <d v="2025-09-09T11:13:51" u="1"/>
        <d v="2025-09-09T15:31:55" u="1"/>
        <d v="2025-09-09T20:12:33" u="1"/>
        <d v="2025-09-09T08:27:56" u="1"/>
        <d v="2025-09-09T18:39:50" u="1"/>
        <d v="2025-09-09T19:05:02" u="1"/>
        <d v="2025-09-09T13:57:02" u="1"/>
        <d v="2025-09-05T19:03:05" u="1"/>
        <d v="2025-09-08T16:20:15" u="1"/>
        <d v="2025-09-08T16:20:41" u="1"/>
        <d v="2025-09-08T16:20:46" u="1"/>
        <d v="2025-09-08T18:39:34" u="1"/>
        <d v="2025-09-08T18:39:55" u="1"/>
        <d v="2025-09-08T18:39:14" u="1"/>
        <d v="2025-09-08T15:17:22" u="1"/>
        <d v="2025-09-05T10:16:57" u="1"/>
        <d v="2025-09-05T11:32:01" u="1"/>
        <d v="2025-09-04T17:04:12" u="1"/>
        <d v="2025-09-04T12:42:19" u="1"/>
        <d v="2025-09-04T12:51:32" u="1"/>
        <d v="2025-09-04T12:46:36" u="1"/>
        <d v="2025-09-01T16:02:05" u="1"/>
        <d v="2025-09-01T16:02:26" u="1"/>
        <d v="2025-09-03T14:47:08" u="1"/>
        <d v="2025-09-03T14:47:11" u="1"/>
        <d v="2025-09-05T15:18:05" u="1"/>
        <d v="2025-09-04T07:33:59" u="1"/>
        <d v="2025-09-04T07:34:02" u="1"/>
        <d v="2025-09-03T16:01:06" u="1"/>
        <d v="2025-09-04T13:00:53" u="1"/>
        <d v="2025-09-04T15:03:53" u="1"/>
        <d v="2025-09-05T17:00:29" u="1"/>
        <d v="2025-09-05T17:00:34" u="1"/>
        <d v="2025-09-08T13:01:30" u="1"/>
        <d v="2025-09-08T17:01:01" u="1"/>
        <d v="2025-09-08T17:01:03" u="1"/>
        <d v="2025-09-08T18:53:08" u="1"/>
        <d v="2025-09-08T18:53:11" u="1"/>
        <d v="2025-09-08T18:53:14" u="1"/>
        <d v="2025-09-08T11:48:49" u="1"/>
        <d v="2025-09-08T11:53:06" u="1"/>
        <d v="2025-09-03T14:47:39" u="1"/>
        <d v="2025-09-04T12:45:03" u="1"/>
        <d v="2025-09-08T18:37:30" u="1"/>
        <d v="2025-09-08T18:41:01" u="1"/>
        <d v="2025-09-08T18:57:26" u="1"/>
        <d v="2025-09-04T19:04:36" u="1"/>
        <d v="2025-09-04T19:05:11" u="1"/>
        <d v="2025-09-08T15:17:39" u="1"/>
        <d v="2025-09-08T18:39:19" u="1"/>
        <d v="2025-09-08T15:43:59" u="1"/>
        <d v="2025-09-08T21:21:43" u="1"/>
        <d v="2025-09-05T19:33:57" u="1"/>
        <d v="2025-09-05T18:02:20" u="1"/>
        <d v="2025-09-08T10:50:19" u="1"/>
        <d v="2025-09-08T17:07:09" u="1"/>
        <d v="2025-09-08T11:55:26" u="1"/>
        <d v="2025-09-08T11:55:45" u="1"/>
        <d v="2025-09-08T18:38:00" u="1"/>
        <d v="2025-09-09T01:18:20" u="1"/>
        <d v="2025-09-08T13:07:58" u="1"/>
        <d v="2025-09-08T13:06:55" u="1"/>
        <d v="2025-09-08T20:07:54" u="1"/>
        <d v="2025-09-08T15:33:54" u="1"/>
        <d v="2025-09-08T13:35:18" u="1"/>
        <d v="2025-09-08T20:25:48" u="1"/>
        <d v="2025-09-08T14:41:50" u="1"/>
        <d v="2025-09-08T14:53:52" u="1"/>
        <d v="2025-09-08T16:09:59" u="1"/>
        <d v="2025-09-08T12:18:23" u="1"/>
        <d v="2025-09-08T15:36:29" u="1"/>
        <d v="2025-09-08T17:34:04" u="1"/>
        <d v="2025-09-08T13:21:41" u="1"/>
        <d v="2025-09-08T16:26:27" u="1"/>
        <d v="2025-09-08T13:07:20" u="1"/>
        <d v="2025-09-08T17:26:03" u="1"/>
        <d v="2025-09-08T15:16:00" u="1"/>
        <d v="2025-09-08T11:51:21" u="1"/>
        <d v="2025-09-08T11:53:14" u="1"/>
        <d v="2025-09-04T19:06:19" u="1"/>
        <d v="2025-09-08T18:42:55" u="1"/>
        <d v="2025-09-08T10:32:23" u="1"/>
        <d v="2025-09-08T18:41:18" u="1"/>
        <d v="2025-09-09T05:33:14" u="1"/>
        <d v="2025-09-08T18:20:29" u="1"/>
        <d v="2025-09-08T20:57:50" u="1"/>
        <d v="2025-09-08T16:24:03" u="1"/>
        <d v="2025-09-08T13:36:28" u="1"/>
        <d v="2025-09-08T19:03:54" u="1"/>
        <d v="2025-09-08T16:27:57" u="1"/>
        <d v="2025-09-08T20:51:48" u="1"/>
        <d v="2025-09-08T12:36:38" u="1"/>
        <d v="2025-09-08T12:28:37" u="1"/>
        <d v="2025-09-08T19:35:55" u="1"/>
        <d v="2025-09-08T12:45:54" u="1"/>
        <d v="2025-09-08T16:45:59" u="1"/>
        <d v="2025-09-08T16:50:10" u="1"/>
        <d v="2025-09-05T14:05:20" u="1"/>
        <d v="2025-08-29T16:20:07" u="1"/>
        <d v="2025-09-01T13:34:25" u="1"/>
        <d v="2025-09-01T13:34:40" u="1"/>
        <d v="2025-09-01T13:34:52" u="1"/>
        <d v="2025-09-01T18:38:14" u="1"/>
        <d v="2025-09-02T13:03:55" u="1"/>
        <d v="2025-09-02T14:20:50" u="1"/>
        <d v="2025-09-05T19:37:04" u="1"/>
        <d v="2025-09-05T19:37:26" u="1"/>
        <d v="2025-09-05T19:37:48" u="1"/>
        <d v="2025-09-05T19:38:05" u="1"/>
        <d v="2025-09-08T00:03:45" u="1"/>
        <d v="2025-09-04T20:06:20" u="1"/>
        <d v="2025-09-04T20:08:15" u="1"/>
        <d v="2025-09-04T20:07:42" u="1"/>
        <d v="2025-09-01T12:58:58" u="1"/>
        <d v="2025-09-05T17:47:42" u="1"/>
        <d v="2025-08-19T12:42:11" u="1"/>
        <d v="2025-09-04T10:04:09" u="1"/>
        <d v="2025-09-05T14:04:25" u="1"/>
        <d v="2025-09-05T17:49:17" u="1"/>
        <d v="2025-09-03T17:22:54" u="1"/>
        <d v="2025-09-05T18:43:31" u="1"/>
        <d v="2025-09-05T18:44:26" u="1"/>
        <d v="2025-09-05T18:44:30" u="1"/>
        <d v="2025-08-22T18:29:23" u="1"/>
        <d v="2025-08-29T18:31:10" u="1"/>
        <d v="2025-08-29T16:17:19" u="1"/>
        <d v="2025-08-18T19:19:55" u="1"/>
        <d v="2025-09-05T19:24:24" u="1"/>
        <d v="2025-08-11T19:07:07" u="1"/>
        <d v="2025-08-11T12:34:30" u="1"/>
        <d v="2025-08-29T12:31:30" u="1"/>
        <d v="2025-09-02T00:22:52" u="1"/>
        <d v="2025-09-04T15:31:52" u="1"/>
        <d v="2025-09-05T12:01:46" u="1"/>
        <d v="2025-09-04T08:33:18" u="1"/>
        <d v="2025-09-04T08:33:21" u="1"/>
        <d v="2025-09-04T08:33:23" u="1"/>
        <d v="2025-09-04T20:03:34" u="1"/>
        <d v="2025-09-04T15:10:24" u="1"/>
        <d v="2025-09-04T15:10:27" u="1"/>
        <d v="2025-09-05T18:47:10" u="1"/>
        <d v="2025-09-03T18:08:09" u="1"/>
        <d v="2025-09-05T12:11:23" u="1"/>
        <d v="2025-09-05T10:22:05" u="1"/>
        <d v="2025-09-05T10:22:09" u="1"/>
        <d v="2025-09-04T17:08:54" u="1"/>
        <d v="2025-09-04T17:08:59" u="1"/>
        <d v="2025-08-28T18:20:24" u="1"/>
        <d v="2025-08-15T18:12:04" u="1"/>
        <d v="2025-09-05T17:50:37" u="1"/>
        <d v="2025-09-01T18:26:56" u="1"/>
        <d v="2025-09-04T18:45:14" u="1"/>
        <d v="2025-09-04T18:45:18" u="1"/>
        <d v="2025-09-05T19:00:37" u="1"/>
        <d v="2025-09-05T19:00:38" u="1"/>
        <d v="2025-09-03T11:05:15" u="1"/>
        <d v="2025-09-04T12:59:14" u="1"/>
        <d v="2025-09-05T15:17:28" u="1"/>
        <d v="2025-09-05T17:46:41" u="1"/>
        <d v="2025-09-05T17:46:09" u="1"/>
        <d v="2025-09-05T17:46:20" u="1"/>
        <d v="2025-09-06T10:32:23" u="1"/>
        <d v="2025-09-06T17:37:55" u="1"/>
        <d v="2025-09-05T19:18:07" u="1"/>
        <d v="2025-09-05T20:59:50" u="1"/>
        <d v="2025-09-05T12:06:28" u="1"/>
        <d v="2025-09-05T17:24:29" u="1"/>
        <d v="2025-09-05T19:08:06" u="1"/>
        <d v="2025-09-07T12:15:50" u="1"/>
        <d v="2025-09-05T17:56:19" u="1"/>
        <d v="2025-09-05T00:33:01" u="1"/>
        <d v="2025-09-05T10:02:02" u="1"/>
        <d v="2025-09-02T18:38:38" u="1"/>
        <d v="2025-09-02T18:38:39" u="1"/>
        <d v="2025-09-05T12:38:20" u="1"/>
        <d v="2025-09-05T15:10:28" u="1"/>
        <d v="2025-09-06T03:01:19" u="1"/>
        <d v="2025-09-07T04:00:20" u="1"/>
        <d v="2025-09-05T17:49:59" u="1"/>
        <d v="2025-09-04T15:46:40" u="1"/>
        <d v="2025-09-05T17:51:58" u="1"/>
        <d v="2025-09-05T17:08:09" u="1"/>
        <d v="2025-09-05T17:22:12" u="1"/>
        <d v="2025-09-05T17:53:16" u="1"/>
        <d v="2025-09-05T15:52:00" u="1"/>
        <d v="2025-09-05T12:42:05" u="1"/>
        <d v="2025-09-05T12:52:06" u="1"/>
        <d v="2025-09-05T18:05:56" u="1"/>
        <d v="2025-09-05T11:27:55" u="1"/>
        <d v="2025-09-05T13:20:03" u="1"/>
        <d v="2025-09-05T10:17:02" u="1"/>
        <d v="2025-09-05T15:16:04" u="1"/>
        <d v="2025-09-05T19:02:02" u="1"/>
        <d v="2025-09-05T16:31:05" u="1"/>
        <d v="2025-09-05T14:04:20" u="1"/>
        <d v="2025-09-05T17:46:31" u="1"/>
        <d v="2025-09-03T18:35:05" u="1"/>
        <d v="2025-09-04T14:20:02" u="1"/>
        <d v="2025-09-05T17:56:18" u="1"/>
        <d v="2025-09-05T17:56:34" u="1"/>
        <d v="2025-09-05T17:56:47" u="1"/>
        <d v="2025-09-05T11:34:31" u="1"/>
        <d v="2025-09-08T02:37:18" u="1"/>
        <d v="2025-09-07T11:47:49" u="1"/>
        <d v="2025-09-07T11:49:53" u="1"/>
        <d v="2025-09-05T16:18:07" u="1"/>
        <d v="2025-09-05T17:28:07" u="1"/>
        <d v="2025-09-05T20:27:51" u="1"/>
        <d v="2025-09-05T17:30:00" u="1"/>
        <d v="2025-09-05T16:06:00" u="1"/>
        <d v="2025-09-06T09:07:52" u="1"/>
        <d v="2025-09-05T16:08:01" u="1"/>
        <d v="2025-09-05T16:10:06" u="1"/>
        <d v="2025-09-05T15:17:33" u="1"/>
        <d v="2025-09-06T00:19:54" u="1"/>
        <d v="2025-09-03T12:16:38" u="1"/>
        <d v="2025-08-29T12:19:34" u="1"/>
        <d v="2025-08-30T12:02:05" u="1"/>
        <d v="2025-09-06T10:14:01" u="1"/>
        <d v="2025-09-04T10:04:13" u="1"/>
        <d v="2025-09-04T10:04:18" u="1"/>
        <d v="2025-09-04T10:04:22" u="1"/>
        <d v="2025-09-04T10:04:27" u="1"/>
        <d v="2025-09-05T15:21:01" u="1"/>
        <d v="2025-09-05T09:05:10" u="1"/>
        <d v="2025-09-05T00:36:28" u="1"/>
        <d v="2025-08-26T12:47:41" u="1"/>
        <d v="2025-08-30T00:22:00" u="1"/>
        <d v="2025-09-04T17:01:15" u="1"/>
        <d v="2025-09-04T15:32:04" u="1"/>
        <d v="2025-09-04T15:32:14" u="1"/>
        <d v="2025-09-02T18:03:04" u="1"/>
        <d v="2025-09-04T18:19:17" u="1"/>
        <d v="2025-09-04T12:58:07" u="1"/>
        <d v="2025-09-04T17:07:06" u="1"/>
        <d v="2025-09-04T19:37:57" u="1"/>
        <d v="2025-09-04T16:11:59" u="1"/>
        <d v="2025-09-04T16:26:05" u="1"/>
        <d v="2025-09-04T15:13:58" u="1"/>
        <d v="2025-09-04T18:42:01" u="1"/>
        <d v="2025-09-04T17:49:59" u="1"/>
        <d v="2025-09-04T18:46:16" u="1"/>
        <d v="2025-09-04T17:36:03" u="1"/>
        <d v="2025-09-04T17:38:19" u="1"/>
        <d v="2025-09-04T16:38:01" u="1"/>
        <d v="2025-09-03T17:37:07" u="1"/>
        <d v="2025-09-03T17:26:55" u="1"/>
        <d v="2025-08-26T18:39:45" u="1"/>
        <d v="2025-09-04T08:35:53" u="1"/>
        <d v="2025-09-04T08:35:54" u="1"/>
        <d v="2025-09-04T15:12:08" u="1"/>
        <d v="2025-09-04T15:04:06" u="1"/>
        <d v="2025-09-04T15:04:12" u="1"/>
        <d v="2025-09-04T15:04:13" u="1"/>
        <d v="2025-08-01T18:48:28" u="1"/>
        <d v="2025-09-04T19:25:32" u="1"/>
        <d v="2025-09-04T18:40:55" u="1"/>
        <d v="2025-08-26T19:23:50" u="1"/>
        <d v="2025-08-26T19:23:53" u="1"/>
        <d v="2025-08-28T18:57:41" u="1"/>
        <d v="2025-08-26T19:24:12" u="1"/>
        <d v="2025-09-05T00:31:47" u="1"/>
        <d v="2025-09-05T00:31:49" u="1"/>
        <d v="2025-09-04T18:45:33" u="1"/>
        <d v="2025-09-03T12:21:01" u="1"/>
        <d v="2025-09-04T18:45:29" u="1"/>
        <d v="2025-08-15T18:24:02" u="1"/>
        <d v="2025-09-05T00:31:52" u="1"/>
        <d v="2025-08-28T18:31:19" u="1"/>
        <d v="2025-09-04T00:28:59" u="1"/>
        <d v="2025-09-02T19:26:33" u="1"/>
        <d v="2025-09-02T12:48:14" u="1"/>
        <d v="2025-09-01T12:55:28" u="1"/>
        <d v="2025-09-01T12:54:20" u="1"/>
        <d v="2025-08-25T16:42:50" u="1"/>
        <d v="2025-08-29T18:06:34" u="1"/>
        <d v="2025-09-03T19:15:46" u="1"/>
        <d v="2025-09-03T19:15:54" u="1"/>
        <d v="2025-08-21T19:11:08" u="1"/>
        <d v="2025-09-04T19:44:52" u="1"/>
        <d v="2025-09-03T18:33:23" u="1"/>
        <d v="2025-09-03T18:34:45" u="1"/>
        <d v="2025-08-29T11:33:04" u="1"/>
        <d v="2025-08-29T18:25:17" u="1"/>
        <d v="2025-09-04T20:08:50" u="1"/>
        <d v="2025-08-27T12:40:15" u="1"/>
        <d v="2025-08-27T12:40:04" u="1"/>
        <d v="2025-09-01T12:59:54" u="1"/>
        <d v="2025-08-25T12:14:59" u="1"/>
        <d v="2025-09-04T18:37:10" u="1"/>
        <d v="2025-09-04T18:37:57" u="1"/>
        <d v="2025-09-04T18:38:01" u="1"/>
        <d v="2025-09-04T18:38:05" u="1"/>
        <d v="2025-09-04T18:38:10" u="1"/>
        <d v="2025-09-05T00:30:58" u="1"/>
        <d v="2025-08-30T00:15:49" u="1"/>
        <d v="2025-08-30T00:15:52" u="1"/>
        <d v="2025-08-28T18:32:51" u="1"/>
        <d v="2025-09-05T00:30:53" u="1"/>
        <d v="2025-09-02T00:20:31" u="1"/>
        <d v="2025-09-01T18:34:27" u="1"/>
        <d v="2025-09-04T12:51:51" u="1"/>
        <d v="2025-09-04T12:45:19" u="1"/>
        <d v="2025-09-04T12:40:51" u="1"/>
        <d v="2025-09-04T12:47:26" u="1"/>
        <d v="2025-09-04T12:44:26" u="1"/>
        <d v="2025-09-04T19:39:08" u="1"/>
        <d v="2025-09-04T17:02:58" u="1"/>
        <d v="2025-09-04T14:18:14" u="1"/>
        <d v="2025-09-04T12:42:24" u="1"/>
        <d v="2025-09-04T12:56:57" u="1"/>
        <d v="2025-09-04T12:57:05" u="1"/>
        <d v="2025-09-04T12:49:13" u="1"/>
        <d v="2025-09-05T00:22:05" u="1"/>
        <d v="2025-09-04T19:33:47" u="1"/>
        <d v="2025-08-30T00:22:36" u="1"/>
        <d v="2025-09-05T00:36:35" u="1"/>
        <d v="2025-09-05T00:36:36" u="1"/>
        <d v="2025-09-03T06:13:55" u="1"/>
        <d v="2025-09-03T06:13:57" u="1"/>
        <d v="2025-09-04T00:34:49" u="1"/>
        <d v="2025-08-07T18:07:49" u="1"/>
        <d v="2025-09-01T12:06:41" u="1"/>
        <d v="2025-08-15T18:08:00" u="1"/>
        <d v="2025-09-01T12:06:35" u="1"/>
        <d v="2025-09-01T12:06:39" u="1"/>
        <d v="2025-08-07T18:11:47" u="1"/>
        <d v="2025-09-02T12:04:00" u="1"/>
        <d v="2025-09-03T18:03:12" u="1"/>
        <d v="2025-09-04T12:10:26" u="1"/>
        <d v="2025-09-01T18:04:09" u="1"/>
        <d v="2025-08-28T12:07:34" u="1"/>
        <d v="2025-08-28T12:10:04" u="1"/>
        <d v="2025-09-03T18:11:26" u="1"/>
        <d v="2025-08-20T06:03:02" u="1"/>
        <d v="2025-08-28T12:27:32" u="1"/>
        <d v="2025-09-04T18:50:59" u="1"/>
        <d v="2025-09-04T18:52:03" u="1"/>
        <d v="2025-09-05T00:33:24" u="1"/>
        <d v="2025-08-29T00:09:16" u="1"/>
        <d v="2025-08-29T00:09:41" u="1"/>
        <d v="2025-08-28T18:42:40" u="1"/>
        <d v="2025-09-04T18:52:21" u="1"/>
        <d v="2025-09-02T00:16:23" u="1"/>
        <d v="2025-08-25T19:34:58" u="1"/>
        <d v="2025-08-18T19:32:15" u="1"/>
        <d v="2025-08-28T19:13:58" u="1"/>
        <d v="2025-09-04T19:50:10" u="1"/>
        <d v="2025-09-05T00:41:55" u="1"/>
        <d v="2025-09-04T10:07:30" u="1"/>
        <d v="2025-09-02T09:20:09" u="1"/>
        <d v="2025-09-02T09:20:13" u="1"/>
        <d v="2025-09-02T09:20:18" u="1"/>
        <d v="2025-09-02T09:20:23" u="1"/>
        <d v="2025-09-04T10:06:28" u="1"/>
        <d v="2025-09-02T09:19:59" u="1"/>
        <d v="2025-09-02T09:20:04" u="1"/>
        <d v="2025-09-05T06:02:39" u="1"/>
        <d v="2025-09-05T06:02:45" u="1"/>
        <d v="2025-09-05T00:05:23" u="1"/>
        <d v="2025-09-05T00:05:42" u="1"/>
        <d v="2025-09-03T11:04:27" u="1"/>
        <d v="2025-08-18T18:51:40" u="1"/>
        <d v="2025-09-01T14:19:48" u="1"/>
        <d v="2025-09-02T17:06:34" u="1"/>
        <d v="2025-09-03T11:20:56" u="1"/>
        <d v="2025-08-31T19:15:36" u="1"/>
        <d v="2025-08-19T16:02:18" u="1"/>
        <d v="2025-08-22T17:03:22" u="1"/>
        <d v="2025-08-21T20:31:50" u="1"/>
        <d v="2025-08-05T17:32:46" u="1"/>
        <d v="2025-08-05T17:32:59" u="1"/>
        <d v="2025-03-31T11:32:44" u="1"/>
        <d v="2025-07-28T12:31:47" u="1"/>
        <d v="2025-03-27T16:58:59" u="1"/>
        <d v="2025-03-21T16:34:18" u="1"/>
        <d v="2025-04-16T09:31:54" u="1"/>
        <d v="2025-04-07T10:01:54" u="1"/>
        <d v="2025-04-29T12:02:36" u="1"/>
        <d v="2025-07-28T12:47:13" u="1"/>
        <d v="2025-04-29T12:16:47" u="1"/>
        <d v="2025-07-07T19:03:52" u="1"/>
        <d v="2025-06-30T15:34:39" u="1"/>
        <d v="2025-07-28T12:47:22" u="1"/>
        <d v="2025-08-13T12:46:28" u="1"/>
        <d v="2025-07-28T19:17:27" u="1"/>
        <d v="2025-08-06T15:17:30" u="1"/>
        <d v="2025-08-19T10:31:41" u="1"/>
        <d v="2025-05-03T19:01:50" u="1"/>
        <d v="2025-04-28T09:34:02" u="1"/>
        <d v="2025-02-27T09:17:44" u="1"/>
        <d v="2025-05-27T16:33:03" u="1"/>
        <d v="2025-06-05T10:32:08" u="1"/>
        <d v="2025-08-05T18:31:53" u="1"/>
        <d v="2025-08-27T19:32:15" u="1"/>
        <d v="2025-08-19T16:02:29" u="1"/>
        <d v="2025-08-19T16:02:41" u="1"/>
        <d v="2025-08-15T11:47:23" u="1"/>
        <d v="2025-02-25T09:33:49" u="1"/>
        <d v="2025-08-18T20:01:24" u="1"/>
        <d v="2025-08-04T20:17:27" u="1"/>
        <d v="2025-01-13T09:49:41" u="1"/>
        <d v="2025-07-07T19:03:14" u="1"/>
        <d v="2025-03-31T14:47:25" u="1"/>
        <d v="2025-03-19T20:19:14" u="1"/>
        <d v="2025-07-21T17:03:06" u="1"/>
        <d v="2025-07-22T16:01:44" u="1"/>
        <d v="2025-07-22T16:01:53" u="1"/>
        <d v="2025-02-11T20:47:26" u="1"/>
        <d v="2025-07-21T17:03:20" u="1"/>
        <d v="2025-07-21T17:03:37" u="1"/>
        <d v="2025-07-21T17:02:56" u="1"/>
        <d v="2025-09-03T14:49:09" u="1"/>
        <d v="2025-09-03T14:49:14" u="1"/>
        <d v="2025-09-03T14:49:22" u="1"/>
        <d v="2025-08-04T18:02:21" u="1"/>
        <d v="2025-08-21T11:46:38" u="1"/>
        <d v="2025-05-27T10:17:42" u="1"/>
        <d v="2025-08-14T21:20:04" u="1"/>
        <d v="2025-09-03T17:20:58" u="1"/>
        <d v="2025-04-22T18:20:26" u="1"/>
        <d v="2025-08-25T16:51:21" u="1"/>
        <d v="2025-09-03T16:02:06" u="1"/>
        <d v="2025-09-03T09:46:57" u="1"/>
        <d v="2025-08-26T15:16:19" u="1"/>
        <d v="2025-08-29T14:31:33" u="1"/>
        <d v="2025-09-02T15:31:59" u="1"/>
        <d v="2025-09-02T15:32:33" u="1"/>
        <d v="2025-09-02T15:32:59" u="1"/>
        <d v="2025-09-01T09:34:35" u="1"/>
        <d v="2024-12-18T19:28:59" u="1"/>
        <d v="2025-08-06T13:19:07" u="1"/>
        <d v="2025-08-25T16:46:29" u="1"/>
        <d v="2025-08-28T14:59:27" u="1"/>
        <d v="2025-09-03T17:22:31" u="1"/>
        <d v="2025-09-03T14:03:56" u="1"/>
        <d v="2025-09-03T10:29:53" u="1"/>
        <d v="2025-09-03T12:39:58" u="1"/>
        <d v="2025-09-02T16:09:51" u="1"/>
        <d v="2025-09-02T19:11:48" u="1"/>
        <d v="2025-09-03T12:17:49" u="1"/>
        <d v="2025-09-03T11:14:00" u="1"/>
        <d v="2025-09-03T15:04:10" u="1"/>
        <d v="2025-09-03T15:18:43" u="1"/>
        <d v="2025-09-02T14:39:49" u="1"/>
        <d v="2025-09-02T14:39:50" u="1"/>
        <d v="2025-09-02T13:43:56" u="1"/>
        <d v="2025-09-02T09:31:51" u="1"/>
        <d v="2025-09-02T09:43:57" u="1"/>
        <d v="2025-09-02T10:13:31" u="1"/>
        <d v="2025-09-02T10:13:35" u="1"/>
        <d v="2025-09-02T10:20:15" u="1"/>
        <d v="2025-09-02T08:29:50" u="1"/>
        <d v="2025-09-02T08:47:49" u="1"/>
        <d v="2025-09-02T09:00:12" u="1"/>
        <d v="2025-09-02T09:00:38" u="1"/>
        <d v="2025-09-01T21:49:51" u="1"/>
        <d v="2025-09-03T13:38:08" u="1"/>
        <d v="2025-09-03T19:51:55" u="1"/>
        <d v="2025-09-03T19:17:57" u="1"/>
        <d v="2025-09-03T18:57:56" u="1"/>
        <d v="2025-09-02T13:11:49" u="1"/>
        <d v="2025-09-02T13:40:02" u="1"/>
        <d v="2025-09-02T13:10:11" u="1"/>
        <d v="2025-09-02T14:11:50" u="1"/>
        <d v="2025-09-02T17:08:26" u="1"/>
        <d v="2025-09-02T13:40:05" u="1"/>
        <d v="2025-09-02T13:40:07" u="1"/>
        <d v="2025-09-03T12:10:01" u="1"/>
        <d v="2025-09-03T10:05:49" u="1"/>
        <d v="2025-09-03T11:07:21" u="1"/>
        <d v="2025-09-01T17:08:44" u="1"/>
        <d v="2025-08-04T15:53:01" u="1"/>
        <d v="2025-08-15T13:08:10" u="1"/>
        <d v="2025-08-15T13:08:34" u="1"/>
        <d v="2024-08-27T20:34:26" u="1"/>
        <d v="2025-08-14T21:19:41" u="1"/>
        <d v="2025-08-14T21:19:55" u="1"/>
        <d v="2025-08-28T16:42:33" u="1"/>
        <d v="2025-08-28T16:42:37" u="1"/>
        <d v="2025-08-25T16:56:10" u="1"/>
        <d v="2025-08-20T12:26:50" u="1"/>
        <d v="2025-08-27T00:10:36" u="1"/>
        <d v="2025-08-13T19:27:47" u="1"/>
        <d v="2025-09-04T00:29:23" u="1"/>
        <d v="2025-09-03T18:35:45" u="1"/>
        <d v="2025-09-01T18:24:38" u="1"/>
        <d v="2025-09-02T12:23:13" u="1"/>
        <d v="2025-09-03T18:32:34" u="1"/>
        <d v="2025-08-19T18:25:36" u="1"/>
        <d v="2025-09-03T00:29:43" u="1"/>
        <d v="2025-09-02T12:20:51" u="1"/>
        <d v="2025-09-03T12:20:05" u="1"/>
        <d v="2025-09-03T12:20:20" u="1"/>
        <d v="2025-08-22T18:33:42" u="1"/>
        <d v="2025-09-03T18:33:29" u="1"/>
        <d v="2025-09-03T18:33:33" u="1"/>
        <d v="2025-08-28T00:09:01" u="1"/>
        <d v="2025-08-28T00:08:57" u="1"/>
        <d v="2025-08-13T00:21:50" u="1"/>
        <d v="2025-08-07T19:13:01" u="1"/>
        <d v="2025-08-07T19:13:08" u="1"/>
        <d v="2025-08-26T19:26:31" u="1"/>
        <d v="2025-09-02T19:04:07" u="1"/>
        <d v="2025-09-03T18:58:59" u="1"/>
        <d v="2025-08-08T12:14:25" u="1"/>
        <d v="2025-09-02T18:34:55" u="1"/>
        <d v="2025-08-29T18:30:01" u="1"/>
        <d v="2025-09-02T00:14:24" u="1"/>
        <d v="2025-08-20T18:56:37" u="1"/>
        <d v="2025-08-20T18:56:43" u="1"/>
        <d v="2025-08-20T18:56:49" u="1"/>
        <d v="2025-08-20T18:56:56" u="1"/>
        <d v="2025-08-20T18:57:02" u="1"/>
        <d v="2025-08-20T18:57:08" u="1"/>
        <d v="2025-08-20T18:57:14" u="1"/>
        <d v="2025-08-11T18:09:29" u="1"/>
        <d v="2025-08-07T19:21:41" u="1"/>
        <d v="2025-09-02T19:27:54" u="1"/>
        <d v="2025-09-02T19:21:00" u="1"/>
        <d v="2025-09-02T19:21:10" u="1"/>
        <d v="2025-09-02T19:21:22" u="1"/>
        <d v="2025-09-02T19:22:03" u="1"/>
        <d v="2025-09-02T19:22:26" u="1"/>
        <d v="2025-09-02T19:22:28" u="1"/>
        <d v="2025-09-03T19:15:23" u="1"/>
        <d v="2025-09-02T12:46:10" u="1"/>
        <d v="2025-09-02T19:27:16" u="1"/>
        <d v="2025-09-02T19:27:27" u="1"/>
        <d v="2025-09-02T19:19:13" u="1"/>
        <d v="2025-09-02T19:20:24" u="1"/>
        <d v="2025-09-02T19:20:27" u="1"/>
        <d v="2025-09-02T19:18:44" u="1"/>
        <d v="2025-09-02T19:26:25" u="1"/>
        <d v="2025-09-02T00:28:21" u="1"/>
        <d v="2025-09-02T00:28:24" u="1"/>
        <d v="2025-08-18T15:15:10" u="1"/>
        <d v="2025-08-26T13:18:07" u="1"/>
        <d v="2025-08-14T21:19:12" u="1"/>
        <d v="2025-09-03T16:01:52" u="1"/>
        <d v="2025-09-03T11:04:35" u="1"/>
        <d v="2025-09-03T16:01:34" u="1"/>
        <d v="2025-08-08T17:10:54" u="1"/>
        <d v="2025-08-15T18:47:54" u="1"/>
        <d v="2025-08-15T13:03:04" u="1"/>
        <d v="2025-08-12T18:50:33" u="1"/>
        <d v="2025-08-12T18:50:38" u="1"/>
        <d v="2025-08-12T18:50:43" u="1"/>
        <d v="2025-08-12T18:50:54" u="1"/>
        <d v="2025-08-12T19:06:00" u="1"/>
        <d v="2025-08-12T19:06:07" u="1"/>
        <d v="2025-08-11T19:22:02" u="1"/>
        <d v="2025-08-11T19:36:44" u="1"/>
        <d v="2025-08-11T19:36:20" u="1"/>
        <d v="2025-08-11T19:36:26" u="1"/>
        <d v="2025-08-11T19:36:32" u="1"/>
        <d v="2025-08-11T19:37:43" u="1"/>
        <d v="2025-08-11T19:22:12" u="1"/>
        <d v="2025-08-11T19:36:01" u="1"/>
        <d v="2025-08-11T19:36:08" u="1"/>
        <d v="2025-09-03T19:48:41" u="1"/>
        <d v="2025-08-13T11:02:45" u="1"/>
        <d v="2025-08-11T19:21:37" u="1"/>
        <d v="2025-08-11T19:21:43" u="1"/>
        <d v="2025-08-11T19:21:48" u="1"/>
        <d v="2025-08-11T19:21:52" u="1"/>
        <d v="2025-08-26T18:47:36" u="1"/>
        <d v="2025-08-26T18:47:44" u="1"/>
        <d v="2025-08-26T19:19:27" u="1"/>
        <d v="2025-08-26T19:19:32" u="1"/>
        <d v="2025-08-26T18:32:53" u="1"/>
        <d v="2025-08-26T18:32:59" u="1"/>
        <d v="2025-08-26T18:47:50" u="1"/>
        <d v="2025-08-26T18:47:57" u="1"/>
        <d v="2025-08-26T19:02:00" u="1"/>
        <d v="2025-08-26T19:04:26" u="1"/>
        <d v="2025-08-26T19:04:38" u="1"/>
        <d v="2025-08-26T19:19:21" u="1"/>
        <d v="2025-08-11T19:37:59" u="1"/>
        <d v="2025-08-11T19:50:12" u="1"/>
        <d v="2025-08-23T12:21:36" u="1"/>
        <d v="2025-08-22T19:02:11" u="1"/>
        <d v="2025-08-25T16:51:14" u="1"/>
        <d v="2025-08-11T19:37:00" u="1"/>
        <d v="2025-08-13T11:02:53" u="1"/>
        <d v="2025-04-15T21:02:44" u="1"/>
        <d v="2025-08-20T11:17:42" u="1"/>
        <d v="2025-08-20T11:04:54" u="1"/>
        <d v="2025-08-11T19:38:21" u="1"/>
        <d v="2025-08-11T19:49:56" u="1"/>
        <d v="2025-08-11T19:50:02" u="1"/>
        <d v="2025-08-11T19:37:22" u="1"/>
        <d v="2025-08-11T19:36:14" u="1"/>
        <d v="2025-08-11T19:37:49" u="1"/>
        <d v="2025-08-11T19:50:07" u="1"/>
        <d v="2025-08-11T19:36:38" u="1"/>
        <d v="2025-08-11T19:37:06" u="1"/>
        <d v="2025-08-11T19:37:16" u="1"/>
        <d v="2025-08-11T19:38:11" u="1"/>
        <d v="2025-08-11T19:38:16" u="1"/>
        <d v="2025-08-27T19:02:46" u="1"/>
        <d v="2025-08-14T21:19:31" u="1"/>
        <d v="2025-08-26T18:19:07" u="1"/>
        <d v="2025-08-26T18:32:47" u="1"/>
        <d v="2025-08-11T19:22:07" u="1"/>
        <d v="2025-08-29T11:07:52" u="1"/>
        <d v="2025-08-15T16:51:35" u="1"/>
        <d v="2025-09-03T18:07:45" u="1"/>
        <d v="2025-09-03T19:22:40" u="1"/>
        <d v="2025-08-15T21:13:18" u="1"/>
        <d v="2025-09-03T19:12:52" u="1"/>
        <d v="2025-08-22T17:20:36" u="1"/>
        <d v="2025-09-01T13:09:41" u="1"/>
        <d v="2025-09-03T09:48:13" u="1"/>
        <d v="2025-09-03T13:32:27" u="1"/>
        <d v="2025-09-03T11:06:07" u="1"/>
        <d v="2025-09-03T12:16:54" u="1"/>
        <d v="2025-08-22T10:06:20" u="1"/>
        <d v="2025-08-18T19:25:12" u="1"/>
        <d v="2025-08-18T19:54:31" u="1"/>
        <d v="2025-08-16T00:05:09" u="1"/>
        <d v="2025-08-06T18:14:24" u="1"/>
        <d v="2025-08-06T18:24:16" u="1"/>
        <d v="2025-08-20T13:26:30" u="1"/>
        <d v="2025-08-20T13:26:29" u="1"/>
        <d v="2025-08-22T09:54:59" u="1"/>
        <d v="2025-08-21T19:14:53" u="1"/>
        <d v="2025-08-20T16:53:52" u="1"/>
        <d v="2025-08-19T10:16:11" u="1"/>
        <d v="2025-08-19T14:05:35" u="1"/>
        <d v="2025-08-19T10:16:09" u="1"/>
        <d v="2025-09-02T19:45:31" u="1"/>
        <d v="2025-08-18T19:15:26" u="1"/>
        <d v="2025-08-29T18:24:43" u="1"/>
        <d v="2025-09-01T12:59:48" u="1"/>
        <d v="2025-08-27T19:15:06" u="1"/>
        <d v="2025-09-03T19:20:05" u="1"/>
        <d v="2025-09-03T19:20:09" u="1"/>
        <d v="2025-08-08T19:12:20" u="1"/>
        <d v="2025-09-04T00:41:16" u="1"/>
        <d v="2025-09-03T12:43:54" u="1"/>
        <d v="2025-09-03T19:19:07" u="1"/>
        <d v="2025-09-03T19:20:21" u="1"/>
        <d v="2025-08-12T10:04:51" u="1"/>
        <d v="2025-08-11T09:14:15" u="1"/>
        <d v="2025-08-08T09:56:37" u="1"/>
        <d v="2025-08-25T15:55:49" u="1"/>
        <d v="2025-09-03T09:36:05" u="1"/>
        <d v="2025-08-27T12:42:18" u="1"/>
        <d v="2025-08-20T11:10:16" u="1"/>
        <d v="2025-09-02T16:29:37" u="1"/>
        <d v="2025-09-02T17:41:47" u="1"/>
        <d v="2025-09-02T18:58:45" u="1"/>
        <d v="2025-09-02T23:23:54" u="1"/>
        <d v="2025-09-03T00:22:45" u="1"/>
        <d v="2025-09-03T09:26:31" u="1"/>
        <d v="2025-09-03T12:00:41" u="1"/>
        <d v="2025-09-03T07:21:22" u="1"/>
        <d v="2025-09-03T08:22:15" u="1"/>
        <d v="2025-06-06T15:32:35" u="1"/>
        <d v="2025-08-15T17:20:48" u="1"/>
        <d v="2025-09-03T19:46:51" u="1"/>
        <d v="2025-04-17T19:06:53" u="1"/>
        <d v="2025-09-03T06:22:59" u="1"/>
        <d v="2025-09-03T01:24:35" u="1"/>
        <d v="2025-09-03T02:41:56" u="1"/>
        <d v="2025-09-03T03:53:44" u="1"/>
        <d v="2025-09-03T05:08:42" u="1"/>
        <d v="2025-09-03T10:43:17" u="1"/>
        <d v="2025-09-03T16:55:20" u="1"/>
        <d v="2025-09-03T15:42:45" u="1"/>
        <d v="2025-09-01T12:59:09" u="1"/>
        <d v="2025-09-01T15:48:00" u="1"/>
        <d v="2025-09-01T17:00:26" u="1"/>
        <d v="2025-09-01T23:36:35" u="1"/>
        <d v="2025-09-01T22:32:41" u="1"/>
        <d v="2025-09-02T03:09:17" u="1"/>
        <d v="2025-09-02T04:23:41" u="1"/>
        <d v="2025-09-02T05:24:11" u="1"/>
        <d v="2025-09-02T06:27:29" u="1"/>
        <d v="2025-09-01T14:29:54" u="1"/>
        <d v="2025-09-01T18:15:34" u="1"/>
        <d v="2025-09-02T01:04:56" u="1"/>
        <d v="2025-09-02T02:07:35" u="1"/>
        <d v="2025-09-02T07:40:22" u="1"/>
        <d v="2025-09-01T19:55:20" u="1"/>
        <d v="2025-09-02T10:17:49" u="1"/>
        <d v="2025-09-02T08:58:46" u="1"/>
        <d v="2025-09-02T12:44:32" u="1"/>
        <d v="2025-09-02T13:56:49" u="1"/>
        <d v="2025-09-02T15:15:37" u="1"/>
        <d v="2025-09-02T11:30:52" u="1"/>
        <d v="2025-09-03T18:17:32" u="1"/>
        <d v="2025-09-02T20:11:15" u="1"/>
        <d v="2025-09-02T21:23:43" u="1"/>
        <d v="2025-09-03T19:27:14" u="1"/>
        <d v="2025-09-02T22:23:11" u="1"/>
        <d v="2025-09-03T20:39:11" u="1"/>
        <d v="2025-09-03T21:35:30" u="1"/>
        <d v="2025-09-04T00:35:53" u="1"/>
        <d v="2025-09-04T06:37:54" u="1"/>
        <d v="2025-09-03T13:11:59" u="1"/>
        <d v="2025-09-04T01:39:36" u="1"/>
        <d v="2025-09-04T02:37:28" u="1"/>
        <d v="2025-09-04T03:39:27" u="1"/>
        <d v="2025-09-04T04:38:39" u="1"/>
        <d v="2025-09-04T05:37:20" u="1"/>
        <d v="2025-09-03T14:25:30" u="1"/>
        <d v="2025-09-03T23:36:50" u="1"/>
        <d v="2025-09-03T22:38:49" u="1"/>
        <d v="2025-09-01T15:58:54" u="1"/>
        <d v="2025-05-20T15:49:30" u="1"/>
        <d v="2025-09-02T15:34:23" u="1"/>
        <d v="2025-09-03T14:49:36" u="1"/>
        <d v="2025-09-03T14:49:43" u="1"/>
        <d v="2025-09-03T16:02:46" u="1"/>
        <d v="2025-09-03T14:49:49" u="1"/>
        <d v="2025-09-03T16:02:51" u="1"/>
        <d v="2025-05-19T13:25:48" u="1"/>
        <d v="2025-05-20T17:27:25" u="1"/>
        <d v="2025-09-03T18:32:06" u="1"/>
        <d v="2025-09-03T18:32:14" u="1"/>
        <d v="2025-08-11T12:16:43" u="1"/>
        <d v="2025-08-08T12:15:30" u="1"/>
        <d v="2025-08-21T18:25:17" u="1"/>
        <d v="2025-09-03T18:29:26" u="1"/>
        <d v="2025-09-03T18:29:22" u="1"/>
        <d v="2025-09-03T18:30:02" u="1"/>
        <d v="2025-09-03T18:29:19" u="1"/>
        <d v="2025-09-03T12:19:19" u="1"/>
        <d v="2025-09-02T18:35:25" u="1"/>
        <d v="2025-09-03T16:00:54" u="1"/>
        <d v="2025-08-29T18:00:42" u="1"/>
        <d v="2025-09-02T09:01:07" u="1"/>
        <d v="2025-08-06T18:24:15" u="1"/>
        <d v="2025-08-14T16:45:41" u="1"/>
        <d v="2025-08-05T14:17:44" u="1"/>
        <d v="2025-08-05T14:17:45" u="1"/>
        <d v="2025-08-11T12:26:35" u="1"/>
        <d v="2025-08-08T18:47:16" u="1"/>
        <d v="2025-08-08T18:47:15" u="1"/>
        <d v="2025-08-29T18:46:22" u="1"/>
        <d v="2025-08-28T09:30:57" u="1"/>
        <d v="2025-08-15T09:33:56" u="1"/>
        <d v="2025-08-22T05:31:11" u="1"/>
        <d v="2025-08-27T19:36:11" u="1"/>
        <d v="2025-08-15T09:33:48" u="1"/>
        <d v="2025-08-15T09:32:35" u="1"/>
        <d v="2025-08-27T19:36:32" u="1"/>
        <d v="2025-08-08T12:15:38" u="1"/>
        <d v="2025-08-08T15:45:44" u="1"/>
        <d v="2025-08-06T19:17:59" u="1"/>
        <d v="2025-08-15T09:31:48" u="1"/>
        <d v="2025-07-23T11:02:26" u="1"/>
        <d v="2025-08-15T09:33:23" u="1"/>
        <d v="2025-08-15T09:36:40" u="1"/>
        <d v="2025-05-08T20:06:41" u="1"/>
        <d v="2025-08-21T13:47:01" u="1"/>
        <d v="2025-09-03T14:46:40" u="1"/>
        <d v="2025-08-27T19:33:43" u="1"/>
        <d v="2025-08-15T16:32:40" u="1"/>
        <d v="2025-08-25T08:30:43" u="1"/>
        <d v="2025-08-21T20:31:57" u="1"/>
        <d v="2025-08-22T15:30:55" u="1"/>
        <d v="2025-08-22T05:30:44" u="1"/>
        <d v="2025-08-22T05:30:51" u="1"/>
        <d v="2025-08-15T09:47:07" u="1"/>
        <d v="2025-08-28T10:33:45" u="1"/>
        <d v="2025-07-30T17:46:31" u="1"/>
        <d v="2025-08-15T09:48:20" u="1"/>
        <d v="2025-08-15T09:46:28" u="1"/>
        <d v="2025-08-25T16:51:42" u="1"/>
        <d v="2025-08-25T16:51:34" u="1"/>
        <d v="2025-08-28T09:30:44" u="1"/>
        <d v="2025-03-13T20:37:40" u="1"/>
        <d v="2025-08-19T15:01:21" u="1"/>
        <d v="2025-08-22T12:01:36" u="1"/>
        <d v="2025-09-03T09:24:24" u="1"/>
        <d v="2025-08-15T09:45:49" u="1"/>
        <d v="2025-08-25T08:31:04" u="1"/>
        <d v="2025-08-28T10:34:06" u="1"/>
        <d v="2025-08-28T10:34:26" u="1"/>
        <d v="2025-08-27T19:36:17" u="1"/>
        <d v="2025-08-27T19:36:27" u="1"/>
        <d v="2025-08-29T15:46:27" u="1"/>
        <d v="2025-08-15T13:07:00" u="1"/>
        <d v="2025-04-13T17:35:07" u="1"/>
        <d v="2025-08-07T18:17:38" u="1"/>
        <d v="2025-08-25T07:46:20" u="1"/>
        <d v="2025-08-29T12:46:05" u="1"/>
        <d v="2025-09-01T16:01:48" u="1"/>
        <d v="2025-08-22T05:30:37" u="1"/>
        <d v="2025-08-25T08:30:59" u="1"/>
        <d v="2025-08-28T10:34:37" u="1"/>
        <d v="2025-08-28T09:32:02" u="1"/>
        <d v="2025-08-29T12:46:42" u="1"/>
        <d v="2025-08-15T09:34:02" u="1"/>
        <d v="2025-09-03T16:09:33" u="1"/>
        <d v="2025-08-30T19:30:37" u="1"/>
        <d v="2025-08-30T19:33:40" u="1"/>
        <d v="2025-07-02T11:05:18" u="1"/>
        <d v="2025-04-01T15:49:02" u="1"/>
        <d v="2025-09-02T18:04:45" u="1"/>
        <d v="2025-09-02T11:47:36" u="1"/>
        <d v="2025-09-01T18:39:11" u="1"/>
        <d v="2025-08-25T19:16:24" u="1"/>
        <d v="2025-09-03T18:54:00" u="1"/>
        <d v="2025-08-28T16:08:41" u="1"/>
        <d v="2025-09-02T11:56:54" u="1"/>
        <d v="2025-09-02T10:35:55" u="1"/>
        <d v="2025-08-27T14:18:00" u="1"/>
        <d v="2025-08-29T18:06:32" u="1"/>
        <d v="2025-08-29T18:06:43" u="1"/>
        <d v="2025-09-03T12:10:12" u="1"/>
        <d v="2025-09-03T12:10:14" u="1"/>
        <d v="2025-09-03T12:11:08" u="1"/>
        <d v="2025-08-28T18:10:23" u="1"/>
        <d v="2025-09-02T18:12:50" u="1"/>
        <d v="2025-08-04T18:04:40" u="1"/>
        <d v="2025-09-03T18:06:15" u="1"/>
        <d v="2025-08-05T18:41:15" u="1"/>
        <d v="2025-08-19T00:16:51" u="1"/>
        <d v="2025-09-02T12:38:56" u="1"/>
        <d v="2025-09-03T12:02:17" u="1"/>
        <d v="2025-09-03T12:02:22" u="1"/>
        <d v="2025-09-03T12:02:25" u="1"/>
        <d v="2025-08-22T00:18:58" u="1"/>
        <d v="2025-09-04T00:30:22" u="1"/>
        <d v="2025-09-03T18:37:38" u="1"/>
        <d v="2025-09-03T18:37:48" u="1"/>
        <d v="2025-09-03T18:38:53" u="1"/>
        <d v="2025-09-03T18:40:01" u="1"/>
        <d v="2025-09-03T18:41:11" u="1"/>
        <d v="2025-09-03T12:23:49" u="1"/>
        <d v="2025-09-02T12:25:49" u="1"/>
        <d v="2025-08-30T12:02:01" u="1"/>
        <d v="2025-09-02T12:27:48" u="1"/>
        <d v="2025-08-25T19:32:49" u="1"/>
        <d v="2025-09-02T19:17:52" u="1"/>
        <d v="2025-09-02T19:17:55" u="1"/>
        <d v="2025-09-02T19:17:59" u="1"/>
        <d v="2025-09-04T00:38:36" u="1"/>
        <d v="2025-09-04T00:39:44" u="1"/>
        <d v="2025-09-04T00:39:48" u="1"/>
        <d v="2025-09-04T00:38:55" u="1"/>
        <d v="2025-09-03T12:38:20" u="1"/>
        <d v="2025-09-03T19:07:21" u="1"/>
        <d v="2025-09-03T19:07:38" u="1"/>
        <d v="2025-09-03T19:08:26" u="1"/>
        <d v="2025-09-03T19:08:39" u="1"/>
        <d v="2025-09-03T19:08:46" u="1"/>
        <d v="2025-09-03T19:08:58" u="1"/>
        <d v="2025-09-03T19:09:16" u="1"/>
        <d v="2025-09-03T19:09:33" u="1"/>
        <d v="2025-09-03T12:38:28" u="1"/>
        <d v="2025-09-03T12:38:39" u="1"/>
        <d v="2025-09-03T12:38:44" u="1"/>
        <d v="2025-08-21T11:46:31" u="1"/>
        <d v="2025-09-02T11:07:47" u="1"/>
        <d v="2025-08-21T10:20:46" u="1"/>
        <d v="2025-08-22T18:04:38" u="1"/>
        <d v="2025-08-25T12:10:50" u="1"/>
        <d v="2025-08-25T12:10:53" u="1"/>
        <d v="2025-08-25T18:41:04" u="1"/>
        <d v="2025-09-02T08:43:40" u="1"/>
        <d v="2025-08-29T18:27:10" u="1"/>
        <d v="2025-08-27T18:16:54" u="1"/>
        <d v="2025-08-25T00:01:51" u="1"/>
        <d v="2025-08-25T00:01:53" u="1"/>
        <d v="2025-08-25T00:01:56" u="1"/>
        <d v="2025-08-25T00:01:58" u="1"/>
        <d v="2025-08-25T00:01:55" u="1"/>
        <d v="2025-08-18T20:21:31" u="1"/>
        <d v="2025-08-25T07:46:55" u="1"/>
        <d v="2025-09-03T00:22:54" u="1"/>
        <d v="2025-09-03T00:23:11" u="1"/>
        <d v="2025-09-04T06:03:27" u="1"/>
        <d v="2025-09-04T06:04:11" u="1"/>
        <d v="2025-09-04T06:04:23" u="1"/>
        <d v="2025-09-04T00:05:14" u="1"/>
        <d v="2025-09-03T18:13:16" u="1"/>
        <d v="2025-09-03T18:13:44" u="1"/>
        <d v="2025-09-03T18:13:47" u="1"/>
        <d v="2025-08-29T18:10:04" u="1"/>
        <d v="2025-08-29T18:10:45" u="1"/>
        <d v="2025-09-03T05:01:20" u="1"/>
        <d v="2025-09-03T03:24:18" u="1"/>
        <d v="2025-09-02T07:27:16" u="1"/>
        <d v="2025-09-01T11:31:36" u="1"/>
        <d v="2025-08-11T18:16:16" u="1"/>
        <d v="2025-08-11T18:16:23" u="1"/>
        <d v="2025-08-11T18:16:08" u="1"/>
        <d v="2025-08-01T19:46:17" u="1"/>
        <d v="2025-09-02T16:46:33" u="1"/>
        <d v="2025-09-03T00:41:40" u="1"/>
        <d v="2025-09-02T14:18:49" u="1"/>
        <d v="2025-09-02T16:10:13" u="1"/>
        <d v="2025-09-02T18:37:48" u="1"/>
        <d v="2025-09-02T17:59:52" u="1"/>
        <d v="2025-09-02T17:30:18" u="1"/>
        <d v="2025-09-02T16:39:54" u="1"/>
        <d v="2025-09-02T15:46:01" u="1"/>
        <d v="2025-09-02T12:43:54" u="1"/>
        <d v="2025-09-02T12:39:52" u="1"/>
        <d v="2025-09-02T12:39:54" u="1"/>
        <d v="2025-09-01T17:31:54" u="1"/>
        <d v="2025-08-29T18:02:12" u="1"/>
        <d v="2025-09-02T19:02:59" u="1"/>
        <d v="2025-09-02T19:03:45" u="1"/>
        <d v="2025-07-30T12:58:31" u="1"/>
        <d v="2025-08-14T18:43:25" u="1"/>
        <d v="2025-08-14T18:44:59" u="1"/>
        <d v="2025-08-14T18:45:11" u="1"/>
        <d v="2025-09-02T18:37:27" u="1"/>
        <d v="2025-09-02T11:47:20" u="1"/>
        <d v="2025-09-02T11:47:12" u="1"/>
        <d v="2025-09-02T11:47:16" u="1"/>
        <d v="2025-08-04T16:06:35" u="1"/>
        <d v="2025-09-02T19:37:33" u="1"/>
        <d v="2025-09-02T15:34:04" u="1"/>
        <d v="2025-08-25T18:46:36" u="1"/>
        <d v="2025-08-25T18:46:41" u="1"/>
        <d v="2025-09-02T16:52:16" u="1"/>
        <d v="2025-09-02T12:38:00" u="1"/>
        <d v="2025-09-02T12:38:03" u="1"/>
        <d v="2025-08-30T18:02:37" u="1"/>
        <d v="2025-09-03T06:12:04" u="1"/>
        <d v="2025-09-03T06:09:45" u="1"/>
        <d v="2025-08-21T12:42:47" u="1"/>
        <d v="2025-09-02T18:48:33" u="1"/>
        <d v="2025-09-02T18:55:21" u="1"/>
        <d v="2025-09-03T06:09:18" u="1"/>
        <d v="2025-09-03T06:12:59" u="1"/>
        <d v="2025-09-01T16:01:34" u="1"/>
        <d v="2025-09-01T16:02:39" u="1"/>
        <d v="2025-08-17T16:01:50" u="1"/>
        <d v="2025-08-29T17:31:43" u="1"/>
        <d v="2025-08-28T10:46:06" u="1"/>
        <d v="2025-08-28T10:32:38" u="1"/>
        <d v="2025-08-01T15:18:06" u="1"/>
        <d v="2025-09-01T18:38:50" u="1"/>
        <d v="2025-09-02T12:07:27" u="1"/>
        <d v="2025-09-02T18:10:39" u="1"/>
        <d v="2025-09-02T12:25:44" u="1"/>
        <d v="2025-09-02T12:26:03" u="1"/>
        <d v="2025-09-02T00:28:01" u="1"/>
        <d v="2025-09-02T00:28:04" u="1"/>
        <d v="2025-09-02T19:13:29" u="1"/>
        <d v="2025-09-02T19:14:21" u="1"/>
        <d v="2025-09-02T12:44:09" u="1"/>
        <d v="2025-09-02T12:43:51" u="1"/>
        <d v="2025-07-25T15:55:33" u="1"/>
        <d v="2025-09-01T16:07:19" u="1"/>
        <d v="2025-08-29T18:48:03" u="1"/>
        <d v="2025-08-18T19:02:52" u="1"/>
        <d v="2025-08-07T12:41:08" u="1"/>
        <d v="2025-08-06T12:34:39" u="1"/>
        <d v="2025-08-04T12:26:38" u="1"/>
        <d v="2025-09-02T00:21:26" u="1"/>
        <d v="2025-08-29T18:10:29" u="1"/>
        <d v="2025-09-03T00:22:23" u="1"/>
        <d v="2025-09-03T00:22:58" u="1"/>
        <d v="2025-09-03T00:23:09" u="1"/>
        <d v="2025-09-03T00:23:34" u="1"/>
        <d v="2025-09-01T07:19:19" u="1"/>
        <d v="2025-09-02T03:30:20" u="1"/>
        <d v="2025-08-28T23:02:44" u="1"/>
        <d v="2025-09-01T14:47:34" u="1"/>
        <d v="2025-09-01T14:46:38" u="1"/>
        <d v="2025-09-01T14:46:44" u="1"/>
        <d v="2025-09-01T14:46:51" u="1"/>
        <d v="2025-09-01T14:46:59" u="1"/>
        <d v="2025-09-01T18:36:10" u="1"/>
        <d v="2025-09-01T18:36:14" u="1"/>
        <d v="2025-09-01T18:36:19" u="1"/>
        <d v="2025-09-01T17:34:08" u="1"/>
        <d v="2025-09-01T18:45:48" u="1"/>
        <d v="2025-09-01T18:48:01" u="1"/>
        <d v="2025-09-01T19:32:29" u="1"/>
        <d v="2025-09-01T17:36:35" u="1"/>
        <d v="2025-09-01T17:46:05" u="1"/>
        <d v="2025-09-01T18:23:49" u="1"/>
        <d v="2025-09-01T16:37:51" u="1"/>
        <d v="2025-09-01T17:20:07" u="1"/>
        <d v="2025-09-01T17:23:53" u="1"/>
        <d v="2025-09-01T15:35:51" u="1"/>
        <d v="2025-09-01T15:36:02" u="1"/>
        <d v="2025-09-01T15:25:58" u="1"/>
        <d v="2025-09-01T11:53:53" u="1"/>
        <d v="2025-09-01T13:11:49" u="1"/>
        <d v="2025-09-01T13:00:04" u="1"/>
        <d v="2025-09-01T13:00:05" u="1"/>
        <d v="2025-09-01T10:13:47" u="1"/>
        <d v="2025-09-01T12:49:49" u="1"/>
        <d v="2025-09-01T08:55:46" u="1"/>
        <d v="2025-08-31T10:11:47" u="1"/>
        <d v="2025-08-27T10:37:57" u="1"/>
        <d v="2025-09-01T14:50:56" u="1"/>
        <d v="2025-09-01T12:57:01" u="1"/>
        <d v="2025-08-29T15:55:39" u="1"/>
        <d v="2025-08-18T09:02:22" u="1"/>
        <d v="2025-08-20T16:32:25" u="1"/>
        <d v="2025-08-01T10:06:28" u="1"/>
        <d v="2025-08-01T17:08:00" u="1"/>
        <d v="2025-08-05T13:06:07" u="1"/>
        <d v="2025-08-07T15:06:30" u="1"/>
        <d v="2025-08-01T19:21:00" u="1"/>
        <d v="2025-09-01T14:51:21" u="1"/>
        <d v="2025-08-30T10:02:46" u="1"/>
        <d v="2025-09-01T18:34:15" u="1"/>
        <d v="2025-09-01T20:32:12" u="1"/>
        <d v="2025-09-02T00:06:29" u="1"/>
        <d v="2025-09-01T12:23:12" u="1"/>
        <d v="2025-09-01T12:24:01" u="1"/>
        <d v="2025-09-01T12:24:14" u="1"/>
        <d v="2025-08-29T18:36:45" u="1"/>
        <d v="2025-08-28T18:37:53" u="1"/>
        <d v="2025-09-01T18:24:35" u="1"/>
        <d v="2025-08-25T12:15:31" u="1"/>
        <d v="2025-08-29T13:56:57" u="1"/>
        <d v="2025-08-22T18:03:52" u="1"/>
        <d v="2025-09-01T14:01:25" u="1"/>
        <d v="2025-08-29T18:53:55" u="1"/>
        <d v="2025-09-02T00:23:02" u="1"/>
        <d v="2025-08-30T06:05:45" u="1"/>
        <d v="2025-09-01T18:43:01" u="1"/>
        <d v="2025-08-28T19:05:45" u="1"/>
        <d v="2025-09-01T18:23:59" u="1"/>
        <d v="2025-08-28T12:23:08" u="1"/>
        <d v="2025-09-01T12:20:31" u="1"/>
        <d v="2025-09-01T18:23:08" u="1"/>
        <d v="2025-08-28T12:19:22" u="1"/>
        <d v="2025-09-01T12:52:20" u="1"/>
        <d v="2025-08-29T18:05:19" u="1"/>
        <d v="2025-09-01T18:35:09" u="1"/>
        <d v="2025-08-29T08:20:26" u="1"/>
        <d v="2025-09-01T18:36:53" u="1"/>
        <d v="2025-08-22T13:16:04" u="1"/>
        <d v="2025-09-01T12:59:42" u="1"/>
        <d v="2025-09-01T21:10:20" u="1"/>
        <d v="2025-08-29T12:39:03" u="1"/>
        <d v="2025-09-01T12:56:35" u="1"/>
        <d v="2025-09-01T12:57:09" u="1"/>
        <d v="2025-09-01T12:57:29" u="1"/>
        <d v="2025-08-29T19:11:40" u="1"/>
        <d v="2025-08-29T19:11:58" u="1"/>
        <d v="2025-08-29T19:12:39" u="1"/>
        <d v="2025-08-29T19:12:53" u="1"/>
        <d v="2025-09-01T21:06:13" u="1"/>
        <d v="2025-09-01T21:07:05" u="1"/>
        <d v="2025-09-01T21:07:50" u="1"/>
        <d v="2025-09-01T21:08:04" u="1"/>
        <d v="2025-08-28T12:54:59" u="1"/>
        <d v="2025-08-28T12:55:16" u="1"/>
        <d v="2025-09-01T18:33:10" u="1"/>
        <d v="2025-09-01T15:46:33" u="1"/>
        <d v="2025-09-01T18:35:21" u="1"/>
        <d v="2025-09-01T18:34:57" u="1"/>
        <d v="2025-09-01T18:35:27" u="1"/>
        <d v="2025-08-29T18:32:19" u="1"/>
        <d v="2025-08-29T18:32:29" u="1"/>
        <d v="2025-09-01T18:20:58" u="1"/>
        <d v="2025-09-01T18:21:05" u="1"/>
        <d v="2025-08-28T18:31:58" u="1"/>
        <d v="2025-08-28T18:32:14" u="1"/>
        <d v="2025-08-28T17:10:42" u="1"/>
        <d v="2025-08-28T17:10:46" u="1"/>
        <d v="2025-08-29T15:05:31" u="1"/>
        <d v="2025-08-29T13:58:28" u="1"/>
        <d v="2025-08-26T11:02:43" u="1"/>
        <d v="2025-08-28T17:11:11" u="1"/>
        <d v="2025-09-01T12:32:45" u="1"/>
        <d v="2025-09-01T12:32:51" u="1"/>
        <d v="2025-09-01T12:33:33" u="1"/>
        <d v="2025-08-27T18:32:41" u="1"/>
        <d v="2025-09-01T18:30:26" u="1"/>
        <d v="2025-09-01T18:34:20" u="1"/>
        <d v="2025-08-30T00:22:15" u="1"/>
        <d v="2025-09-01T00:03:07" u="1"/>
        <d v="2025-08-28T18:44:50" u="1"/>
        <d v="2025-09-01T18:35:03" u="1"/>
        <d v="2025-09-01T18:33:21" u="1"/>
        <d v="2025-09-01T18:33:37" u="1"/>
        <d v="2025-08-21T16:15:47" u="1"/>
        <d v="2025-08-25T18:47:58" u="1"/>
        <d v="2025-08-08T10:15:55" u="1"/>
        <d v="2025-08-29T15:16:41" u="1"/>
        <d v="2025-09-01T16:02:21" u="1"/>
        <d v="2025-08-22T16:43:54" u="1"/>
        <d v="2025-09-01T18:32:30" u="1"/>
        <d v="2025-09-01T18:32:41" u="1"/>
        <d v="2025-09-01T18:34:33" u="1"/>
        <d v="2025-09-02T06:03:09" u="1"/>
        <d v="2025-08-29T18:48:55" u="1"/>
        <d v="2025-08-28T12:43:17" u="1"/>
        <d v="2025-08-28T18:56:33" u="1"/>
        <d v="2025-08-29T18:02:24" u="1"/>
        <d v="2025-09-01T12:02:21" u="1"/>
        <d v="2025-09-01T12:02:34" u="1"/>
        <d v="2025-09-01T18:01:49" u="1"/>
        <d v="2025-09-01T12:25:40" u="1"/>
        <d v="2025-09-01T12:26:37" u="1"/>
        <d v="2025-09-01T12:28:02" u="1"/>
        <d v="2025-08-29T00:10:04" u="1"/>
        <d v="2025-08-29T18:38:05" u="1"/>
        <d v="2025-08-29T18:39:18" u="1"/>
        <d v="2025-08-29T12:20:46" u="1"/>
        <d v="2025-07-10T12:14:46" u="1"/>
        <d v="2025-08-28T18:41:02" u="1"/>
        <d v="2025-09-02T00:15:59" u="1"/>
        <d v="2025-09-01T18:27:49" u="1"/>
        <d v="2025-09-01T18:26:25" u="1"/>
        <d v="2025-09-01T18:26:46" u="1"/>
        <d v="2025-08-28T12:29:21" u="1"/>
        <d v="2025-08-28T12:30:29" u="1"/>
        <d v="2025-08-28T19:13:55" u="1"/>
        <d v="2025-08-29T00:19:15" u="1"/>
        <d v="2025-08-29T00:19:26" u="1"/>
        <d v="2025-08-28T12:50:29" u="1"/>
        <d v="2025-08-28T12:50:47" u="1"/>
        <d v="2025-08-28T12:51:57" u="1"/>
        <d v="2025-08-28T12:52:08" u="1"/>
        <d v="2025-08-25T19:33:45" u="1"/>
        <d v="2025-09-01T12:48:29" u="1"/>
        <d v="2025-09-01T12:48:42" u="1"/>
        <d v="2025-09-01T12:48:52" u="1"/>
        <d v="2025-09-01T12:49:43" u="1"/>
        <d v="2025-08-30T06:09:51" u="1"/>
        <d v="2025-08-29T19:07:14" u="1"/>
        <d v="2025-08-28T19:13:47" u="1"/>
        <d v="2025-08-28T19:13:52" u="1"/>
        <d v="2025-08-28T19:16:01" u="1"/>
        <d v="2025-09-01T17:55:54" u="1"/>
        <d v="2025-08-28T16:40:45" u="1"/>
        <d v="2025-09-01T15:28:06" u="1"/>
        <d v="2025-09-01T17:16:13" u="1"/>
        <d v="2025-09-02T00:13:29" u="1"/>
        <d v="2025-09-01T16:07:08" u="1"/>
        <d v="2025-09-01T14:52:58" u="1"/>
        <d v="2025-09-01T13:35:47" u="1"/>
        <d v="2025-09-01T13:36:25" u="1"/>
        <d v="2025-08-29T12:49:57" u="1"/>
        <d v="2025-08-29T11:48:24" u="1"/>
        <d v="2025-08-26T16:18:15" u="1"/>
        <d v="2025-08-28T12:03:11" u="1"/>
        <d v="2025-08-22T17:49:07" u="1"/>
        <d v="2025-08-26T17:32:52" u="1"/>
        <d v="2025-08-26T15:47:32" u="1"/>
        <d v="2025-08-11T11:37:25" u="1"/>
        <d v="2025-08-13T08:47:59" u="1"/>
        <d v="2025-08-12T09:50:00" u="1"/>
        <d v="2025-09-02T00:15:05" u="1"/>
        <d v="2025-09-01T15:52:24" u="1"/>
        <d v="2025-08-15T12:06:39" u="1"/>
        <d v="2025-08-15T12:06:40" u="1"/>
        <d v="2025-08-15T12:07:00" u="1"/>
        <d v="2025-08-26T18:21:51" u="1"/>
        <d v="2025-08-28T18:20:00" u="1"/>
        <d v="2025-09-01T18:10:41" u="1"/>
        <d v="2025-09-02T00:08:04" u="1"/>
        <d v="2025-09-02T00:08:30" u="1"/>
        <d v="2025-09-02T00:08:42" u="1"/>
        <d v="2025-09-02T00:08:52" u="1"/>
        <d v="2025-08-30T00:09:41" u="1"/>
        <d v="2025-08-29T18:10:40" u="1"/>
        <d v="2025-09-01T12:09:12" u="1"/>
        <d v="2025-09-01T12:09:18" u="1"/>
        <d v="2025-09-01T12:09:31" u="1"/>
        <d v="2025-09-01T12:09:39" u="1"/>
        <d v="2025-09-01T12:09:47" u="1"/>
        <d v="2025-09-01T12:09:51" u="1"/>
        <d v="2025-08-28T18:18:09" u="1"/>
        <d v="2025-08-28T18:19:41" u="1"/>
        <d v="2025-08-28T18:19:44" u="1"/>
        <d v="2025-08-29T18:09:36" u="1"/>
        <d v="2025-08-29T18:10:01" u="1"/>
        <d v="2025-08-06T12:10:35" u="1"/>
        <d v="2025-08-06T12:10:39" u="1"/>
        <d v="2025-08-06T12:10:40" u="1"/>
        <d v="2025-08-29T12:10:23" u="1"/>
        <d v="2025-08-30T05:05:02" u="1"/>
        <d v="2025-08-30T05:05:03" u="1"/>
        <d v="2025-08-31T01:01:27" u="1"/>
        <d v="2025-08-29T18:45:09" u="1"/>
        <d v="2025-08-29T18:55:24" u="1"/>
        <d v="2025-08-29T16:01:56" u="1"/>
        <d v="2025-08-29T16:02:14" u="1"/>
        <d v="2025-08-29T16:02:30" u="1"/>
        <d v="2025-08-29T16:02:50" u="1"/>
        <d v="2025-08-29T16:16:49" u="1"/>
        <d v="2025-08-29T16:17:04" u="1"/>
        <d v="2025-08-29T18:18:16" u="1"/>
        <d v="2025-08-29T20:19:27" u="1"/>
        <d v="2025-08-29T18:20:28" u="1"/>
        <d v="2025-08-29T20:19:06" u="1"/>
        <d v="2025-08-29T18:20:10" u="1"/>
        <d v="2025-08-29T12:46:09" u="1"/>
        <d v="2025-08-29T18:27:51" u="1"/>
        <d v="2025-08-29T15:04:11" u="1"/>
        <d v="2025-08-29T15:04:13" u="1"/>
        <d v="2025-08-29T14:14:22" u="1"/>
        <d v="2025-08-29T14:19:54" u="1"/>
        <d v="2025-08-29T14:29:51" u="1"/>
        <d v="2025-08-30T12:17:44" u="1"/>
        <d v="2025-08-30T14:59:45" u="1"/>
        <d v="2025-08-30T15:03:44" u="1"/>
        <d v="2025-08-30T15:47:54" u="1"/>
        <d v="2025-08-29T19:19:53" u="1"/>
        <d v="2025-08-29T19:19:54" u="1"/>
        <d v="2025-08-29T19:27:47" u="1"/>
        <d v="2025-08-30T18:33:44" u="1"/>
        <d v="2025-08-30T18:33:45" u="1"/>
        <d v="2025-08-30T18:33:46" u="1"/>
        <d v="2025-08-30T18:57:43" u="1"/>
        <d v="2025-08-31T11:11:44" u="1"/>
        <d v="2025-08-30T12:25:44" u="1"/>
        <d v="2025-08-29T18:59:50" u="1"/>
        <d v="2025-08-29T17:51:49" u="1"/>
        <d v="2025-08-29T11:10:02" u="1"/>
        <d v="2025-08-29T11:21:50" u="1"/>
        <d v="2025-08-29T11:23:52" u="1"/>
        <d v="2025-08-29T12:22:07" u="1"/>
        <d v="2025-08-29T08:27:46" u="1"/>
        <d v="2025-08-29T16:53:50" u="1"/>
        <d v="2025-08-29T17:14:08" u="1"/>
        <d v="2025-08-29T17:14:10" u="1"/>
        <d v="2025-08-29T17:23:55" u="1"/>
        <d v="2025-08-29T17:24:13" u="1"/>
        <d v="2025-08-29T17:27:51" u="1"/>
        <d v="2025-08-29T17:28:01" u="1"/>
        <d v="2025-08-29T16:21:53" u="1"/>
        <d v="2025-08-29T16:23:58" u="1"/>
        <d v="2025-08-20T17:37:54" u="1"/>
        <d v="2025-08-21T15:06:33" u="1"/>
        <d v="2025-08-25T17:48:09" u="1"/>
        <d v="2025-08-25T17:48:28" u="1"/>
        <d v="2025-08-25T18:01:50" u="1"/>
        <d v="2025-08-25T18:02:13" u="1"/>
        <d v="2025-08-25T20:01:42" u="1"/>
        <d v="2025-08-29T18:19:59" u="1"/>
        <d v="2025-08-29T18:18:34" u="1"/>
        <d v="2025-08-29T11:04:07" u="1"/>
        <d v="2025-08-25T12:15:40" u="1"/>
        <d v="2025-08-29T15:19:22" u="1"/>
        <d v="2025-08-29T15:19:29" u="1"/>
        <d v="2025-08-23T12:21:31" u="1"/>
        <d v="2025-08-29T12:03:52" u="1"/>
        <d v="2025-08-29T19:17:12" u="1"/>
        <d v="2025-08-29T20:20:42" u="1"/>
        <d v="2025-08-29T11:52:24" u="1"/>
        <d v="2025-08-29T15:19:36" u="1"/>
        <d v="2025-08-22T18:31:14" u="1"/>
        <d v="2025-08-22T12:02:09" u="1"/>
        <d v="2025-08-22T12:01:08" u="1"/>
        <d v="2025-08-25T08:30:54" u="1"/>
        <d v="2025-08-29T15:11:54" u="1"/>
        <d v="2025-08-29T08:20:36" u="1"/>
        <d v="2025-08-29T14:03:00" u="1"/>
        <d v="2025-08-28T19:18:44" u="1"/>
        <d v="2025-08-29T15:20:24" u="1"/>
        <d v="2025-08-29T16:47:31" u="1"/>
        <d v="2025-08-28T18:31:57" u="1"/>
        <d v="2025-08-28T19:16:28" u="1"/>
        <d v="2025-08-29T20:04:58" u="1"/>
        <d v="2025-08-29T20:19:46" u="1"/>
        <d v="2025-08-29T20:19:53" u="1"/>
        <d v="2025-08-29T15:21:54" u="1"/>
        <d v="2025-08-30T10:03:21" u="1"/>
        <d v="2025-08-30T00:09:26" u="1"/>
        <d v="2025-08-28T17:21:13" u="1"/>
        <d v="2025-08-28T17:37:23" u="1"/>
        <d v="2025-08-28T19:04:40" u="1"/>
        <d v="2025-08-28T18:48:35" u="1"/>
        <d v="2025-08-26T19:48:09" u="1"/>
        <d v="2025-08-28T17:45:12" u="1"/>
        <d v="2025-08-28T17:46:39" u="1"/>
        <d v="2025-08-28T17:45:08" u="1"/>
        <d v="2025-08-28T10:02:08" u="1"/>
        <d v="2025-08-28T15:37:52" u="1"/>
        <d v="2025-08-28T12:24:48" u="1"/>
        <d v="2025-08-06T00:16:49" u="1"/>
        <d v="2025-08-06T00:20:49" u="1"/>
        <d v="2025-08-28T18:58:59" u="1"/>
        <d v="2025-08-11T17:47:23" u="1"/>
        <d v="2025-08-06T14:31:15" u="1"/>
        <d v="2025-08-05T09:31:41" u="1"/>
        <d v="2025-08-04T18:45:50" u="1"/>
        <d v="2025-08-28T15:01:37" u="1"/>
        <d v="2025-08-11T17:31:40" u="1"/>
        <d v="2025-08-28T16:46:38" u="1"/>
        <d v="2025-08-27T16:47:09" u="1"/>
        <d v="2025-08-28T10:31:26" u="1"/>
        <d v="2025-08-26T14:01:20" u="1"/>
        <d v="2025-08-26T10:16:17" u="1"/>
        <d v="2025-08-28T18:19:16" u="1"/>
        <d v="2025-08-15T09:33:06" u="1"/>
        <d v="2025-08-15T09:47:00" u="1"/>
        <d v="2025-08-15T09:49:09" u="1"/>
        <d v="2025-08-15T09:51:32" u="1"/>
        <d v="2025-08-28T13:31:15" u="1"/>
        <d v="2025-08-28T16:31:15" u="1"/>
        <d v="2025-08-07T19:00:48" u="1"/>
        <d v="2025-08-28T10:31:51" u="1"/>
        <d v="2025-08-25T11:00:56" u="1"/>
        <d v="2025-08-28T17:34:27" u="1"/>
        <d v="2025-08-28T10:33:54" u="1"/>
        <d v="2025-08-28T10:34:00" u="1"/>
        <d v="2025-08-29T00:12:35" u="1"/>
        <d v="2025-08-28T15:51:09" u="1"/>
        <d v="2025-08-28T18:03:00" u="1"/>
        <d v="2025-08-28T11:57:06" u="1"/>
        <d v="2025-08-28T10:28:08" u="1"/>
        <d v="2025-08-25T15:01:40" u="1"/>
        <d v="2025-08-28T15:16:57" u="1"/>
        <d v="2025-08-28T17:10:53" u="1"/>
        <d v="2025-08-28T15:17:38" u="1"/>
        <d v="2025-08-26T19:24:15" u="1"/>
        <d v="2025-08-26T19:24:17" u="1"/>
        <d v="2025-08-26T19:24:20" u="1"/>
        <d v="2025-08-26T19:24:34" u="1"/>
        <d v="2025-08-29T00:14:42" u="1"/>
        <d v="2025-08-28T06:16:59" u="1"/>
        <d v="2025-08-28T15:14:35" u="1"/>
        <d v="2025-08-28T15:14:37" u="1"/>
        <d v="2025-08-28T10:23:08" u="1"/>
        <d v="2025-08-28T10:17:56" u="1"/>
        <d v="2025-07-24T15:00:38" u="1"/>
        <d v="2025-07-28T14:00:35" u="1"/>
        <d v="2025-07-28T14:00:36" u="1"/>
        <d v="2025-07-31T10:00:41" u="1"/>
        <d v="2025-07-31T10:00:42" u="1"/>
        <d v="2025-07-31T10:00:45" u="1"/>
        <d v="2025-07-31T10:00:46" u="1"/>
        <d v="2025-07-31T10:00:47" u="1"/>
        <d v="2025-07-18T15:02:18" u="1"/>
        <d v="2025-07-22T18:00:41" u="1"/>
        <d v="2025-07-22T18:00:43" u="1"/>
        <d v="2025-07-23T10:00:33" u="1"/>
        <d v="2025-07-16T18:04:07" u="1"/>
        <d v="2025-08-25T12:05:19" u="1"/>
        <d v="2025-08-27T12:03:20" u="1"/>
        <d v="2025-08-26T12:05:31" u="1"/>
        <d v="2025-08-27T18:04:34" u="1"/>
        <d v="2025-08-27T18:07:04" u="1"/>
        <d v="2025-08-13T00:18:13" u="1"/>
        <d v="2025-08-28T12:41:49" u="1"/>
        <d v="2025-08-28T06:09:07" u="1"/>
        <d v="2025-08-27T12:05:04" u="1"/>
        <d v="2025-08-28T06:10:06" u="1"/>
        <d v="2025-08-28T18:19:53" u="1"/>
        <d v="2025-08-28T18:42:11" u="1"/>
        <d v="2025-08-29T00:10:15" u="1"/>
        <d v="2025-08-28T17:05:53" u="1"/>
        <d v="2025-08-28T17:06:05" u="1"/>
        <d v="2025-08-28T17:03:18" u="1"/>
        <d v="2025-08-28T18:31:10" u="1"/>
        <d v="2025-08-28T17:28:08" u="1"/>
        <d v="2025-08-28T16:35:58" u="1"/>
        <d v="2025-08-28T17:49:56" u="1"/>
        <d v="2025-08-28T17:49:58" u="1"/>
        <d v="2025-08-27T16:01:55" u="1"/>
        <d v="2025-08-28T16:37:55" u="1"/>
        <d v="2025-08-28T16:46:16" u="1"/>
        <d v="2025-08-28T15:43:25" u="1"/>
        <d v="2025-08-28T16:04:18" u="1"/>
        <d v="2025-08-28T17:54:05" u="1"/>
        <d v="2025-08-28T09:53:48" u="1"/>
        <d v="2025-08-28T16:29:55" u="1"/>
        <d v="2025-08-28T16:00:49" u="1"/>
        <d v="2025-08-28T18:32:43" u="1"/>
        <d v="2025-08-28T18:34:51" u="1"/>
        <d v="2025-08-28T14:45:50" u="1"/>
        <d v="2025-08-28T14:01:59" u="1"/>
        <d v="2025-08-28T17:46:12" u="1"/>
        <d v="2025-08-27T16:33:57" u="1"/>
        <d v="2025-08-28T12:06:08" u="1"/>
        <d v="2025-08-28T19:49:52" u="1"/>
        <d v="2025-08-28T16:37:57" u="1"/>
        <d v="2025-08-28T15:55:36" u="1"/>
        <d v="2025-08-28T16:47:56" u="1"/>
        <d v="2025-08-28T16:13:56" u="1"/>
        <d v="2025-08-15T18:48:14" u="1"/>
        <d v="2025-08-29T01:01:26" u="1"/>
        <d v="2025-08-28T10:07:57" u="1"/>
        <d v="2025-08-28T13:36:12" u="1"/>
        <d v="2025-08-27T17:28:15" u="1"/>
        <d v="2025-08-28T18:32:57" u="1"/>
        <d v="2025-08-28T18:33:29" u="1"/>
        <d v="2025-08-28T10:35:40" u="1"/>
        <d v="2025-08-28T17:31:25" u="1"/>
        <d v="2025-08-18T12:46:42" u="1"/>
        <d v="2025-08-28T18:33:50" u="1"/>
        <d v="2025-08-28T10:02:35" u="1"/>
        <d v="2025-08-28T10:55:57" u="1"/>
        <d v="2025-08-28T18:03:32" u="1"/>
        <d v="2025-08-14T11:47:14" u="1"/>
        <d v="2025-08-29T00:15:56" u="1"/>
        <d v="2025-08-28T03:15:18" u="1"/>
        <d v="2025-08-28T12:34:15" u="1"/>
        <d v="2025-08-28T08:21:44" u="1"/>
        <d v="2025-08-26T13:20:16" u="1"/>
        <d v="2025-08-27T12:55:52" u="1"/>
        <d v="2025-08-28T13:47:47" u="1"/>
        <d v="2025-08-28T15:08:45" u="1"/>
        <d v="2025-08-28T17:57:50" u="1"/>
        <d v="2025-08-28T18:00:07" u="1"/>
        <d v="2025-08-26T13:05:52" u="1"/>
        <d v="2025-08-28T16:46:31" u="1"/>
        <d v="2025-08-28T09:07:45" u="1"/>
        <d v="2025-08-28T19:51:51" u="1"/>
        <d v="2025-08-28T16:41:52" u="1"/>
        <d v="2025-08-28T10:15:50" u="1"/>
        <d v="2025-08-27T16:26:00" u="1"/>
        <d v="2025-08-27T17:57:49" u="1"/>
        <d v="2025-08-28T13:51:47" u="1"/>
        <d v="2025-08-26T09:33:49" u="1"/>
        <d v="2025-08-28T18:08:55" u="1"/>
        <d v="2025-08-28T18:08:56" u="1"/>
        <d v="2025-08-27T12:53:54" u="1"/>
        <d v="2025-08-25T18:02:25" u="1"/>
        <d v="2025-08-28T18:34:31" u="1"/>
        <d v="2025-08-28T18:03:39" u="1"/>
        <d v="2025-08-25T12:06:18" u="1"/>
        <d v="2025-08-28T18:03:44" u="1"/>
        <d v="2025-08-28T18:03:19" u="1"/>
        <d v="2025-08-28T15:54:55" u="1"/>
        <d v="2025-08-28T10:23:39" u="1"/>
        <d v="2025-08-05T23:04:56" u="1"/>
        <d v="2025-08-25T11:18:55" u="1"/>
        <d v="2025-08-27T12:17:55" u="1"/>
        <d v="2025-08-27T10:56:11" u="1"/>
        <d v="2025-08-26T19:47:14" u="1"/>
        <d v="2025-08-26T00:19:10" u="1"/>
        <d v="2025-08-26T12:54:27" u="1"/>
        <d v="2025-08-26T12:54:58" u="1"/>
        <d v="2025-08-27T10:46:13" u="1"/>
        <d v="2025-08-27T10:46:18" u="1"/>
        <d v="2025-08-27T10:32:02" u="1"/>
        <d v="2025-08-25T19:15:18" u="1"/>
        <d v="2025-08-27T12:28:23" u="1"/>
        <d v="2025-08-27T00:14:33" u="1"/>
        <d v="2025-08-26T19:20:55" u="1"/>
        <d v="2025-08-26T00:15:56" u="1"/>
        <d v="2025-08-27T18:47:27" u="1"/>
        <d v="2025-08-27T11:32:16" u="1"/>
        <d v="2025-08-27T12:35:00" u="1"/>
        <d v="2025-08-27T12:35:31" u="1"/>
        <d v="2025-08-27T12:35:36" u="1"/>
        <d v="2025-08-26T17:01:56" u="1"/>
        <d v="2025-08-27T23:25:41" u="1"/>
        <d v="2025-08-27T17:20:55" u="1"/>
        <d v="2025-08-26T10:56:38" u="1"/>
        <d v="2025-08-25T22:46:35" u="1"/>
        <d v="2025-08-26T17:00:59" u="1"/>
        <d v="2025-08-28T06:10:41" u="1"/>
        <d v="2025-08-28T06:11:05" u="1"/>
        <d v="2025-08-26T12:24:42" u="1"/>
        <d v="2025-08-27T14:02:36" u="1"/>
        <d v="2025-08-26T09:01:19" u="1"/>
        <d v="2025-08-27T11:46:30" u="1"/>
        <d v="2025-08-26T11:17:35" u="1"/>
        <d v="2025-08-26T17:47:46" u="1"/>
        <d v="2025-08-27T18:25:46" u="1"/>
        <d v="2025-08-27T12:18:52" u="1"/>
        <d v="2025-08-26T12:29:45" u="1"/>
        <d v="2025-08-25T18:52:45" u="1"/>
        <d v="2025-08-25T18:52:21" u="1"/>
        <d v="2025-08-26T18:39:29" u="1"/>
        <d v="2025-08-26T19:26:23" u="1"/>
        <d v="2025-08-26T19:36:00" u="1"/>
        <d v="2025-08-27T18:51:39" u="1"/>
        <d v="2025-08-26T12:45:52" u="1"/>
        <d v="2025-08-26T12:45:56" u="1"/>
        <d v="2025-08-26T16:16:58" u="1"/>
        <d v="2025-08-12T09:01:09" u="1"/>
        <d v="2025-08-27T16:47:12" u="1"/>
        <d v="2025-08-22T16:01:14" u="1"/>
        <d v="2025-08-22T18:30:58" u="1"/>
        <d v="2025-08-19T16:00:54" u="1"/>
        <d v="2025-08-26T11:16:05" u="1"/>
        <d v="2025-08-25T15:01:02" u="1"/>
        <d v="2025-08-26T11:16:10" u="1"/>
        <d v="2025-08-27T09:31:19" u="1"/>
        <d v="2025-08-21T16:30:48" u="1"/>
        <d v="2025-08-26T18:45:59" u="1"/>
        <d v="2025-08-27T09:31:23" u="1"/>
        <d v="2025-08-22T17:47:23" u="1"/>
        <d v="2025-08-26T15:03:45" u="1"/>
        <d v="2025-08-27T17:48:19" u="1"/>
        <d v="2025-08-28T06:16:24" u="1"/>
        <d v="2025-08-27T18:21:59" u="1"/>
        <d v="2025-08-28T06:16:35" u="1"/>
        <d v="2025-08-26T18:34:36" u="1"/>
        <d v="2025-08-25T18:46:26" u="1"/>
        <d v="2025-08-26T12:27:06" u="1"/>
        <d v="2025-08-25T18:44:44" u="1"/>
        <d v="2025-08-25T18:45:03" u="1"/>
        <d v="2025-08-26T10:00:39" u="1"/>
        <d v="2025-08-26T10:00:42" u="1"/>
        <d v="2025-08-25T16:02:51" u="1"/>
        <d v="2025-08-27T12:23:57" u="1"/>
        <d v="2025-08-20T06:15:06" u="1"/>
        <d v="2025-08-20T18:29:42" u="1"/>
        <d v="2025-08-21T12:44:11" u="1"/>
        <d v="2025-08-26T12:39:19" u="1"/>
        <d v="2025-08-15T18:35:30" u="1"/>
        <d v="2025-08-26T18:48:46" u="1"/>
        <d v="2025-08-27T18:32:56" u="1"/>
        <d v="2025-08-26T19:04:42" u="1"/>
        <d v="2025-08-14T18:38:10" u="1"/>
        <d v="2025-08-22T00:19:55" u="1"/>
        <d v="2025-08-22T12:31:57" u="1"/>
        <d v="2025-08-26T18:47:34" u="1"/>
        <d v="2025-08-27T18:24:37" u="1"/>
        <d v="2025-08-26T18:37:15" u="1"/>
        <d v="2025-08-25T18:02:47" u="1"/>
        <d v="2025-08-25T18:03:17" u="1"/>
        <d v="2025-08-25T18:04:49" u="1"/>
        <d v="2025-08-27T18:01:53" u="1"/>
        <d v="2025-08-25T18:47:57" u="1"/>
        <d v="2025-08-28T00:08:43" u="1"/>
        <d v="2025-08-26T12:27:24" u="1"/>
        <d v="2025-08-26T12:48:41" u="1"/>
        <d v="2025-08-25T19:33:42" u="1"/>
        <d v="2025-08-25T19:33:54" u="1"/>
        <d v="2025-08-27T19:03:24" u="1"/>
        <d v="2025-08-26T19:42:00" u="1"/>
        <d v="2025-08-26T19:42:06" u="1"/>
        <d v="2025-08-27T12:31:42" u="1"/>
        <d v="2025-08-27T12:31:44" u="1"/>
        <d v="2025-08-27T12:32:07" u="1"/>
        <d v="2025-08-27T18:44:43" u="1"/>
        <d v="2025-08-26T18:48:08" u="1"/>
        <d v="2025-08-21T08:19:13" u="1"/>
        <d v="2025-08-21T08:47:21" u="1"/>
        <d v="2025-08-20T13:03:30" u="1"/>
        <d v="2025-08-18T10:03:06" u="1"/>
        <d v="2025-08-18T10:03:15" u="1"/>
        <d v="2025-08-22T15:47:29" u="1"/>
        <d v="2025-08-25T09:33:34" u="1"/>
        <d v="2025-08-28T06:10:20" u="1"/>
        <d v="2025-08-28T06:10:21" u="1"/>
        <d v="2025-08-26T12:10:33" u="1"/>
        <d v="2025-08-25T18:20:12" u="1"/>
        <d v="2025-08-25T18:20:15" u="1"/>
        <d v="2025-08-25T18:20:58" u="1"/>
        <d v="2025-08-26T18:21:32" u="1"/>
        <d v="2025-08-26T18:21:47" u="1"/>
        <d v="2025-08-26T18:21:55" u="1"/>
        <d v="2025-08-26T18:22:11" u="1"/>
        <d v="2025-08-27T12:05:25" u="1"/>
        <d v="2025-08-28T06:09:40" u="1"/>
        <d v="2025-08-28T06:09:49" u="1"/>
        <d v="2025-08-28T06:10:01" u="1"/>
        <d v="2025-08-28T06:08:09" u="1"/>
        <d v="2025-08-28T06:08:41" u="1"/>
        <d v="2025-08-28T06:08:50" u="1"/>
        <d v="2025-08-28T06:08:53" u="1"/>
        <d v="2025-08-27T06:03:57" u="1"/>
        <d v="2025-08-28T06:10:25" u="1"/>
        <d v="2025-08-27T12:21:28" u="1"/>
        <d v="2025-08-26T18:44:45" u="1"/>
        <d v="2025-08-26T00:10:43" u="1"/>
        <d v="2025-08-26T18:41:59" u="1"/>
        <d v="2025-08-26T00:11:01" u="1"/>
        <d v="2025-08-25T18:53:31" u="1"/>
        <d v="2025-08-26T00:10:30" u="1"/>
        <d v="2025-08-27T12:20:52" u="1"/>
        <d v="2025-08-07T17:09:00" u="1"/>
        <d v="2025-08-13T12:33:00" u="1"/>
        <d v="2025-08-12T18:08:58" u="1"/>
        <d v="2025-08-27T18:23:37" u="1"/>
        <d v="2025-08-27T18:28:21" u="1"/>
        <d v="2025-08-27T00:11:08" u="1"/>
        <d v="2025-08-27T00:11:44" u="1"/>
        <d v="2025-08-28T00:10:38" u="1"/>
        <d v="2025-08-27T00:12:30" u="1"/>
        <d v="2025-08-27T00:12:34" u="1"/>
        <d v="2025-08-27T00:12:38" u="1"/>
        <d v="2025-08-27T00:12:43" u="1"/>
        <d v="2025-08-27T00:12:47" u="1"/>
        <d v="2025-08-13T11:02:21" u="1"/>
        <d v="2025-08-21T16:58:31" u="1"/>
        <d v="2025-08-26T16:17:50" u="1"/>
        <d v="2025-08-27T08:31:54" u="1"/>
        <d v="2025-08-25T10:17:34" u="1"/>
        <d v="2025-08-27T17:21:37" u="1"/>
        <d v="2025-08-26T18:23:51" u="1"/>
        <d v="2025-08-27T12:29:55" u="1"/>
        <d v="2025-08-27T17:23:52" u="1"/>
        <d v="2025-08-27T09:36:03" u="1"/>
        <d v="2025-08-26T10:41:52" u="1"/>
        <d v="2025-08-27T12:58:03" u="1"/>
        <d v="2025-08-27T17:00:01" u="1"/>
        <d v="2025-08-26T16:31:54" u="1"/>
        <d v="2025-08-15T11:22:51" u="1"/>
        <d v="2025-07-25T17:02:24" u="1"/>
        <d v="2025-08-27T19:37:32" u="1"/>
        <d v="2025-08-27T19:37:17" u="1"/>
        <d v="2025-08-27T19:16:12" u="1"/>
        <d v="2025-08-26T20:34:07" u="1"/>
        <d v="2025-08-26T20:46:35" u="1"/>
        <d v="2025-08-27T16:59:57" u="1"/>
        <d v="2025-08-26T10:06:25" u="1"/>
        <d v="2025-08-26T09:17:45" u="1"/>
        <d v="2025-08-27T17:30:03" u="1"/>
        <d v="2025-08-27T13:41:55" u="1"/>
        <d v="2025-08-27T14:01:52" u="1"/>
        <d v="2025-08-27T09:47:47" u="1"/>
        <d v="2025-08-27T12:42:01" u="1"/>
        <d v="2025-08-27T12:44:01" u="1"/>
        <d v="2025-08-19T19:35:29" u="1"/>
        <d v="2025-08-19T19:54:51" u="1"/>
        <d v="2025-08-27T16:16:07" u="1"/>
        <d v="2025-08-27T19:33:52" u="1"/>
        <d v="2025-08-27T15:05:57" u="1"/>
        <d v="2025-08-14T15:15:14" u="1"/>
        <d v="2025-08-27T16:57:48" u="1"/>
        <d v="2025-08-26T09:46:22" u="1"/>
        <d v="2025-08-27T13:04:00" u="1"/>
        <d v="2025-08-27T09:47:05" u="1"/>
        <d v="2025-08-15T19:02:59" u="1"/>
        <d v="2025-08-27T19:35:52" u="1"/>
        <d v="2025-08-15T16:10:39" u="1"/>
        <d v="2025-08-15T16:10:45" u="1"/>
        <d v="2025-08-14T21:19:22" u="1"/>
        <d v="2025-08-15T16:09:59" u="1"/>
        <d v="2025-08-21T20:33:08" u="1"/>
        <d v="2025-08-25T16:48:10" u="1"/>
        <d v="2025-08-15T17:33:58" u="1"/>
        <d v="2025-08-27T12:36:04" u="1"/>
        <d v="2025-08-27T18:55:33" u="1"/>
        <d v="2025-08-27T17:05:18" u="1"/>
        <d v="2025-08-15T17:21:05" u="1"/>
        <d v="2025-08-15T17:19:58" u="1"/>
        <d v="2025-08-15T16:10:12" u="1"/>
        <d v="2025-08-27T14:32:00" u="1"/>
        <d v="2025-08-15T16:09:32" u="1"/>
        <d v="2025-08-19T12:17:04" u="1"/>
        <d v="2025-08-15T17:33:50" u="1"/>
        <d v="2025-08-15T17:33:33" u="1"/>
        <d v="2025-08-15T17:33:03" u="1"/>
        <d v="2025-08-15T17:33:22" u="1"/>
        <d v="2025-08-15T16:14:28" u="1"/>
        <d v="2025-08-15T16:10:28" u="1"/>
        <d v="2025-08-15T19:19:13" u="1"/>
        <d v="2025-07-07T18:30:42" u="1"/>
        <d v="2025-08-16T21:40:32" u="1"/>
        <d v="2025-08-27T15:59:52" u="1"/>
        <d v="2025-08-27T09:09:46" u="1"/>
        <d v="2025-08-26T17:41:54" u="1"/>
        <d v="2025-08-27T10:05:48" u="1"/>
        <d v="2025-08-27T18:45:58" u="1"/>
        <d v="2025-08-26T10:31:52" u="1"/>
        <d v="2025-08-27T14:33:54" u="1"/>
        <d v="2025-08-27T14:38:10" u="1"/>
        <d v="2025-08-26T17:45:57" u="1"/>
        <d v="2025-08-27T12:56:27" u="1"/>
        <d v="2025-08-26T15:41:50" u="1"/>
        <d v="2025-08-26T18:44:51" u="1"/>
        <d v="2025-08-27T13:16:56" u="1"/>
        <d v="2025-08-27T17:39:58" u="1"/>
        <d v="2025-08-27T18:17:12" u="1"/>
        <d v="2025-08-15T17:20:11" u="1"/>
        <d v="2025-08-27T13:18:08" u="1"/>
        <d v="2025-08-27T11:55:41" u="1"/>
        <d v="2025-08-26T16:17:03" u="1"/>
        <d v="2025-08-28T00:14:01" u="1"/>
        <d v="2025-08-05T16:11:09" u="1"/>
        <d v="2025-08-17T20:04:42" u="1"/>
        <d v="2025-08-26T18:17:10" u="1"/>
        <d v="2025-08-04T17:02:56" u="1"/>
        <d v="2025-08-04T17:04:45" u="1"/>
        <d v="2025-08-22T16:16:52" u="1"/>
        <d v="2025-08-21T18:23:42" u="1"/>
        <d v="2025-08-25T08:46:13" u="1"/>
        <d v="2025-08-25T08:46:19" u="1"/>
        <d v="2025-08-26T08:01:27" u="1"/>
        <d v="2025-08-27T00:10:04" u="1"/>
        <d v="2025-08-26T18:05:48" u="1"/>
        <d v="2025-07-31T18:50:17" u="1"/>
        <d v="2025-08-22T09:32:04" u="1"/>
        <d v="2025-08-21T08:17:18" u="1"/>
        <d v="2025-08-21T08:31:17" u="1"/>
        <d v="2025-08-22T16:46:14" u="1"/>
        <d v="2025-08-21T12:32:10" u="1"/>
        <d v="2025-08-22T13:16:19" u="1"/>
        <d v="2025-08-22T11:30:35" u="1"/>
        <d v="2025-08-22T11:31:12" u="1"/>
        <d v="2025-08-22T11:45:52" u="1"/>
        <d v="2025-08-26T16:15:46" u="1"/>
        <d v="2025-08-26T11:31:50" u="1"/>
        <d v="2025-08-26T14:01:32" u="1"/>
        <d v="2025-08-22T05:31:21" u="1"/>
        <d v="2025-08-26T18:46:03" u="1"/>
        <d v="2025-08-22T19:30:33" u="1"/>
        <d v="2025-08-26T08:17:07" u="1"/>
        <d v="2025-08-22T13:46:16" u="1"/>
        <d v="2025-08-26T08:32:32" u="1"/>
        <d v="2025-08-25T16:46:36" u="1"/>
        <d v="2025-08-27T00:16:17" u="1"/>
        <d v="2025-08-27T00:16:21" u="1"/>
        <d v="2025-08-27T00:16:22" u="1"/>
        <d v="2025-08-27T00:16:26" u="1"/>
        <d v="2025-08-27T00:16:29" u="1"/>
        <d v="2025-08-27T06:10:05" u="1"/>
        <d v="2025-08-27T06:10:08" u="1"/>
        <d v="2025-08-27T06:10:11" u="1"/>
        <d v="2025-08-21T17:03:36" u="1"/>
        <d v="2025-08-11T09:00:58" u="1"/>
        <d v="2025-08-11T09:01:03" u="1"/>
        <d v="2025-07-29T09:01:00" u="1"/>
        <d v="2025-07-29T09:01:02" u="1"/>
        <d v="2025-07-29T09:01:04" u="1"/>
        <d v="2025-07-30T10:01:00" u="1"/>
        <d v="2025-07-31T10:00:50" u="1"/>
        <d v="2025-07-28T14:00:37" u="1"/>
        <d v="2025-07-28T14:00:38" u="1"/>
        <d v="2025-07-28T14:00:39" u="1"/>
        <d v="2025-07-28T14:00:40" u="1"/>
        <d v="2025-07-28T14:00:41" u="1"/>
        <d v="2025-07-28T14:00:42" u="1"/>
        <d v="2025-07-28T16:00:37" u="1"/>
        <d v="2025-07-18T15:02:11" u="1"/>
        <d v="2025-07-18T15:02:12" u="1"/>
        <d v="2025-07-18T15:02:13" u="1"/>
        <d v="2025-07-18T16:02:18" u="1"/>
        <d v="2025-07-18T16:02:19" u="1"/>
        <d v="2025-07-22T17:01:04" u="1"/>
        <d v="2025-08-15T17:02:07" u="1"/>
        <d v="2025-08-25T16:02:01" u="1"/>
        <d v="2025-08-26T09:01:08" u="1"/>
        <d v="2025-08-14T16:47:19" u="1"/>
        <d v="2025-08-26T17:47:29" u="1"/>
        <d v="2025-08-26T17:47:34" u="1"/>
        <d v="2025-08-08T10:46:54" u="1"/>
        <d v="2025-08-06T15:32:23" u="1"/>
        <d v="2025-08-26T16:17:53" u="1"/>
        <d v="2025-08-26T19:48:16" u="1"/>
        <d v="2025-08-26T11:03:21" u="1"/>
        <d v="2025-08-26T16:23:49" u="1"/>
        <d v="2025-08-26T00:04:49" u="1"/>
        <d v="2025-08-27T00:06:16" u="1"/>
        <d v="2025-08-15T17:34:06" u="1"/>
        <d v="2025-08-26T19:46:40" u="1"/>
        <d v="2025-08-25T14:17:06" u="1"/>
        <d v="2025-08-26T18:33:37" u="1"/>
        <d v="2025-08-12T10:04:54" u="1"/>
        <d v="2025-08-26T18:29:50" u="1"/>
        <d v="2025-08-26T15:55:49" u="1"/>
        <d v="2025-08-26T17:11:51" u="1"/>
        <d v="2025-08-26T14:37:51" u="1"/>
        <d v="2025-08-14T18:01:37" u="1"/>
        <d v="2025-08-13T17:25:48" u="1"/>
        <d v="2025-08-26T16:11:56" u="1"/>
        <d v="2025-08-26T18:54:11" u="1"/>
        <d v="2025-08-26T16:23:48" u="1"/>
        <d v="2025-08-26T19:46:23" u="1"/>
        <d v="2025-08-26T19:32:21" u="1"/>
        <d v="2025-08-26T11:33:15" u="1"/>
        <d v="2025-08-26T11:02:05" u="1"/>
        <d v="2025-08-25T18:49:02" u="1"/>
        <d v="2025-08-14T11:56:32" u="1"/>
        <d v="2025-08-26T20:37:46" u="1"/>
        <d v="2025-08-26T19:46:35" u="1"/>
        <d v="2025-08-04T11:41:37" u="1"/>
        <d v="2025-08-04T11:41:40" u="1"/>
        <d v="2025-08-26T08:32:04" u="1"/>
        <d v="2025-08-26T11:33:18" u="1"/>
        <d v="2025-08-26T08:16:49" u="1"/>
        <d v="2025-08-15T15:25:38" u="1"/>
        <d v="2025-08-20T19:32:13" u="1"/>
        <d v="2025-08-25T13:47:16" u="1"/>
        <d v="2025-08-25T14:03:11" u="1"/>
        <d v="2025-08-25T16:59:16" u="1"/>
        <d v="2025-08-25T19:47:03" u="1"/>
        <d v="2025-08-19T17:36:08" u="1"/>
        <d v="2025-08-20T17:55:12" u="1"/>
        <d v="2025-08-20T18:06:59" u="1"/>
        <d v="2025-08-25T16:41:53" u="1"/>
        <d v="2025-08-25T16:42:54" u="1"/>
        <d v="2025-08-25T18:02:34" u="1"/>
        <d v="2025-08-25T16:42:25" u="1"/>
        <d v="2025-08-22T11:16:25" u="1"/>
        <d v="2025-08-19T14:55:33" u="1"/>
        <d v="2025-08-25T16:55:34" u="1"/>
        <d v="2025-08-25T19:23:52" u="1"/>
        <d v="2025-08-22T13:04:52" u="1"/>
        <d v="2025-08-18T19:54:28" u="1"/>
        <d v="2025-08-25T19:06:14" u="1"/>
        <d v="2025-08-25T17:45:49" u="1"/>
        <d v="2025-08-25T17:45:59" u="1"/>
        <d v="2025-08-19T16:16:04" u="1"/>
        <d v="2025-08-25T10:45:09" u="1"/>
        <d v="2025-08-25T13:44:51" u="1"/>
        <d v="2025-08-21T16:01:37" u="1"/>
        <d v="2025-08-25T17:01:26" u="1"/>
        <d v="2025-08-25T18:01:30" u="1"/>
        <d v="2025-08-19T09:01:28" u="1"/>
        <d v="2025-08-20T18:03:42" u="1"/>
        <d v="2025-08-06T12:06:03" u="1"/>
        <d v="2025-08-11T21:01:05" u="1"/>
        <d v="2025-08-14T10:03:50" u="1"/>
        <d v="2025-08-20T18:03:58" u="1"/>
        <d v="2025-08-21T10:03:45" u="1"/>
        <d v="2025-08-21T11:03:32" u="1"/>
        <d v="2025-08-21T11:04:09" u="1"/>
        <d v="2025-08-18T14:02:04" u="1"/>
        <d v="2025-08-18T14:02:13" u="1"/>
        <d v="2025-08-22T14:03:30" u="1"/>
        <d v="2025-08-22T18:04:18" u="1"/>
        <d v="2025-08-22T18:04:20" u="1"/>
        <d v="2025-08-22T18:04:22" u="1"/>
        <d v="2025-08-22T20:04:08" u="1"/>
        <d v="2025-08-25T09:00:23" u="1"/>
        <d v="2025-08-19T11:00:43" u="1"/>
        <d v="2025-08-22T16:04:46" u="1"/>
        <d v="2025-08-21T09:03:16" u="1"/>
        <d v="2025-08-25T18:01:03" u="1"/>
        <d v="2025-08-25T08:32:29" u="1"/>
        <d v="2025-08-18T16:01:11" u="1"/>
        <d v="2025-08-23T12:44:04" u="1"/>
        <d v="2025-08-22T16:55:21" u="1"/>
        <d v="2025-08-19T15:25:47" u="1"/>
        <d v="2025-08-19T15:25:48" u="1"/>
        <d v="2025-08-19T08:05:02" u="1"/>
        <d v="2025-08-19T19:24:46" u="1"/>
        <d v="2025-08-25T15:41:27" u="1"/>
        <d v="2025-08-25T15:56:28" u="1"/>
        <d v="2025-08-20T12:18:46" u="1"/>
        <d v="2025-08-19T10:05:21" u="1"/>
        <d v="2025-08-19T10:16:41" u="1"/>
        <d v="2025-08-19T10:16:42" u="1"/>
        <d v="2025-08-19T10:16:44" u="1"/>
        <d v="2025-08-19T10:16:45" u="1"/>
        <d v="2025-08-19T10:16:47" u="1"/>
        <d v="2025-08-19T10:25:44" u="1"/>
        <d v="2025-08-19T10:25:45" u="1"/>
        <d v="2025-08-19T10:25:46" u="1"/>
        <d v="2025-08-19T10:25:47" u="1"/>
        <d v="2025-08-19T10:25:48" u="1"/>
        <d v="2025-08-25T17:48:14" u="1"/>
        <d v="2025-08-25T08:32:39" u="1"/>
        <d v="2025-08-18T16:15:19" u="1"/>
        <d v="2025-08-20T10:09:28" u="1"/>
        <d v="2025-08-22T19:02:32" u="1"/>
        <d v="2025-08-25T17:03:38" u="1"/>
        <d v="2025-08-11T17:17:19" u="1"/>
        <d v="2025-08-25T13:26:29" u="1"/>
        <d v="2025-08-22T17:45:39" u="1"/>
        <d v="2025-08-21T09:31:22" u="1"/>
        <d v="2025-08-25T11:40:08" u="1"/>
        <d v="2025-08-25T14:59:47" u="1"/>
        <d v="2025-08-25T11:59:47" u="1"/>
        <d v="2025-08-25T17:21:50" u="1"/>
        <d v="2025-08-25T15:35:53" u="1"/>
        <d v="2025-08-20T11:02:33" u="1"/>
        <d v="2025-08-25T20:34:07" u="1"/>
        <d v="2025-08-25T18:31:50" u="1"/>
        <d v="2025-08-22T17:55:54" u="1"/>
        <d v="2025-08-05T10:01:59" u="1"/>
        <d v="2025-08-25T11:57:50" u="1"/>
        <d v="2025-08-25T16:47:04" u="1"/>
        <d v="2025-08-25T16:54:05" u="1"/>
        <d v="2025-08-22T18:44:16" u="1"/>
        <d v="2025-08-25T16:46:57" u="1"/>
        <d v="2025-08-25T18:49:12" u="1"/>
        <d v="2025-08-25T18:49:13" u="1"/>
        <d v="2025-08-21T11:16:49" u="1"/>
        <d v="2025-08-25T16:47:59" u="1"/>
        <d v="2025-08-25T17:07:59" u="1"/>
        <d v="2025-08-25T16:52:19" u="1"/>
        <d v="2025-08-25T16:27:44" u="1"/>
        <d v="2025-06-03T15:34:29" u="1"/>
        <d v="2025-08-25T13:49:44" u="1"/>
        <d v="2025-08-25T16:50:35" u="1"/>
        <d v="2025-08-23T01:03:21" u="1"/>
        <d v="2025-08-24T05:07:19" u="1"/>
        <d v="2025-08-13T13:30:43" u="1"/>
        <d v="2025-08-20T18:21:44" u="1"/>
        <d v="2025-08-25T18:01:16" u="1"/>
        <d v="2025-08-25T16:55:26" u="1"/>
        <d v="2025-08-21T20:39:51" u="1"/>
        <d v="2025-08-22T18:04:40" u="1"/>
        <d v="2025-08-25T16:57:37" u="1"/>
        <d v="2025-08-25T16:50:17" u="1"/>
        <d v="2025-08-25T11:45:47" u="1"/>
        <d v="2025-08-25T16:50:30" u="1"/>
        <d v="2025-08-25T16:48:26" u="1"/>
        <d v="2025-08-15T17:34:15" u="1"/>
        <d v="2025-08-25T16:49:51" u="1"/>
        <d v="2025-08-25T16:57:23" u="1"/>
        <d v="2025-08-25T15:58:06" u="1"/>
        <d v="2025-08-25T12:14:18" u="1"/>
        <d v="2025-08-25T08:32:21" u="1"/>
        <d v="2025-08-25T16:57:16" u="1"/>
        <d v="2025-08-25T18:03:26" u="1"/>
        <d v="2025-08-25T16:52:46" u="1"/>
        <d v="2025-08-18T10:46:01" u="1"/>
        <d v="2025-08-25T12:18:50" u="1"/>
        <d v="2025-08-25T15:56:48" u="1"/>
        <d v="2025-08-24T05:54:18" u="1"/>
        <d v="2025-08-26T06:27:16" u="1"/>
        <d v="2025-08-24T03:39:36" u="1"/>
        <d v="2025-08-25T03:28:18" u="1"/>
        <d v="2025-08-25T11:29:43" u="1"/>
        <d v="2025-08-25T09:43:46" u="1"/>
        <d v="2025-08-25T18:31:51" u="1"/>
        <d v="2025-08-25T12:29:48" u="1"/>
        <d v="2025-08-25T12:44:47" u="1"/>
        <d v="2025-08-25T17:16:43" u="1"/>
        <d v="2025-08-25T19:09:50" u="1"/>
        <d v="2025-08-25T09:37:49" u="1"/>
        <d v="2025-08-25T10:23:45" u="1"/>
        <d v="2025-08-25T09:31:46" u="1"/>
        <d v="2025-08-25T17:38:20" u="1"/>
        <d v="2025-08-25T12:38:43" u="1"/>
        <d v="2025-08-20T14:56:03" u="1"/>
        <d v="2025-08-20T14:56:04" u="1"/>
        <d v="2025-08-21T09:45:36" u="1"/>
        <d v="2025-08-08T10:00:33" u="1"/>
        <d v="2025-08-07T14:02:20" u="1"/>
        <d v="2025-08-12T18:20:45" u="1"/>
        <d v="2025-08-12T18:56:38" u="1"/>
        <d v="2025-08-12T12:01:25" u="1"/>
        <d v="2025-08-12T17:02:26" u="1"/>
        <d v="2025-08-11T18:01:03" u="1"/>
        <d v="2025-08-11T18:01:39" u="1"/>
        <d v="2025-08-12T16:01:31" u="1"/>
        <d v="2025-08-08T15:46:01" u="1"/>
        <d v="2025-08-14T13:15:00" u="1"/>
        <d v="2025-08-14T13:15:01" u="1"/>
        <d v="2025-08-19T12:42:22" u="1"/>
        <d v="2025-08-19T12:42:32" u="1"/>
        <d v="2025-08-19T12:42:55" u="1"/>
        <d v="2025-08-19T12:43:50" u="1"/>
        <d v="2025-08-19T12:44:28" u="1"/>
        <d v="2025-08-19T12:44:34" u="1"/>
        <d v="2025-08-15T15:44:50" u="1"/>
        <d v="2025-08-19T12:12:48" u="1"/>
        <d v="2025-08-19T12:16:46" u="1"/>
        <d v="2025-08-19T12:30:21" u="1"/>
        <d v="2025-08-18T19:11:47" u="1"/>
        <d v="2025-08-19T13:15:59" u="1"/>
        <d v="2025-08-15T13:30:59" u="1"/>
        <d v="2025-08-19T15:47:28" u="1"/>
        <d v="2025-08-15T13:31:13" u="1"/>
        <d v="2025-08-15T13:31:24" u="1"/>
        <d v="2025-08-15T09:47:46" u="1"/>
        <d v="2025-08-18T10:02:03" u="1"/>
        <d v="2025-08-18T18:29:34" u="1"/>
        <d v="2025-08-18T18:32:44" u="1"/>
        <d v="2025-08-18T11:00:49" u="1"/>
        <d v="2025-08-18T11:03:14" u="1"/>
        <d v="2025-08-19T14:02:11" u="1"/>
        <d v="2025-08-19T16:00:22" u="1"/>
        <d v="2025-08-18T18:06:25" u="1"/>
        <d v="2025-08-19T18:05:11" u="1"/>
        <d v="2025-08-19T12:24:32" u="1"/>
        <d v="2025-08-18T12:01:50" u="1"/>
        <d v="2025-08-19T12:14:52" u="1"/>
        <d v="2025-08-19T12:38:33" u="1"/>
        <d v="2025-08-18T18:36:21" u="1"/>
        <d v="2025-08-19T12:18:02" u="1"/>
        <d v="2025-08-14T21:17:06" u="1"/>
        <d v="2025-08-19T12:15:28" u="1"/>
        <d v="2025-08-14T18:42:03" u="1"/>
        <d v="2025-08-14T18:49:45" u="1"/>
        <d v="2025-08-19T12:17:56" u="1"/>
        <d v="2025-08-20T17:44:23" u="1"/>
        <d v="2025-08-20T18:59:58" u="1"/>
        <d v="2025-08-21T00:18:03" u="1"/>
        <d v="2025-08-20T12:48:40" u="1"/>
        <d v="2025-08-20T12:49:22" u="1"/>
        <d v="2025-08-20T12:50:11" u="1"/>
        <d v="2025-08-20T12:50:41" u="1"/>
        <d v="2025-08-19T19:09:00" u="1"/>
        <d v="2025-08-19T19:09:18" u="1"/>
        <d v="2025-08-19T19:09:28" u="1"/>
        <d v="2025-08-21T12:57:37" u="1"/>
        <d v="2025-08-21T12:57:45" u="1"/>
        <d v="2025-08-20T18:35:31" u="1"/>
        <d v="2025-08-19T18:43:03" u="1"/>
        <d v="2025-08-21T12:38:20" u="1"/>
        <d v="2025-08-21T14:47:02" u="1"/>
        <d v="2025-08-20T18:53:48" u="1"/>
        <d v="2025-08-20T18:58:08" u="1"/>
        <d v="2025-08-21T18:02:20" u="1"/>
        <d v="2025-08-21T16:02:06" u="1"/>
        <d v="2025-08-21T10:03:39" u="1"/>
        <d v="2025-08-21T10:03:42" u="1"/>
        <d v="2025-08-21T11:03:18" u="1"/>
        <d v="2025-08-21T11:03:21" u="1"/>
        <d v="2025-08-21T11:03:26" u="1"/>
        <d v="2025-08-21T11:03:29" u="1"/>
        <d v="2025-08-21T11:03:44" u="1"/>
        <d v="2025-08-21T11:03:46" u="1"/>
        <d v="2025-08-20T12:03:36" u="1"/>
        <d v="2025-08-20T14:01:08" u="1"/>
        <d v="2025-08-20T15:07:45" u="1"/>
        <d v="2025-08-20T18:17:49" u="1"/>
        <d v="2025-08-21T12:36:32" u="1"/>
        <d v="2025-08-21T12:36:35" u="1"/>
        <d v="2025-08-21T17:04:42" u="1"/>
        <d v="2025-08-21T17:04:50" u="1"/>
        <d v="2025-08-21T12:43:41" u="1"/>
        <d v="2025-08-21T12:46:24" u="1"/>
        <d v="2025-08-21T06:04:34" u="1"/>
        <d v="2025-08-21T06:04:46" u="1"/>
        <d v="2025-08-21T06:05:14" u="1"/>
        <d v="2025-08-20T18:26:38" u="1"/>
        <d v="2025-08-20T19:02:26" u="1"/>
        <d v="2025-08-19T18:28:00" u="1"/>
        <d v="2025-08-20T06:02:49" u="1"/>
        <d v="2025-08-20T18:05:44" u="1"/>
        <d v="2025-08-20T18:03:31" u="1"/>
        <d v="2025-08-20T12:38:05" u="1"/>
        <d v="2025-08-20T12:38:12" u="1"/>
        <d v="2025-08-20T12:38:20" u="1"/>
        <d v="2025-08-21T12:01:40" u="1"/>
        <d v="2025-08-21T12:32:14" u="1"/>
        <d v="2025-08-20T12:25:54" u="1"/>
        <d v="2025-08-20T06:11:56" u="1"/>
        <d v="2025-08-21T06:10:35" u="1"/>
        <d v="2025-08-19T18:47:32" u="1"/>
        <d v="2025-08-19T18:51:12" u="1"/>
        <d v="2025-08-20T18:48:18" u="1"/>
        <d v="2025-08-21T06:09:12" u="1"/>
        <d v="2025-08-21T12:49:40" u="1"/>
        <d v="2025-08-21T12:52:00" u="1"/>
        <d v="2025-08-21T12:52:42" u="1"/>
        <d v="2025-08-19T18:46:03" u="1"/>
        <d v="2025-08-21T12:37:03" u="1"/>
        <d v="2025-08-21T12:37:05" u="1"/>
        <d v="2025-08-20T09:17:05" u="1"/>
        <d v="2025-08-21T11:31:30" u="1"/>
        <d v="2025-08-19T18:58:44" u="1"/>
        <d v="2025-08-20T18:52:36" u="1"/>
        <d v="2025-08-19T18:58:09" u="1"/>
        <d v="2025-08-19T18:59:03" u="1"/>
        <d v="2025-08-20T18:50:33" u="1"/>
        <d v="2025-08-20T18:50:44" u="1"/>
        <d v="2025-08-20T18:50:46" u="1"/>
        <d v="2025-08-20T18:50:57" u="1"/>
        <d v="2025-08-20T18:51:26" u="1"/>
        <d v="2025-08-20T18:51:28" u="1"/>
        <d v="2025-08-20T18:51:30" u="1"/>
        <d v="2025-08-20T18:52:13" u="1"/>
        <d v="2025-08-21T11:55:40" u="1"/>
        <d v="2025-08-21T10:55:46" u="1"/>
        <d v="2025-08-21T09:30:50" u="1"/>
        <d v="2025-08-20T18:18:43" u="1"/>
        <d v="2025-08-21T12:29:40" u="1"/>
        <d v="2025-08-21T17:03:09" u="1"/>
        <d v="2025-08-20T06:03:10" u="1"/>
        <d v="2025-08-20T18:07:12" u="1"/>
        <d v="2025-08-21T12:40:39" u="1"/>
        <d v="2025-08-20T06:12:28" u="1"/>
        <d v="2025-08-19T18:32:00" u="1"/>
        <d v="2025-08-20T18:21:16" u="1"/>
        <d v="2025-08-20T18:21:36" u="1"/>
        <d v="2025-08-20T18:22:56" u="1"/>
        <d v="2025-08-20T18:23:16" u="1"/>
        <d v="2025-08-20T18:23:33" u="1"/>
        <d v="2025-08-20T18:23:08" u="1"/>
        <d v="2025-08-20T14:51:00" u="1"/>
        <d v="2025-08-21T09:53:53" u="1"/>
        <d v="2025-08-21T11:13:57" u="1"/>
        <d v="2025-08-21T14:39:58" u="1"/>
        <d v="2025-08-21T10:13:53" u="1"/>
        <d v="2025-08-21T14:34:22" u="1"/>
        <d v="2025-08-21T15:02:27" u="1"/>
        <d v="2025-08-21T17:01:53" u="1"/>
        <d v="2025-08-21T12:56:02" u="1"/>
        <d v="2025-08-21T15:01:49" u="1"/>
        <d v="2025-08-21T15:01:55" u="1"/>
        <d v="2025-08-21T12:55:51" u="1"/>
        <d v="2025-08-21T17:20:30" u="1"/>
        <d v="2025-08-21T15:02:14" u="1"/>
        <d v="2025-08-21T16:42:33" u="1"/>
        <d v="2025-08-20T16:52:13" u="1"/>
        <d v="2025-08-21T10:30:41" u="1"/>
        <d v="2025-08-21T17:55:54" u="1"/>
        <d v="2025-08-21T11:13:55" u="1"/>
        <d v="2025-08-21T16:43:56" u="1"/>
        <d v="2025-08-21T17:01:51" u="1"/>
        <d v="2025-08-21T10:41:50" u="1"/>
        <d v="2025-08-21T09:40:01" u="1"/>
        <d v="2025-08-21T09:43:56" u="1"/>
        <d v="2025-08-21T12:27:51" u="1"/>
        <d v="2025-08-21T12:29:51" u="1"/>
        <d v="2025-08-21T14:04:21" u="1"/>
        <d v="2025-08-21T09:55:53" u="1"/>
        <d v="2025-08-21T09:57:52" u="1"/>
        <d v="2025-08-21T09:22:08" u="1"/>
        <d v="2025-08-21T11:03:58" u="1"/>
        <d v="2025-08-20T10:57:31" u="1"/>
        <d v="2025-08-21T16:17:34" u="1"/>
        <d v="2025-08-21T19:12:59" u="1"/>
        <d v="2025-08-21T19:14:47" u="1"/>
        <d v="2025-08-21T18:41:46" u="1"/>
        <d v="2025-08-21T19:10:29" u="1"/>
        <d v="2025-08-21T18:58:50" u="1"/>
        <d v="2025-08-22T00:21:21" u="1"/>
        <d v="2025-08-22T00:21:58" u="1"/>
        <d v="2025-08-21T18:50:47" u="1"/>
        <d v="2025-08-21T20:02:11" u="1"/>
        <d v="2025-08-21T18:48:37" u="1"/>
        <d v="2025-08-21T18:25:13" u="1"/>
        <d v="2025-08-21T18:37:57" u="1"/>
        <d v="2025-08-21T18:07:40" u="1"/>
        <d v="2025-08-22T00:24:58" u="1"/>
        <d v="2025-08-21T19:02:26" u="1"/>
        <d v="2025-08-22T00:24:55" u="1"/>
        <d v="2025-08-21T19:01:40" u="1"/>
        <d v="2025-08-21T19:01:48" u="1"/>
        <d v="2025-08-21T19:01:56" u="1"/>
        <d v="2025-08-21T19:03:18" u="1"/>
        <d v="2025-08-21T19:03:22" u="1"/>
        <d v="2025-08-21T19:04:10" u="1"/>
        <d v="2025-08-21T19:04:13" u="1"/>
        <d v="2025-08-21T19:04:15" u="1"/>
        <d v="2025-08-21T18:11:04" u="1"/>
        <d v="2025-08-21T18:11:14" u="1"/>
        <d v="2025-08-21T18:11:21" u="1"/>
        <d v="2025-08-21T18:11:31" u="1"/>
        <d v="2025-08-21T18:11:33" u="1"/>
        <d v="2025-08-21T18:11:48" u="1"/>
        <d v="2025-08-21T18:11:50" u="1"/>
        <d v="2025-08-21T18:11:53" u="1"/>
        <d v="2025-08-21T18:10:09" u="1"/>
        <d v="2025-08-21T18:10:12" u="1"/>
        <d v="2025-08-21T18:10:16" u="1"/>
        <d v="2025-08-21T18:10:23" u="1"/>
        <d v="2025-08-21T18:10:31" u="1"/>
        <d v="2025-08-21T18:10:34" u="1"/>
        <d v="2025-08-22T00:10:38" u="1"/>
        <d v="2025-08-22T00:11:20" u="1"/>
        <d v="2025-08-20T18:07:15" u="1"/>
        <d v="2025-08-21T18:31:37" u="1"/>
        <d v="2025-08-21T18:33:39" u="1"/>
        <d v="2025-08-21T18:34:33" u="1"/>
        <d v="2025-08-21T18:32:24" u="1"/>
        <d v="2025-08-21T18:47:00" u="1"/>
        <d v="2025-08-21T18:16:24" u="1"/>
        <d v="2025-08-21T12:21:24" u="1"/>
        <d v="2025-08-21T18:24:05" u="1"/>
        <d v="2025-08-21T18:12:07" u="1"/>
        <d v="2025-08-21T23:01:45" u="1"/>
        <d v="2025-08-21T19:06:02" u="1"/>
        <d v="2025-08-21T18:46:47" u="1"/>
        <d v="2025-08-22T05:30:58" u="1"/>
        <d v="2025-08-21T18:46:56" u="1"/>
        <d v="2025-08-21T18:28:52" u="1"/>
        <d v="2025-08-21T19:07:52" u="1"/>
        <d v="2025-08-21T19:23:50" u="1"/>
        <d v="2025-08-21T18:59:52" u="1"/>
        <d v="2025-08-21T18:46:50" u="1"/>
        <d v="2025-08-01T17:35:33" u="1"/>
        <d v="2025-08-07T13:05:47" u="1"/>
        <d v="2025-08-07T18:50:06" u="1"/>
        <d v="2025-08-13T16:46:45" u="1"/>
        <d v="2025-08-15T11:31:16" u="1"/>
        <d v="2025-08-18T08:48:01" u="1"/>
        <d v="2025-08-19T13:17:02" u="1"/>
        <d v="2025-08-19T10:25:54" u="1"/>
        <d v="2025-08-20T16:43:56" u="1"/>
        <d v="2025-08-18T11:50:29" u="1"/>
        <d v="2025-08-19T12:47:38" u="1"/>
        <d v="2025-08-20T16:31:12" u="1"/>
        <d v="2025-08-20T11:01:40" u="1"/>
        <d v="2025-08-19T20:02:12" u="1"/>
        <d v="2025-08-19T20:02:13" u="1"/>
        <d v="2025-08-20T18:30:00" u="1"/>
        <d v="2025-08-20T13:18:42" u="1"/>
        <d v="2025-08-20T15:02:04" u="1"/>
        <d v="2025-08-20T12:32:00" u="1"/>
        <d v="2025-08-20T11:37:44" u="1"/>
        <d v="2025-08-20T11:53:50" u="1"/>
        <d v="2025-08-20T21:33:34" u="1"/>
        <d v="2025-08-20T21:32:36" u="1"/>
        <d v="2025-08-20T15:47:26" u="1"/>
        <d v="2025-08-19T18:45:17" u="1"/>
        <d v="2025-08-19T20:24:28" u="1"/>
        <d v="2025-08-20T21:32:07" u="1"/>
        <d v="2025-08-20T13:27:49" u="1"/>
        <d v="2025-08-20T18:27:54" u="1"/>
        <d v="2025-08-20T12:44:24" u="1"/>
        <d v="2025-08-20T16:16:20" u="1"/>
        <d v="2025-08-20T11:25:51" u="1"/>
        <d v="2025-08-20T14:35:52" u="1"/>
        <d v="2025-08-20T14:56:02" u="1"/>
        <d v="2025-08-20T17:31:59" u="1"/>
        <d v="2025-08-20T14:18:24" u="1"/>
        <d v="2025-08-20T16:55:57" u="1"/>
        <d v="2025-08-20T19:00:40" u="1"/>
        <d v="2025-08-20T21:32:43" u="1"/>
        <d v="2025-08-20T14:46:36" u="1"/>
        <d v="2025-08-20T12:01:05" u="1"/>
        <d v="2025-08-20T17:28:23" u="1"/>
        <d v="2025-08-20T17:28:22" u="1"/>
        <d v="2025-08-20T10:55:53" u="1"/>
        <d v="2025-08-20T16:35:59" u="1"/>
        <d v="2025-08-20T14:16:19" u="1"/>
        <d v="2025-08-21T00:15:01" u="1"/>
        <d v="2025-08-20T11:31:54" u="1"/>
        <d v="2025-08-20T15:17:38" u="1"/>
        <d v="2025-08-20T12:33:51" u="1"/>
        <d v="2025-06-17T05:56:48" u="1"/>
        <d v="2025-07-02T18:02:33" u="1"/>
        <d v="2025-08-04T16:02:23" u="1"/>
        <d v="2025-08-08T10:46:44" u="1"/>
        <d v="2025-08-11T12:16:50" u="1"/>
        <d v="2025-08-11T16:01:14" u="1"/>
        <d v="2025-08-13T13:16:28" u="1"/>
        <d v="2025-08-12T17:25:46" u="1"/>
        <d v="2025-08-11T08:49:51" u="1"/>
        <d v="2025-08-18T19:42:42" u="1"/>
        <d v="2025-08-18T19:42:50" u="1"/>
        <d v="2025-08-18T08:31:51" u="1"/>
        <d v="2025-08-15T12:01:53" u="1"/>
        <d v="2025-08-18T08:32:07" u="1"/>
        <d v="2025-08-15T16:09:07" u="1"/>
        <d v="2025-08-15T16:09:12" u="1"/>
        <d v="2025-08-15T16:10:33" u="1"/>
        <d v="2025-08-18T18:57:29" u="1"/>
        <d v="2025-08-15T16:11:08" u="1"/>
        <d v="2025-08-15T16:11:14" u="1"/>
        <d v="2025-08-15T16:11:18" u="1"/>
        <d v="2025-08-15T16:11:22" u="1"/>
        <d v="2025-08-15T16:11:26" u="1"/>
        <d v="2025-08-15T16:11:30" u="1"/>
        <d v="2025-08-15T16:11:34" u="1"/>
        <d v="2025-08-15T16:11:39" u="1"/>
        <d v="2025-08-15T16:11:43" u="1"/>
        <d v="2025-08-15T16:12:06" u="1"/>
        <d v="2025-08-15T16:13:06" u="1"/>
        <d v="2025-08-15T16:13:19" u="1"/>
        <d v="2025-08-18T13:45:44" u="1"/>
        <d v="2025-08-14T17:16:47" u="1"/>
        <d v="2025-08-18T18:00:21" u="1"/>
        <d v="2025-08-15T16:05:51" u="1"/>
        <d v="2025-08-18T11:31:48" u="1"/>
        <d v="2025-08-14T13:03:50" u="1"/>
        <d v="2025-08-18T18:00:22" u="1"/>
        <d v="2025-08-15T14:49:29" u="1"/>
        <d v="2025-08-18T11:37:52" u="1"/>
        <d v="2025-08-18T17:52:50" u="1"/>
        <d v="2025-08-18T12:44:04" u="1"/>
        <d v="2025-08-18T16:37:51" u="1"/>
        <d v="2025-08-18T16:41:51" u="1"/>
        <d v="2025-08-18T12:45:49" u="1"/>
        <d v="2025-08-18T18:18:18" u="1"/>
        <d v="2025-08-18T09:07:46" u="1"/>
        <d v="2025-08-18T12:43:51" u="1"/>
        <d v="2025-08-18T12:44:18" u="1"/>
        <d v="2025-08-15T16:14:08" u="1"/>
        <d v="2025-08-18T12:08:20" u="1"/>
        <d v="2025-08-18T18:11:14" u="1"/>
        <d v="2025-08-19T19:05:56" u="1"/>
        <d v="2025-08-19T19:06:04" u="1"/>
        <d v="2025-08-19T19:06:11" u="1"/>
        <d v="2025-08-19T19:06:19" u="1"/>
        <d v="2025-08-19T19:06:27" u="1"/>
        <d v="2025-08-19T19:06:35" u="1"/>
        <d v="2025-08-19T19:06:42" u="1"/>
        <d v="2025-08-19T19:06:49" u="1"/>
        <d v="2025-08-19T19:06:56" u="1"/>
        <d v="2025-08-19T19:07:02" u="1"/>
        <d v="2025-08-19T19:07:09" u="1"/>
        <d v="2025-08-19T19:07:16" u="1"/>
        <d v="2025-08-19T19:07:23" u="1"/>
        <d v="2025-08-19T19:07:29" u="1"/>
        <d v="2025-08-19T19:04:52" u="1"/>
        <d v="2025-08-19T19:04:59" u="1"/>
        <d v="2025-08-19T19:05:06" u="1"/>
        <d v="2025-08-19T19:05:14" u="1"/>
        <d v="2025-08-19T19:05:20" u="1"/>
        <d v="2025-08-19T19:05:27" u="1"/>
        <d v="2025-08-19T19:05:35" u="1"/>
        <d v="2025-08-19T19:05:42" u="1"/>
        <d v="2025-08-19T19:05:49" u="1"/>
        <d v="2025-08-20T06:12:05" u="1"/>
        <d v="2025-08-19T16:17:07" u="1"/>
        <d v="2025-08-19T16:15:58" u="1"/>
        <d v="2025-08-19T18:01:55" u="1"/>
        <d v="2025-08-19T18:02:00" u="1"/>
        <d v="2025-08-19T17:47:33" u="1"/>
        <d v="2025-08-18T19:46:35" u="1"/>
        <d v="2025-08-19T18:02:21" u="1"/>
        <d v="2025-08-19T17:02:14" u="1"/>
        <d v="2025-08-19T17:02:06" u="1"/>
        <d v="2025-08-19T17:02:07" u="1"/>
        <d v="2025-08-20T06:09:31" u="1"/>
        <d v="2025-08-19T19:02:42" u="1"/>
        <d v="2025-08-19T17:02:37" u="1"/>
        <d v="2025-08-19T12:22:13" u="1"/>
        <d v="2025-08-20T06:14:39" u="1"/>
        <d v="2025-08-19T19:01:38" u="1"/>
        <d v="2025-08-19T12:24:35" u="1"/>
        <d v="2025-08-19T12:25:01" u="1"/>
        <d v="2025-08-19T10:25:57" u="1"/>
        <d v="2025-08-19T10:55:17" u="1"/>
        <d v="2025-08-19T14:16:51" u="1"/>
        <d v="2025-08-19T12:23:57" u="1"/>
        <d v="2025-08-19T13:01:57" u="1"/>
        <d v="2025-08-19T10:04:09" u="1"/>
        <d v="2025-08-19T16:56:09" u="1"/>
        <d v="2025-08-19T18:04:09" u="1"/>
        <d v="2025-08-19T19:24:13" u="1"/>
        <d v="2025-08-19T17:12:28" u="1"/>
        <d v="2025-08-19T17:15:08" u="1"/>
        <d v="2025-08-19T17:56:16" u="1"/>
        <d v="2025-08-19T14:40:20" u="1"/>
        <d v="2025-08-19T17:04:11" u="1"/>
        <d v="2025-08-19T13:01:59" u="1"/>
        <d v="2025-08-19T11:27:48" u="1"/>
        <d v="2025-08-19T18:57:47" u="1"/>
        <d v="2025-08-19T17:59:51" u="1"/>
        <d v="2025-08-19T18:03:57" u="1"/>
        <d v="2025-08-19T13:11:54" u="1"/>
        <d v="2025-08-19T19:05:50" u="1"/>
        <d v="2025-08-19T15:46:43" u="1"/>
        <d v="2025-08-19T17:30:45" u="1"/>
        <d v="2025-08-19T15:54:00" u="1"/>
        <d v="2025-08-19T16:39:56" u="1"/>
        <d v="2025-08-19T15:02:44" u="1"/>
        <d v="2025-08-19T18:01:35" u="1"/>
        <d v="2025-08-19T14:33:22" u="1"/>
        <d v="2025-08-19T18:39:48" u="1"/>
        <d v="2025-08-20T00:06:11" u="1"/>
        <d v="2025-08-19T15:02:07" u="1"/>
        <d v="2025-08-19T14:16:29" u="1"/>
        <d v="2025-08-19T14:16:40" u="1"/>
        <d v="2025-08-19T14:16:14" u="1"/>
        <d v="2025-08-19T11:02:49" u="1"/>
        <d v="2025-08-19T19:01:53" u="1"/>
        <d v="2025-08-19T18:53:47" u="1"/>
        <d v="2025-08-19T09:19:45" u="1"/>
        <d v="2025-08-19T13:05:52" u="1"/>
        <d v="2025-08-19T13:17:57" u="1"/>
        <d v="2025-08-19T09:17:45" u="1"/>
        <d v="2025-08-19T19:07:45" u="1"/>
        <d v="2025-08-19T12:00:06" u="1"/>
        <d v="2025-08-19T16:31:32" u="1"/>
        <d v="2025-08-19T17:12:32" u="1"/>
        <d v="2025-08-19T13:11:53" u="1"/>
        <d v="2025-08-19T14:50:55" u="1"/>
        <d v="2025-08-18T21:05:47" u="1"/>
        <d v="2025-08-19T08:51:44" u="1"/>
        <d v="2025-08-19T17:17:53" u="1"/>
        <d v="2025-08-19T12:17:17" u="1"/>
        <d v="2025-08-19T17:25:36" u="1"/>
        <d v="2025-08-19T00:04:55" u="1"/>
        <d v="2025-08-19T12:18:32" u="1"/>
        <d v="2025-08-19T14:32:00" u="1"/>
        <d v="2025-07-01T17:02:22" u="1"/>
        <d v="2025-07-08T11:01:08" u="1"/>
        <d v="2025-07-08T16:02:56" u="1"/>
        <d v="2025-07-15T18:43:42" u="1"/>
        <d v="2025-07-30T18:00:39" u="1"/>
        <d v="2025-07-30T09:03:42" u="1"/>
        <d v="2025-07-25T12:21:23" u="1"/>
        <d v="2025-07-29T11:05:14" u="1"/>
        <d v="2025-07-30T13:20:32" u="1"/>
        <d v="2025-07-25T18:28:35" u="1"/>
        <d v="2025-07-29T18:26:16" u="1"/>
        <d v="2025-08-01T12:40:14" u="1"/>
        <d v="2025-08-04T12:01:06" u="1"/>
        <d v="2025-08-04T09:02:14" u="1"/>
        <d v="2025-07-31T16:06:17" u="1"/>
        <d v="2025-07-31T16:06:18" u="1"/>
        <d v="2025-08-04T12:00:39" u="1"/>
        <d v="2025-08-04T12:00:42" u="1"/>
        <d v="2025-07-31T12:21:52" u="1"/>
        <d v="2025-08-08T18:03:34" u="1"/>
        <d v="2025-08-08T01:04:51" u="1"/>
        <d v="2025-08-11T09:01:07" u="1"/>
        <d v="2025-08-08T17:03:26" u="1"/>
        <d v="2025-08-12T18:26:46" u="1"/>
        <d v="2025-08-12T16:20:18" u="1"/>
        <d v="2025-08-13T18:02:02" u="1"/>
        <d v="2025-08-13T15:47:39" u="1"/>
        <d v="2025-08-15T18:02:30" u="1"/>
        <d v="2025-08-15T10:19:01" u="1"/>
        <d v="2025-08-15T09:37:53" u="1"/>
        <d v="2025-08-15T08:45:59" u="1"/>
        <d v="2025-08-15T10:19:20" u="1"/>
        <d v="2025-08-15T09:34:45" u="1"/>
        <d v="2025-08-15T16:31:10" u="1"/>
        <d v="2025-08-13T16:31:43" u="1"/>
        <d v="2025-08-13T17:26:15" u="1"/>
        <d v="2025-08-14T11:03:04" u="1"/>
        <d v="2025-08-15T09:03:24" u="1"/>
        <d v="2025-08-14T12:03:36" u="1"/>
        <d v="2025-08-14T12:03:38" u="1"/>
        <d v="2025-08-12T19:01:00" u="1"/>
        <d v="2025-08-15T17:03:28" u="1"/>
        <d v="2025-08-14T11:34:09" u="1"/>
        <d v="2025-08-14T11:48:50" u="1"/>
        <d v="2025-08-14T11:48:55" u="1"/>
        <d v="2025-08-14T17:47:34" u="1"/>
        <d v="2025-08-13T12:47:45" u="1"/>
        <d v="2025-08-13T15:48:18" u="1"/>
        <d v="2025-08-15T17:05:06" u="1"/>
        <d v="2025-08-15T09:54:17" u="1"/>
        <d v="2025-08-13T18:03:41" u="1"/>
        <d v="2025-08-13T00:16:27" u="1"/>
        <d v="2025-08-15T16:34:12" u="1"/>
        <d v="2025-08-15T12:01:33" u="1"/>
        <d v="2025-08-15T11:30:56" u="1"/>
        <d v="2025-08-15T14:25:53" u="1"/>
        <d v="2025-08-15T14:25:56" u="1"/>
        <d v="2025-08-18T10:00:20" u="1"/>
        <d v="2025-08-15T18:37:51" u="1"/>
        <d v="2025-08-15T09:32:49" u="1"/>
        <d v="2025-08-12T18:32:27" u="1"/>
        <d v="2025-08-15T14:55:54" u="1"/>
        <d v="2025-08-13T11:15:59" u="1"/>
        <d v="2025-08-15T14:30:08" u="1"/>
        <d v="2025-08-15T17:15:55" u="1"/>
        <d v="2025-08-14T12:27:50" u="1"/>
        <d v="2025-08-15T10:31:37" u="1"/>
        <d v="2025-08-15T17:06:12" u="1"/>
        <d v="2025-08-15T09:37:57" u="1"/>
        <d v="2025-08-15T12:18:53" u="1"/>
        <d v="2025-08-18T16:32:19" u="1"/>
        <d v="2025-08-18T15:04:40" u="1"/>
        <d v="2025-08-18T16:05:33" u="1"/>
        <d v="2025-08-18T19:41:43" u="1"/>
        <d v="2025-08-18T19:42:37" u="1"/>
        <d v="2025-08-18T19:44:08" u="1"/>
        <d v="2025-08-18T19:44:38" u="1"/>
        <d v="2025-08-18T08:47:32" u="1"/>
        <d v="2025-08-18T18:36:23" u="1"/>
        <d v="2025-08-18T18:36:26" u="1"/>
        <d v="2025-08-18T17:16:58" u="1"/>
        <d v="2025-08-18T15:46:34" u="1"/>
        <d v="2025-08-15T19:01:43" u="1"/>
        <d v="2025-08-18T10:46:24" u="1"/>
        <d v="2025-08-18T14:46:55" u="1"/>
        <d v="2025-08-18T14:21:07" u="1"/>
        <d v="2025-08-18T16:16:15" u="1"/>
        <d v="2025-08-18T11:34:23" u="1"/>
        <d v="2025-08-18T11:32:52" u="1"/>
        <d v="2025-08-18T11:33:02" u="1"/>
        <d v="2025-08-18T13:45:48" u="1"/>
        <d v="2025-08-18T13:45:54" u="1"/>
        <d v="2025-08-18T16:46:12" u="1"/>
        <d v="2025-08-18T16:46:27" u="1"/>
        <d v="2025-08-18T17:46:35" u="1"/>
        <d v="2025-08-18T11:03:30" u="1"/>
        <d v="2025-08-18T11:01:20" u="1"/>
        <d v="2025-08-18T11:01:37" u="1"/>
        <d v="2025-08-18T15:01:32" u="1"/>
        <d v="2025-08-18T15:01:36" u="1"/>
        <d v="2025-08-18T16:02:25" u="1"/>
        <d v="2025-08-18T17:01:48" u="1"/>
        <d v="2025-08-18T19:02:19" u="1"/>
        <d v="2025-08-18T10:01:07" u="1"/>
        <d v="2025-08-18T10:01:09" u="1"/>
        <d v="2025-08-18T17:46:25" u="1"/>
        <d v="2025-08-18T19:09:04" u="1"/>
        <d v="2025-08-18T19:09:13" u="1"/>
        <d v="2025-08-18T19:09:17" u="1"/>
        <d v="2025-08-18T19:09:21" u="1"/>
        <d v="2025-08-18T21:01:34" u="1"/>
        <d v="2025-08-18T10:01:01" u="1"/>
        <d v="2025-08-18T17:00:41" u="1"/>
        <d v="2025-08-18T18:01:43" u="1"/>
        <d v="2025-08-18T16:01:27" u="1"/>
        <d v="2025-08-18T09:17:38" u="1"/>
        <d v="2025-08-18T17:47:07" u="1"/>
        <d v="2025-08-18T12:03:55" u="1"/>
        <d v="2025-08-18T18:31:35" u="1"/>
        <d v="2025-08-18T18:31:52" u="1"/>
        <d v="2025-08-18T19:29:25" u="1"/>
        <d v="2025-08-18T19:29:27" u="1"/>
        <d v="2025-08-18T19:28:41" u="1"/>
        <d v="2025-08-18T19:28:50" u="1"/>
        <d v="2025-08-18T19:29:09" u="1"/>
        <d v="2025-08-18T16:02:15" u="1"/>
        <d v="2025-08-18T15:47:37" u="1"/>
        <d v="2025-08-18T15:47:41" u="1"/>
        <d v="2025-08-18T15:47:46" u="1"/>
        <d v="2025-08-18T19:00:30" u="1"/>
        <d v="2025-08-18T18:50:34" u="1"/>
        <d v="2025-08-18T18:28:21" u="1"/>
        <d v="2025-08-18T13:23:46" u="1"/>
        <d v="2025-08-15T19:49:57" u="1"/>
        <d v="2025-08-18T15:19:48" u="1"/>
        <d v="2025-08-18T17:36:25" u="1"/>
        <d v="2025-08-18T17:09:54" u="1"/>
        <d v="2025-08-18T17:09:55" u="1"/>
        <d v="2025-08-18T17:29:51" u="1"/>
        <d v="2025-08-18T15:25:50" u="1"/>
        <d v="2025-08-18T16:30:08" u="1"/>
        <d v="2025-08-18T08:51:48" u="1"/>
        <d v="2025-08-18T08:55:44" u="1"/>
        <d v="2025-08-18T08:47:46" u="1"/>
        <d v="2025-08-16T12:09:49" u="1"/>
        <d v="2025-08-18T15:30:02" u="1"/>
        <d v="2025-08-18T15:30:03" u="1"/>
        <d v="2025-08-18T15:30:04" u="1"/>
        <d v="2025-08-18T16:11:50" u="1"/>
        <d v="2025-08-18T10:15:45" u="1"/>
        <d v="2025-08-18T15:11:51" u="1"/>
        <d v="2025-08-18T14:21:46" u="1"/>
        <d v="2025-08-18T14:51:48" u="1"/>
        <d v="2025-08-18T20:06:06" u="1"/>
        <d v="2025-08-18T20:04:35" u="1"/>
        <d v="2025-08-18T20:06:32" u="1"/>
        <d v="2025-08-18T20:07:05" u="1"/>
        <d v="2025-08-18T16:46:33" u="1"/>
        <d v="2025-08-18T11:33:56" u="1"/>
        <d v="2025-08-18T11:51:53" u="1"/>
        <d v="2025-08-18T20:04:48" u="1"/>
        <d v="2025-08-18T20:04:59" u="1"/>
        <d v="2025-08-18T20:02:16" u="1"/>
        <d v="2025-08-18T20:07:12" u="1"/>
        <d v="2025-08-18T18:45:36" u="1"/>
        <d v="2025-08-18T18:16:00" u="1"/>
        <d v="2025-08-18T20:03:50" u="1"/>
        <d v="2025-08-18T20:06:17" u="1"/>
        <d v="2025-08-18T20:02:01" u="1"/>
        <d v="2025-08-18T20:05:41" u="1"/>
        <d v="2025-08-18T19:02:32" u="1"/>
        <d v="2025-08-18T20:02:48" u="1"/>
        <d v="2025-08-18T14:22:01" u="1"/>
        <d v="2025-08-18T20:05:20" u="1"/>
        <d v="2025-08-18T20:06:22" u="1"/>
        <d v="2025-08-18T11:38:44" u="1"/>
        <d v="2025-08-17T12:01:19" u="1"/>
        <d v="2025-08-18T16:31:19" u="1"/>
        <d v="2025-08-18T18:28:22" u="1"/>
        <d v="2025-08-18T21:02:19" u="1"/>
        <d v="2025-08-18T17:31:28" u="1"/>
        <d v="2025-08-18T13:57:46" u="1"/>
        <d v="2025-08-18T14:33:53" u="1"/>
        <d v="2025-08-18T12:33:12" u="1"/>
        <d v="2025-08-18T15:37:57" u="1"/>
        <d v="2025-08-17T14:07:42" u="1"/>
        <d v="2025-08-18T18:10:10" u="1"/>
        <d v="2025-08-18T18:13:03" u="1"/>
        <d v="2025-08-18T18:40:18" u="1"/>
        <d v="2025-08-18T18:40:44" u="1"/>
        <d v="2025-08-18T18:41:47" u="1"/>
        <d v="2025-08-18T18:42:54" u="1"/>
        <d v="2025-08-19T00:05:16" u="1"/>
        <d v="2025-08-19T00:05:18" u="1"/>
        <d v="2025-08-19T00:08:23" u="1"/>
        <d v="2025-08-19T00:03:45" u="1"/>
        <d v="2025-08-19T00:21:26" u="1"/>
        <d v="2025-08-19T00:21:18" u="1"/>
        <d v="2025-08-19T00:04:25" u="1"/>
        <d v="2025-08-19T01:01:22" u="1"/>
        <d v="2025-08-18T14:13:27" u="1"/>
        <d v="2025-08-05T18:17:10" u="1"/>
        <d v="2025-08-05T18:17:15" u="1"/>
        <d v="2025-08-05T18:17:29" u="1"/>
        <d v="2025-08-05T18:17:34" u="1"/>
        <d v="2025-08-05T12:28:10" u="1"/>
        <d v="2025-08-06T00:20:27" u="1"/>
        <d v="2025-08-06T12:47:08" u="1"/>
        <d v="2025-08-05T18:04:11" u="1"/>
        <d v="2025-08-05T00:04:41" u="1"/>
        <d v="2025-08-06T00:11:09" u="1"/>
        <d v="2025-08-05T00:15:53" u="1"/>
        <d v="2025-08-04T18:22:06" u="1"/>
        <d v="2025-08-05T18:56:07" u="1"/>
        <d v="2025-08-05T18:24:07" u="1"/>
        <d v="2025-08-01T10:05:44" u="1"/>
        <d v="2025-08-11T18:06:49" u="1"/>
        <d v="2025-08-06T16:27:13" u="1"/>
        <d v="2025-08-06T16:27:27" u="1"/>
        <d v="2025-08-11T18:09:18" u="1"/>
        <d v="2025-08-11T18:10:37" u="1"/>
        <d v="2025-08-11T18:10:38" u="1"/>
        <d v="2025-08-11T14:07:25" u="1"/>
        <d v="2025-08-11T19:07:55" u="1"/>
        <d v="2025-08-06T18:56:26" u="1"/>
        <d v="2025-08-07T00:16:47" u="1"/>
        <d v="2025-08-07T19:13:34" u="1"/>
        <d v="2025-08-07T19:13:42" u="1"/>
        <d v="2025-08-11T19:08:27" u="1"/>
        <d v="2025-08-07T18:12:51" u="1"/>
        <d v="2025-08-06T18:11:10" u="1"/>
        <d v="2025-08-11T12:02:41" u="1"/>
        <d v="2025-08-08T12:04:03" u="1"/>
        <d v="2025-08-11T18:05:28" u="1"/>
        <d v="2025-08-06T18:30:16" u="1"/>
        <d v="2025-08-11T18:27:05" u="1"/>
        <d v="2025-08-11T18:47:05" u="1"/>
        <d v="2025-08-07T10:35:31" u="1"/>
        <d v="2025-08-06T16:06:00" u="1"/>
        <d v="2025-08-11T10:45:26" u="1"/>
        <d v="2025-08-13T13:06:10" u="1"/>
        <d v="2025-08-14T10:56:24" u="1"/>
        <d v="2025-08-15T11:17:16" u="1"/>
        <d v="2025-08-13T12:21:38" u="1"/>
        <d v="2025-08-12T18:15:05" u="1"/>
        <d v="2025-08-12T18:25:54" u="1"/>
        <d v="2025-08-12T18:27:48" u="1"/>
        <d v="2025-08-12T18:28:00" u="1"/>
        <d v="2025-08-12T18:28:07" u="1"/>
        <d v="2025-08-12T18:28:13" u="1"/>
        <d v="2025-08-13T00:23:31" u="1"/>
        <d v="2025-08-14T12:26:56" u="1"/>
        <d v="2025-08-15T00:18:58" u="1"/>
        <d v="2025-08-12T19:03:17" u="1"/>
        <d v="2025-08-15T12:00:49" u="1"/>
        <d v="2025-08-13T11:36:20" u="1"/>
        <d v="2025-08-14T16:36:18" u="1"/>
        <d v="2025-08-14T16:36:21" u="1"/>
        <d v="2025-08-14T11:36:59" u="1"/>
        <d v="2025-08-12T18:47:03" u="1"/>
        <d v="2025-08-12T18:47:06" u="1"/>
        <d v="2025-08-12T00:10:50" u="1"/>
        <d v="2025-08-14T10:28:23" u="1"/>
        <d v="2025-08-13T18:08:12" u="1"/>
        <d v="2025-08-14T00:17:45" u="1"/>
        <d v="2025-08-14T00:17:48" u="1"/>
        <d v="2025-08-14T10:45:52" u="1"/>
        <d v="2025-08-15T09:37:59" u="1"/>
        <d v="2025-08-15T09:37:41" u="1"/>
        <d v="2025-08-13T19:37:46" u="1"/>
        <d v="2025-08-14T12:22:40" u="1"/>
        <d v="2025-08-13T00:09:48" u="1"/>
        <d v="2025-08-15T12:05:35" u="1"/>
        <d v="2025-08-15T12:05:47" u="1"/>
        <d v="2025-08-15T12:06:02" u="1"/>
        <d v="2025-08-15T12:06:16" u="1"/>
        <d v="2025-08-13T06:02:50" u="1"/>
        <d v="2025-08-12T00:12:04" u="1"/>
        <d v="2025-08-14T12:45:24" u="1"/>
        <d v="2025-08-15T09:16:37" u="1"/>
        <d v="2025-08-15T12:05:53" u="1"/>
        <d v="2025-08-15T09:49:51" u="1"/>
        <d v="2025-08-15T11:35:36" u="1"/>
        <d v="2025-08-14T17:19:51" u="1"/>
        <d v="2025-08-14T17:34:04" u="1"/>
        <d v="2025-08-14T17:50:12" u="1"/>
        <d v="2025-08-15T10:43:50" u="1"/>
        <d v="2025-08-15T10:41:47" u="1"/>
        <d v="2025-08-13T16:24:58" u="1"/>
        <d v="2025-08-14T15:46:20" u="1"/>
        <d v="2025-08-13T18:07:18" u="1"/>
        <d v="2025-08-13T11:56:11" u="1"/>
        <d v="2025-08-15T08:23:58" u="1"/>
        <d v="2025-08-14T12:27:29" u="1"/>
        <d v="2025-08-15T13:14:59" u="1"/>
        <d v="2025-08-15T17:14:51" u="1"/>
        <d v="2025-08-15T19:00:58" u="1"/>
        <d v="2025-08-15T19:01:23" u="1"/>
        <d v="2025-08-15T19:01:29" u="1"/>
        <d v="2025-08-15T19:03:08" u="1"/>
        <d v="2025-08-15T12:35:10" u="1"/>
        <d v="2025-08-15T12:35:13" u="1"/>
        <d v="2025-08-15T12:36:24" u="1"/>
        <d v="2025-08-15T12:37:23" u="1"/>
        <d v="2025-08-15T18:38:15" u="1"/>
        <d v="2025-08-15T12:32:09" u="1"/>
        <d v="2025-08-15T12:34:52" u="1"/>
        <d v="2025-08-15T12:35:00" u="1"/>
        <d v="2025-08-15T12:32:18" u="1"/>
        <d v="2025-08-15T12:32:45" u="1"/>
        <d v="2025-08-15T18:25:59" u="1"/>
        <d v="2025-08-15T18:26:08" u="1"/>
        <d v="2025-08-15T12:17:09" u="1"/>
        <d v="2025-08-15T12:17:22" u="1"/>
        <d v="2025-08-15T12:27:18" u="1"/>
        <d v="2025-08-15T12:27:30" u="1"/>
        <d v="2025-08-15T12:28:05" u="1"/>
        <d v="2025-08-15T18:51:29" u="1"/>
        <d v="2025-08-15T18:43:19" u="1"/>
        <d v="2025-08-15T15:01:08" u="1"/>
        <d v="2025-08-15T15:15:36" u="1"/>
        <d v="2025-08-15T13:31:31" u="1"/>
        <d v="2025-08-15T13:31:36" u="1"/>
        <d v="2025-08-15T18:31:10" u="1"/>
        <d v="2025-08-15T17:20:20" u="1"/>
        <d v="2025-08-15T17:03:18" u="1"/>
        <d v="2025-08-15T17:04:18" u="1"/>
        <d v="2025-08-15T17:04:26" u="1"/>
        <d v="2025-08-15T18:21:27" u="1"/>
        <d v="2025-08-15T18:21:35" u="1"/>
        <d v="2025-08-15T18:30:04" u="1"/>
        <d v="2025-08-15T18:34:38" u="1"/>
        <d v="2025-08-15T18:35:13" u="1"/>
        <d v="2025-08-15T18:34:45" u="1"/>
        <d v="2025-08-15T18:23:49" u="1"/>
        <d v="2025-08-15T18:23:53" u="1"/>
        <d v="2025-08-15T18:23:57" u="1"/>
        <d v="2025-08-15T18:24:06" u="1"/>
        <d v="2025-08-15T18:06:19" u="1"/>
        <d v="2025-08-15T18:09:28" u="1"/>
        <d v="2025-08-15T18:39:34" u="1"/>
        <d v="2025-08-15T18:03:45" u="1"/>
        <d v="2025-08-15T18:22:32" u="1"/>
        <d v="2025-08-15T12:29:18" u="1"/>
        <d v="2025-08-15T12:29:21" u="1"/>
        <d v="2025-08-15T12:30:02" u="1"/>
        <d v="2025-08-15T18:54:01" u="1"/>
        <d v="2025-08-15T18:53:58" u="1"/>
        <d v="2025-08-15T16:55:19" u="1"/>
        <d v="2025-08-15T18:11:34" u="1"/>
        <d v="2025-08-15T12:06:29" u="1"/>
        <d v="2025-08-15T12:18:56" u="1"/>
        <d v="2025-08-15T18:28:15" u="1"/>
        <d v="2025-08-15T18:27:58" u="1"/>
        <d v="2025-08-15T18:28:44" u="1"/>
        <d v="2025-08-15T18:27:43" u="1"/>
        <d v="2025-08-16T15:33:51" u="1"/>
        <d v="2025-08-15T16:07:17" u="1"/>
        <d v="2025-08-15T13:09:53" u="1"/>
        <d v="2025-08-15T19:08:03" u="1"/>
        <d v="2025-08-15T19:09:50" u="1"/>
        <d v="2025-08-15T15:01:57" u="1"/>
        <d v="2025-08-15T14:17:49" u="1"/>
        <d v="2025-08-15T15:13:50" u="1"/>
        <d v="2025-08-15T14:25:54" u="1"/>
        <d v="2025-08-15T14:49:49" u="1"/>
        <d v="2025-08-15T19:19:27" u="1"/>
        <d v="2025-08-15T19:21:53" u="1"/>
        <d v="2025-08-15T17:18:49" u="1"/>
        <d v="2025-08-15T18:09:08" u="1"/>
        <d v="2025-08-15T18:00:45" u="1"/>
        <d v="2025-08-15T18:15:27" u="1"/>
        <d v="2025-08-15T19:22:51" u="1"/>
        <d v="2025-08-15T19:23:08" u="1"/>
        <d v="2025-08-15T13:10:22" u="1"/>
        <d v="2025-08-15T11:02:25" u="1"/>
        <d v="2025-08-15T16:16:56" u="1"/>
        <d v="2025-08-15T18:18:19" u="1"/>
        <d v="2025-08-15T19:22:30" u="1"/>
        <d v="2025-08-15T16:06:53" u="1"/>
        <d v="2025-08-15T19:03:45" u="1"/>
        <d v="2025-08-15T16:33:51" u="1"/>
        <d v="2025-08-15T15:11:51" u="1"/>
        <d v="2025-08-15T15:25:56" u="1"/>
        <d v="2025-08-15T14:25:55" u="1"/>
        <d v="2025-08-15T15:23:55" u="1"/>
        <d v="2025-08-15T12:07:49" u="1"/>
        <d v="2025-08-15T13:09:40" u="1"/>
        <d v="2025-08-15T16:04:27" u="1"/>
        <d v="2025-08-16T12:02:53" u="1"/>
        <d v="2025-08-16T12:04:10" u="1"/>
        <d v="2025-08-16T12:03:03" u="1"/>
        <d v="2025-08-16T00:21:31" u="1"/>
        <d v="2025-08-16T12:01:30" u="1"/>
        <d v="2025-08-18T00:02:05" u="1"/>
        <d v="2025-08-18T00:02:13" u="1"/>
        <d v="2025-08-16T00:18:32" u="1"/>
        <d v="2025-08-17T18:01:23" u="1"/>
        <d v="2025-08-17T18:01:25" u="1"/>
        <d v="2025-08-17T18:01:27" u="1"/>
        <d v="2025-08-16T11:41:48" u="1"/>
        <d v="2025-08-15T21:34:22" u="1"/>
        <d v="2025-08-15T20:10:27" u="1"/>
        <d v="2025-08-15T21:33:53" u="1"/>
        <d v="2025-08-15T21:34:02" u="1"/>
        <d v="2025-08-15T20:01:58" u="1"/>
        <d v="2025-08-17T10:23:45" u="1"/>
        <d v="2025-08-15T19:11:49" u="1"/>
        <d v="2025-08-15T16:00:14" u="1"/>
        <d v="2025-08-15T21:33:24" u="1"/>
        <d v="2025-08-15T21:33:42" u="1"/>
        <d v="2025-08-15T21:34:27" u="1"/>
        <d v="2025-08-15T21:33:47" u="1"/>
        <d v="2025-08-15T21:33:20" u="1"/>
        <d v="2025-08-15T20:25:38" u="1"/>
        <d v="2025-08-15T21:34:32" u="1"/>
        <d v="2025-08-16T11:11:49" u="1"/>
        <d v="2025-08-16T12:09:48" u="1"/>
        <d v="2025-08-16T07:17:20" u="1"/>
        <d v="2025-08-16T07:17:35" u="1"/>
        <d v="2025-08-15T20:15:47" u="1"/>
        <d v="2025-08-16T17:17:48" u="1"/>
        <d v="2025-08-16T11:57:59" u="1"/>
        <d v="2025-08-15T21:34:08" u="1"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  <d v="2025-08-08T19:29:51" u="1"/>
        <d v="2025-08-08T19:24:03" u="1"/>
        <d v="2025-08-08T19:24:02" u="1"/>
        <d v="2025-08-08T19:11:58" u="1"/>
        <d v="2025-08-08T19:08:57" u="1"/>
        <d v="2025-08-08T19:08:29" u="1"/>
        <d v="2025-08-08T19:08:23" u="1"/>
        <d v="2025-08-08T19:08:13" u="1"/>
        <d v="2025-08-08T19:07:51" u="1"/>
        <d v="2025-08-08T19:07:13" u="1"/>
        <d v="2025-08-08T19:06:09" u="1"/>
        <d v="2025-08-08T19:05:31" u="1"/>
        <d v="2025-08-08T18:50:54" u="1"/>
        <d v="2025-08-08T18:50:42" u="1"/>
        <d v="2025-08-08T18:48:31" u="1"/>
        <d v="2025-08-08T18:48:15" u="1"/>
        <d v="2025-08-08T18:48:14" u="1"/>
        <d v="2025-08-08T18:46:05" u="1"/>
        <d v="2025-08-08T18:45:52" u="1"/>
        <d v="2025-08-08T18:34:06" u="1"/>
        <d v="2025-08-08T18:30:42" u="1"/>
        <d v="2025-08-08T18:30:29" u="1"/>
        <d v="2025-08-08T18:27:54" u="1"/>
        <d v="2025-08-08T18:23:56" u="1"/>
        <d v="2025-08-08T18:16:47" u="1"/>
        <d v="2025-08-08T18:13:58" u="1"/>
        <d v="2025-08-08T18:12:03" u="1"/>
        <d v="2025-08-08T18:11:37" u="1"/>
        <d v="2025-08-08T18:11:21" u="1"/>
        <d v="2025-08-08T18:04:50" u="1"/>
        <d v="2025-08-08T18:04:20" u="1"/>
        <d v="2025-08-08T18:03:41" u="1"/>
        <d v="2025-08-08T18:01:14" u="1"/>
        <d v="2025-08-08T18:01:05" u="1"/>
        <d v="2025-08-08T17:59:56" u="1"/>
        <d v="2025-08-08T17:59:14" u="1"/>
        <d v="2025-08-08T17:54:53" u="1"/>
        <d v="2025-08-08T17:47:51" u="1"/>
        <d v="2025-08-08T17:32:37" u="1"/>
        <d v="2025-08-08T17:32:17" u="1"/>
        <d v="2025-08-08T17:28:36" u="1"/>
        <d v="2025-08-08T17:18:56" u="1"/>
        <d v="2025-08-08T17:10:42" u="1"/>
        <d v="2025-08-08T17:02:55" u="1"/>
        <d v="2025-08-08T17:02:52" u="1"/>
        <d v="2025-08-08T17:01:49" u="1"/>
        <d v="2025-08-08T16:59:49" u="1"/>
        <d v="2025-08-08T16:37:50" u="1"/>
        <d v="2025-08-08T16:25:32" u="1"/>
        <d v="2025-08-08T16:20:55" u="1"/>
        <d v="2025-08-08T16:18:27" u="1"/>
        <d v="2025-08-08T16:05:55" u="1"/>
        <d v="2025-08-08T16:02:40" u="1"/>
        <d v="2025-08-08T15:40:18" u="1"/>
        <d v="2025-08-08T15:35:48" u="1"/>
        <d v="2025-08-08T15:35:47" u="1"/>
        <d v="2025-08-08T15:04:24" u="1"/>
        <d v="2025-08-08T14:56:23" u="1"/>
        <d v="2025-08-08T14:56:21" u="1"/>
        <d v="2025-08-08T14:47:56" u="1"/>
        <d v="2025-08-08T14:47:50" u="1"/>
        <d v="2025-08-08T14:47:48" u="1"/>
        <d v="2025-08-08T14:32:06" u="1"/>
        <d v="2025-08-08T14:17:26" u="1"/>
        <d v="2025-08-08T14:16:32" u="1"/>
        <d v="2025-08-08T14:11:47" u="1"/>
        <d v="2025-08-08T14:06:04" u="1"/>
        <d v="2025-08-08T13:56:12" u="1"/>
        <d v="2025-08-08T13:56:11" u="1"/>
        <d v="2025-08-08T13:47:50" u="1"/>
        <d v="2025-08-08T13:07:28" u="1"/>
        <d v="2025-08-08T12:53:51" u="1"/>
        <d v="2025-08-08T12:47:24" u="1"/>
        <d v="2025-08-08T12:43:34" u="1"/>
        <d v="2025-08-08T12:32:49" u="1"/>
        <d v="2025-08-08T12:18:56" u="1"/>
        <d v="2025-08-08T12:15:17" u="1"/>
        <d v="2025-08-08T12:07:28" u="1"/>
        <d v="2025-08-08T11:55:57" u="1"/>
        <d v="2025-08-08T11:55:56" u="1"/>
        <d v="2025-08-08T11:27:52" u="1"/>
        <d v="2025-08-08T11:24:01" u="1"/>
        <d v="2025-08-08T11:10:30" u="1"/>
        <d v="2025-08-08T10:47:48" u="1"/>
        <d v="2025-08-08T10:47:17" u="1"/>
        <d v="2025-08-08T10:33:53" u="1"/>
        <d v="2025-08-08T10:19:58" u="1"/>
        <d v="2025-08-08T08:45:51" u="1"/>
        <d v="2025-08-08T00:10:43" u="1"/>
        <d v="2025-08-07T19:14:48" u="1"/>
        <d v="2025-08-07T19:14:47" u="1"/>
        <d v="2025-08-07T18:13:55" u="1"/>
        <d v="2025-08-07T18:06:26" u="1"/>
        <d v="2025-08-07T17:32:21" u="1"/>
        <d v="2025-08-07T17:32:15" u="1"/>
        <d v="2025-08-07T17:32:08" u="1"/>
        <d v="2025-08-07T17:04:11" u="1"/>
        <d v="2025-08-07T17:04:08" u="1"/>
        <d v="2025-08-07T16:47:10" u="1"/>
        <d v="2025-08-07T15:33:18" u="1"/>
        <d v="2025-08-07T15:33:12" u="1"/>
        <d v="2025-08-07T15:29:12" u="1"/>
        <d v="2025-08-07T14:47:50" u="1"/>
        <d v="2025-08-07T12:30:55" u="1"/>
        <d v="2025-08-07T12:03:39" u="1"/>
        <d v="2025-08-07T11:32:10" u="1"/>
        <d v="2025-08-07T09:46:24" u="1"/>
        <d v="2025-08-07T08:34:43" u="1"/>
        <d v="2025-08-07T08:34:42" u="1"/>
        <d v="2025-08-06T17:08:02" u="1"/>
        <d v="2025-08-06T17:06:13" u="1"/>
        <d v="2025-08-06T16:45:04" u="1"/>
        <d v="2025-08-06T14:35:58" u="1"/>
        <d v="2025-08-06T14:31:41" u="1"/>
        <d v="2025-08-05T17:37:05" u="1"/>
        <d v="2025-08-05T12:06:41" u="1"/>
        <d v="2025-08-05T09:54:26" u="1"/>
        <d v="2025-08-05T08:04:51" u="1"/>
        <d v="2025-08-04T18:54:38" u="1"/>
        <d v="2025-08-04T15:37:09" u="1"/>
        <d v="2025-08-04T12:27:26" u="1"/>
        <d v="2025-08-04T12:26:53" u="1"/>
        <d v="2025-08-07T12:46:37" u="1"/>
        <d v="2025-08-07T12:46:42" u="1"/>
        <d v="2025-08-06T09:08:33" u="1"/>
        <d v="2025-07-30T09:48:45" u="1"/>
        <d v="2025-08-07T15:38:12" u="1"/>
        <d v="2025-08-07T15:06:13" u="1"/>
        <d v="2025-08-07T14:52:26" u="1"/>
        <d v="2025-08-07T14:57:55" u="1"/>
        <d v="2025-08-07T20:27:52" u="1"/>
        <d v="2025-08-07T20:30:22" u="1"/>
        <d v="2025-08-07T20:31:51" u="1"/>
        <d v="2025-08-07T20:59:53" u="1"/>
        <d v="2025-08-07T18:26:00" u="1"/>
        <d v="2025-08-07T18:28:00" u="1"/>
        <d v="2025-08-07T18:35:59" u="1"/>
        <d v="2025-08-07T12:34:24" u="1"/>
        <d v="2025-08-07T12:40:06" u="1"/>
        <d v="2025-08-06T20:59:52" u="1"/>
        <d v="2025-08-06T20:59:53" u="1"/>
        <d v="2025-08-07T10:32:04" u="1"/>
        <d v="2025-08-07T11:42:06" u="1"/>
        <d v="2025-08-06T17:42:06" u="1"/>
        <d v="2025-08-06T17:58:15" u="1"/>
        <d v="2025-08-07T15:53:21" u="1"/>
        <d v="2025-08-07T17:52:02" u="1"/>
        <d v="2025-08-07T18:02:09" u="1"/>
        <d v="2025-08-07T17:10:10" u="1"/>
        <d v="2025-08-07T16:58:11" u="1"/>
        <d v="2025-08-07T16:06:12" u="1"/>
        <d v="2025-08-07T16:16:27" u="1"/>
        <d v="2025-08-07T16:22:36" u="1"/>
        <d v="2025-08-07T16:26:02" u="1"/>
        <d v="2025-08-07T15:18:15" u="1"/>
        <d v="2025-08-07T14:37:52" u="1"/>
        <d v="2025-08-07T17:23:14" u="1"/>
        <d v="2025-07-29T11:57:27" u="1"/>
        <d v="2025-08-07T13:04:00" u="1"/>
        <d v="2025-08-07T11:03:24" u="1"/>
        <d v="2025-08-07T11:03:26" u="1"/>
        <d v="2025-08-07T20:02:45" u="1"/>
        <d v="2025-08-07T20:02:46" u="1"/>
        <d v="2025-08-07T12:04:23" u="1"/>
        <d v="2025-08-07T12:04:27" u="1"/>
        <d v="2025-08-07T11:02:17" u="1"/>
        <d v="2025-08-06T18:50:08" u="1"/>
        <d v="2025-08-06T18:55:30" u="1"/>
        <d v="2025-08-07T12:43:06" u="1"/>
        <d v="2025-08-06T18:49:45" u="1"/>
        <d v="2025-08-06T00:17:46" u="1"/>
        <d v="2025-08-07T18:21:01" u="1"/>
        <d v="2025-08-07T18:20:06" u="1"/>
        <d v="2025-08-07T17:49:51" u="1"/>
        <d v="2025-08-06T09:35:57" u="1"/>
        <d v="2025-08-04T12:43:18" u="1"/>
        <d v="2025-08-07T12:54:22" u="1"/>
        <d v="2025-08-06T19:05:08" u="1"/>
        <d v="2025-08-04T19:02:35" u="1"/>
        <d v="2025-08-01T10:55:36" u="1"/>
        <d v="2025-08-07T12:44:39" u="1"/>
        <d v="2025-01-17T17:44:41" u="1"/>
        <d v="2025-08-07T14:32:07" u="1"/>
        <d v="2025-08-06T18:26:39" u="1"/>
        <d v="2025-08-04T18:19:55" u="1"/>
        <d v="2025-08-07T18:40:16" u="1"/>
        <d v="2025-08-06T12:06:09" u="1"/>
        <d v="2025-08-07T18:55:41" u="1"/>
        <d v="2025-08-07T19:06:24" u="1"/>
        <d v="2025-08-07T19:06:27" u="1"/>
        <d v="2025-08-07T20:24:28" u="1"/>
        <d v="2025-08-07T18:15:50" u="1"/>
        <d v="2025-08-05T17:46:30" u="1"/>
        <d v="2025-08-07T18:22:43" u="1"/>
        <d v="2025-08-07T19:00:54" u="1"/>
        <d v="2025-08-07T19:01:03" u="1"/>
        <d v="2025-08-07T16:17:01" u="1"/>
        <d v="2025-08-06T17:06:54" u="1"/>
        <d v="2025-08-08T06:02:00" u="1"/>
        <d v="2025-08-08T06:02:51" u="1"/>
        <d v="2025-08-08T06:03:06" u="1"/>
        <d v="2025-08-04T12:02:38" u="1"/>
        <d v="2025-08-05T00:02:49" u="1"/>
        <d v="2025-08-04T12:28:44" u="1"/>
        <d v="2025-08-07T19:03:44" u="1"/>
        <d v="2025-08-07T19:06:07" u="1"/>
        <d v="2025-08-06T12:27:26" u="1"/>
        <d v="2025-08-06T18:59:50" u="1"/>
        <d v="2025-08-01T16:56:00" u="1"/>
        <d v="2025-07-30T15:46:24" u="1"/>
        <d v="2025-08-07T18:22:29" u="1"/>
        <d v="2025-08-05T12:05:14" u="1"/>
        <d v="2025-08-06T19:21:00" u="1"/>
        <d v="2025-08-06T07:16:19" u="1"/>
        <d v="2025-08-07T01:01:20" u="1"/>
        <d v="2025-08-07T03:05:19" u="1"/>
        <d v="2025-08-07T04:01:34" u="1"/>
        <d v="2025-08-06T11:16:57" u="1"/>
        <d v="2025-08-06T20:16:30" u="1"/>
        <d v="2025-08-04T16:17:07" u="1"/>
        <d v="2025-08-06T13:21:10" u="1"/>
        <d v="2025-08-06T19:19:29" u="1"/>
        <d v="2025-08-04T10:01:42" u="1"/>
        <d v="2025-08-06T10:22:21" u="1"/>
        <d v="2025-08-06T17:10:34" u="1"/>
        <d v="2025-08-06T17:28:33" u="1"/>
        <d v="2025-08-06T17:32:02" u="1"/>
        <d v="2025-08-06T17:41:57" u="1"/>
        <d v="2025-08-06T17:52:23" u="1"/>
        <d v="2025-08-06T17:59:56" u="1"/>
        <d v="2025-08-06T16:44:10" u="1"/>
        <d v="2025-08-06T16:50:31" u="1"/>
        <d v="2025-08-06T16:58:42" u="1"/>
        <d v="2025-08-06T14:37:55" u="1"/>
        <d v="2025-08-06T14:37:56" u="1"/>
        <d v="2025-08-06T15:26:13" u="1"/>
        <d v="2025-08-06T15:30:06" u="1"/>
        <d v="2025-08-06T18:55:56" u="1"/>
        <d v="2025-08-06T18:51:56" u="1"/>
        <d v="2025-08-06T18:45:53" u="1"/>
        <d v="2025-08-06T18:46:02" u="1"/>
        <d v="2025-08-06T18:23:56" u="1"/>
        <d v="2025-08-06T10:46:34" u="1"/>
        <d v="2025-08-05T20:31:56" u="1"/>
        <d v="2025-08-06T09:10:04" u="1"/>
        <d v="2025-08-06T09:40:00" u="1"/>
        <d v="2025-08-05T16:40:06" u="1"/>
        <d v="2025-08-05T17:16:01" u="1"/>
        <d v="2025-08-06T20:27:51" u="1"/>
        <d v="2025-08-06T20:27:52" u="1"/>
        <d v="2025-08-06T20:31:49" u="1"/>
        <d v="2025-08-06T20:02:01" u="1"/>
        <d v="2025-08-06T12:52:00" u="1"/>
        <d v="2025-08-06T12:54:01" u="1"/>
        <d v="2025-08-06T13:06:11" u="1"/>
        <d v="2025-08-06T11:28:11" u="1"/>
        <d v="2025-08-06T18:34:08" u="1"/>
        <d v="2025-08-06T18:39:15" u="1"/>
        <d v="2025-08-06T18:08:00" u="1"/>
        <d v="2025-08-06T18:30:01" u="1"/>
        <d v="2025-08-06T17:10:26" u="1"/>
        <d v="2025-08-06T10:35:23" u="1"/>
        <d v="2025-08-06T00:10:33" u="1"/>
        <d v="2025-08-07T00:11:51" u="1"/>
        <d v="2025-08-06T13:25:17" u="1"/>
        <d v="2025-08-06T12:25:15" u="1"/>
        <d v="2025-08-05T18:25:25" u="1"/>
        <d v="2025-08-05T18:23:14" u="1"/>
        <d v="2025-08-05T18:22:38" u="1"/>
        <d v="2025-08-06T12:37:59" u="1"/>
        <d v="2025-08-06T12:38:09" u="1"/>
        <d v="2025-08-05T18:41:54" u="1"/>
        <d v="2025-08-05T18:45:41" u="1"/>
        <d v="2025-08-06T12:24:14" u="1"/>
        <d v="2025-08-06T12:24:28" u="1"/>
        <d v="2025-08-06T12:25:01" u="1"/>
        <d v="2025-08-05T18:56:15" u="1"/>
        <d v="2025-08-06T15:33:26" u="1"/>
        <d v="2025-08-06T16:47:45" u="1"/>
        <d v="2025-08-06T16:31:57" u="1"/>
        <d v="2025-06-13T10:06:02" u="1"/>
        <d v="2025-08-06T20:16:19" u="1"/>
        <d v="2025-08-06T20:17:06" u="1"/>
        <d v="2025-08-06T19:20:44" u="1"/>
        <d v="2025-08-06T19:20:51" u="1"/>
        <d v="2025-08-06T15:16:59" u="1"/>
        <d v="2025-08-06T15:45:53" u="1"/>
        <d v="2025-08-05T19:00:48" u="1"/>
        <d v="2025-08-05T18:57:53" u="1"/>
        <d v="2025-08-05T18:57:56" u="1"/>
        <d v="2025-08-05T19:02:02" u="1"/>
        <d v="2025-08-06T19:05:03" u="1"/>
        <d v="2025-08-06T12:49:16" u="1"/>
        <d v="2025-08-06T12:50:36" u="1"/>
        <d v="2025-08-05T18:58:13" u="1"/>
        <d v="2025-08-05T18:58:20" u="1"/>
        <d v="2025-08-06T16:21:39" u="1"/>
        <d v="2025-08-06T13:47:24" u="1"/>
        <d v="2025-08-06T14:02:15" u="1"/>
        <d v="2025-08-06T14:47:14" u="1"/>
        <d v="2025-08-06T14:47:21" u="1"/>
        <d v="2025-08-06T18:27:01" u="1"/>
        <d v="2025-08-06T12:18:32" u="1"/>
        <d v="2025-08-05T12:13:16" u="1"/>
        <d v="2025-08-06T18:27:24" u="1"/>
        <d v="2025-08-05T18:22:23" u="1"/>
        <d v="2025-08-06T18:35:15" u="1"/>
        <d v="2025-08-06T18:35:18" u="1"/>
        <d v="2025-08-06T18:35:28" u="1"/>
        <d v="2025-08-07T00:13:40" u="1"/>
        <d v="2025-08-04T17:45:22" u="1"/>
        <d v="2025-08-06T13:25:34" u="1"/>
        <d v="2025-08-06T19:17:02" u="1"/>
        <d v="2025-08-06T19:17:22" u="1"/>
        <d v="2025-08-06T11:01:39" u="1"/>
        <d v="2025-08-04T15:01:21" u="1"/>
        <d v="2025-08-05T11:16:33" u="1"/>
        <d v="2025-08-05T10:00:47" u="1"/>
        <d v="2025-08-06T19:17:50" u="1"/>
        <d v="2025-08-06T19:17:55" u="1"/>
        <d v="2025-08-06T10:01:07" u="1"/>
        <d v="2025-08-06T20:17:00" u="1"/>
        <d v="2025-08-06T20:17:13" u="1"/>
        <d v="2025-08-06T11:37:39" u="1"/>
        <d v="2025-08-06T17:07:00" u="1"/>
        <d v="2025-08-06T19:17:41" u="1"/>
        <d v="2025-08-06T18:49:41" u="1"/>
        <d v="2025-08-05T18:02:20" u="1"/>
        <d v="2025-08-05T18:02:25" u="1"/>
        <d v="2025-08-05T18:02:27" u="1"/>
        <d v="2025-08-06T18:33:24" u="1"/>
        <d v="2025-08-05T18:29:53" u="1"/>
        <d v="2025-08-06T00:11:21" u="1"/>
        <d v="2025-08-06T13:28:37" u="1"/>
        <d v="2025-08-06T12:41:59" u="1"/>
        <d v="2025-08-06T12:42:03" u="1"/>
        <d v="2025-08-06T12:42:40" u="1"/>
        <d v="2025-08-06T12:45:14" u="1"/>
        <d v="2025-08-06T12:45:20" u="1"/>
        <d v="2025-08-06T12:45:24" u="1"/>
        <d v="2025-08-05T18:51:51" u="1"/>
        <d v="2025-08-05T18:51:54" u="1"/>
        <d v="2025-08-05T18:51:56" u="1"/>
        <d v="2025-08-05T18:52:58" u="1"/>
        <d v="2025-08-05T18:53:25" u="1"/>
        <d v="2025-08-06T18:22:59" u="1"/>
        <d v="2025-08-04T12:50:32" u="1"/>
        <d v="2025-07-30T18:22:01" u="1"/>
        <d v="2025-07-30T16:35:55" u="1"/>
        <d v="2025-07-31T15:05:51" u="1"/>
        <d v="2025-07-29T15:20:40" u="1"/>
        <d v="2025-07-25T16:50:40" u="1"/>
        <d v="2025-07-24T12:06:59" u="1"/>
        <d v="2025-07-24T12:36:04" u="1"/>
        <d v="2025-08-05T16:13:02" u="1"/>
        <d v="2025-08-05T16:20:34" u="1"/>
        <d v="2025-08-06T13:22:43" u="1"/>
        <d v="2025-08-05T18:37:42" u="1"/>
        <d v="2025-08-06T06:05:08" u="1"/>
        <d v="2025-08-06T06:04:04" u="1"/>
        <d v="2025-08-06T06:04:16" u="1"/>
        <d v="2025-08-06T06:04:25" u="1"/>
        <d v="2025-08-06T06:04:39" u="1"/>
        <d v="2025-08-06T06:04:47" u="1"/>
        <d v="2025-08-06T06:04:53" u="1"/>
        <d v="2025-08-06T18:13:41" u="1"/>
        <d v="2025-08-06T06:10:17" u="1"/>
        <d v="2025-08-06T06:08:44" u="1"/>
        <d v="2025-08-06T00:17:13" u="1"/>
        <d v="2025-08-06T00:16:13" u="1"/>
        <d v="2025-08-06T00:15:39" u="1"/>
        <d v="2025-08-06T00:13:57" u="1"/>
        <d v="2025-08-06T00:13:12" u="1"/>
        <d v="2025-08-05T20:26:01" u="1"/>
        <d v="2025-08-05T19:19:52" u="1"/>
        <d v="2025-08-05T19:12:10" u="1"/>
        <d v="2025-08-05T19:11:58" u="1"/>
        <d v="2025-08-05T19:08:30" u="1"/>
        <d v="2025-08-05T18:57:45" u="1"/>
        <d v="2025-08-05T18:55:58" u="1"/>
        <d v="2025-08-05T18:53:58" u="1"/>
        <d v="2025-08-05T18:41:27" u="1"/>
        <d v="2025-08-05T18:35:23" u="1"/>
        <d v="2025-08-05T18:35:03" u="1"/>
        <d v="2025-08-05T18:34:58" u="1"/>
        <d v="2025-08-05T18:34:49" u="1"/>
        <d v="2025-08-05T18:34:36" u="1"/>
        <d v="2025-08-05T18:33:30" u="1"/>
        <d v="2025-08-05T18:33:13" u="1"/>
        <d v="2025-08-05T18:33:03" u="1"/>
        <d v="2025-08-05T18:32:56" u="1"/>
        <d v="2025-08-05T18:01:26" u="1"/>
        <d v="2025-08-05T17:47:36" u="1"/>
        <d v="2025-08-05T17:47:32" u="1"/>
        <d v="2025-08-05T17:46:05" u="1"/>
        <d v="2025-08-05T17:32:10" u="1"/>
        <d v="2025-08-05T17:32:08" u="1"/>
        <d v="2025-08-05T17:08:52" u="1"/>
        <d v="2025-08-05T17:08:48" u="1"/>
        <d v="2025-08-05T16:47:17" u="1"/>
        <d v="2025-08-05T16:34:05" u="1"/>
        <d v="2025-08-05T16:17:17" u="1"/>
        <d v="2025-08-05T16:12:22" u="1"/>
        <d v="2025-08-05T16:05:31" u="1"/>
        <d v="2025-07-31T08:46:52" u="1"/>
        <d v="2025-07-29T13:35:30" u="1"/>
        <d v="2025-08-01T18:02:11" u="1"/>
        <d v="2025-08-01T13:21:06" u="1"/>
        <d v="2025-08-05T15:17:20" u="1"/>
        <d v="2025-08-05T14:58:15" u="1"/>
        <d v="2025-08-05T14:49:50" u="1"/>
        <d v="2025-08-05T14:35:37" u="1"/>
        <d v="2025-08-05T13:33:14" u="1"/>
        <d v="2025-08-05T12:30:36" u="1"/>
        <d v="2025-08-05T12:20:44" u="1"/>
        <d v="2025-08-05T12:13:53" u="1"/>
        <d v="2025-08-01T16:33:18" u="1"/>
        <d v="2025-08-05T10:46:19" u="1"/>
        <d v="2025-08-05T10:45:25" u="1"/>
        <d v="2025-08-05T10:16:48" u="1"/>
        <d v="2025-08-05T15:50:02" u="1"/>
        <d v="2025-08-05T15:49:58" u="1"/>
        <d v="2025-08-05T09:01:22" u="1"/>
        <d v="2025-08-05T08:54:03" u="1"/>
        <d v="2025-08-05T00:22:11" u="1"/>
        <d v="2025-08-05T00:15:01" u="1"/>
        <d v="2025-08-04T20:23:55" u="1"/>
        <d v="2025-08-04T20:20:10" u="1"/>
        <d v="2025-08-04T18:26:42" u="1"/>
        <d v="2025-08-04T18:25:42" u="1"/>
        <d v="2025-08-05T12:01:02" u="1"/>
        <d v="2025-08-05T10:50:28" u="1"/>
        <d v="2025-08-05T10:50:21" u="1"/>
        <d v="2025-08-04T15:53:52" u="1"/>
        <d v="2025-08-04T15:53:48" u="1"/>
        <d v="2025-08-04T15:51:29" u="1"/>
        <d v="2025-08-04T15:22:29" u="1"/>
        <d v="2025-08-04T15:00:57" u="1"/>
        <d v="2025-08-04T14:02:44" u="1"/>
        <d v="2025-08-04T14:02:20" u="1"/>
        <d v="2025-08-04T14:02:08" u="1"/>
        <d v="2025-08-05T09:51:35" u="1"/>
        <d v="2025-08-05T08:31:47" u="1"/>
        <d v="2025-08-04T12:27:55" u="1"/>
        <d v="2025-08-04T12:02:55" u="1"/>
        <d v="2025-08-04T10:01:06" u="1"/>
        <d v="2025-08-04T09:46:45" u="1"/>
        <d v="2025-08-04T09:32:23" u="1"/>
        <d v="2025-08-04T09:32:18" u="1"/>
        <d v="2025-08-01T18:05:00" u="1"/>
        <d v="2025-08-04T17:45:29" u="1"/>
        <d v="2025-08-04T17:31:16" u="1"/>
        <d v="2025-07-31T19:01:53" u="1"/>
        <d v="2025-07-31T14:07:28" u="1"/>
        <d v="2025-07-31T10:02:55" u="1"/>
        <d v="2025-07-31T10:02:54" u="1"/>
        <d v="2025-07-30T18:36:15" u="1"/>
        <d v="2025-07-30T18:22:05" u="1"/>
        <d v="2025-08-04T13:36:18" u="1"/>
        <d v="2025-08-04T13:31:41" u="1"/>
        <d v="2025-07-30T13:07:36" u="1"/>
        <d v="2025-07-29T17:08:16" u="1"/>
        <d v="2025-07-29T17:08:06" u="1"/>
        <d v="2025-07-29T16:48:25" u="1"/>
        <d v="2025-07-28T10:00:51" u="1"/>
        <d v="2025-07-25T18:34:36" u="1"/>
        <d v="2025-07-25T13:03:10" u="1"/>
        <d v="2025-07-25T12:21:04" u="1"/>
        <d v="2025-07-24T18:30:51" u="1"/>
        <d v="2025-07-24T14:02:07" u="1"/>
        <d v="2025-07-24T12:21:15" u="1"/>
        <d v="2025-07-17T18:35:32" u="1"/>
        <d v="2025-07-17T18:35:29" u="1"/>
        <d v="2025-07-17T12:17:28" u="1"/>
        <d v="2025-08-04T09:06:58" u="1"/>
        <d v="2025-03-28T08:07:05" u="1"/>
        <d v="2025-07-28T12:33:08" u="1"/>
        <d v="2025-07-28T19:06:25" u="1"/>
        <d v="2025-08-04T20:25:42" u="1"/>
        <d v="2025-08-04T20:22:42" u="1"/>
        <d v="2025-08-01T14:32:20" u="1"/>
        <d v="2025-07-30T09:48:27" u="1"/>
        <d v="2025-08-04T20:54:12" u="1"/>
        <d v="2025-08-05T04:43:35" u="1"/>
        <d v="2025-08-05T06:45:10" u="1"/>
        <d v="2025-08-01T04:49:16" u="1"/>
        <d v="2025-08-01T05:29:19" u="1"/>
        <d v="2025-07-30T11:47:11" u="1"/>
        <d v="2025-07-31T16:31:40" u="1"/>
        <d v="2025-08-04T20:20:44" u="1"/>
        <d v="2025-08-04T20:20:59" u="1"/>
        <d v="2025-08-04T20:21:08" u="1"/>
        <d v="2025-08-04T20:22:37" u="1"/>
        <d v="2025-08-04T11:38:18" u="1"/>
        <d v="2025-08-04T18:02:08" u="1"/>
        <d v="2025-08-04T20:25:37" u="1"/>
        <d v="2025-07-30T17:32:31" u="1"/>
        <d v="2025-08-04T17:46:09" u="1"/>
        <d v="2025-08-04T17:17:36" u="1"/>
        <d v="2025-08-04T11:34:10" u="1"/>
        <d v="2025-08-04T11:46:36" u="1"/>
        <d v="2025-08-04T20:25:18" u="1"/>
        <d v="2025-07-31T19:17:25" u="1"/>
        <d v="2025-08-04T09:03:32" u="1"/>
        <d v="2025-08-01T14:33:17" u="1"/>
        <d v="2025-08-02T12:11:50" u="1"/>
        <d v="2025-08-02T11:45:56" u="1"/>
        <d v="2025-08-01T17:04:00" u="1"/>
        <d v="2025-08-01T17:12:25" u="1"/>
        <d v="2025-08-01T10:44:14" u="1"/>
        <d v="2025-08-01T13:38:01" u="1"/>
        <d v="2025-08-01T13:42:17" u="1"/>
        <d v="2025-07-31T15:51:28" u="1"/>
        <d v="2025-07-30T09:27:12" u="1"/>
        <d v="2025-08-04T17:36:01" u="1"/>
        <d v="2025-08-04T16:19:58" u="1"/>
        <d v="2025-08-04T16:23:57" u="1"/>
        <d v="2025-08-04T16:31:56" u="1"/>
        <d v="2025-08-04T18:47:40" u="1"/>
        <d v="2025-08-04T11:57:59" u="1"/>
        <d v="2025-08-04T11:58:00" u="1"/>
        <d v="2025-08-04T11:08:08" u="1"/>
        <d v="2025-08-04T11:15:54" u="1"/>
        <d v="2025-08-04T11:19:54" u="1"/>
        <d v="2025-08-04T15:00:21" u="1"/>
        <d v="2025-08-04T12:41:53" u="1"/>
        <d v="2025-08-04T12:53:52" u="1"/>
        <d v="2025-08-04T12:47:55" u="1"/>
        <d v="2025-08-04T11:45:58" u="1"/>
        <d v="2025-07-31T19:18:11" u="1"/>
        <d v="2025-08-04T20:24:40" u="1"/>
        <d v="2025-08-04T20:23:41" u="1"/>
        <d v="2025-07-31T19:18:02" u="1"/>
        <d v="2025-08-04T20:22:03" u="1"/>
        <d v="2025-08-04T11:38:04" u="1"/>
        <d v="2025-06-27T18:09:39" u="1"/>
        <d v="2025-07-31T11:37:17" u="1"/>
        <d v="2025-08-04T09:14:42" u="1"/>
        <d v="2025-08-04T09:47:16" u="1"/>
        <d v="2025-07-28T16:15:54" u="1"/>
        <d v="2025-08-04T20:24:23" u="1"/>
        <d v="2025-08-04T20:23:26" u="1"/>
        <d v="2025-08-01T18:31:29" u="1"/>
        <d v="2025-07-24T18:26:33" u="1"/>
        <d v="2025-08-04T18:26:02" u="1"/>
        <d v="2025-08-04T18:26:04" u="1"/>
        <d v="2025-08-01T18:31:04" u="1"/>
        <d v="2025-08-01T18:31:10" u="1"/>
        <d v="2025-08-01T18:31:14" u="1"/>
        <d v="2025-08-01T12:04:25" u="1"/>
        <d v="2025-08-02T00:16:38" u="1"/>
        <d v="2025-08-01T18:48:09" u="1"/>
        <d v="2025-08-01T18:52:24" u="1"/>
        <d v="2025-08-04T18:41:07" u="1"/>
        <d v="2025-08-04T18:46:04" u="1"/>
        <d v="2025-08-05T00:20:30" u="1"/>
        <d v="2025-08-04T18:22:09" u="1"/>
        <d v="2025-08-05T00:14:41" u="1"/>
        <d v="2025-08-01T18:28:14" u="1"/>
        <d v="2025-08-01T18:28:17" u="1"/>
        <d v="2025-08-01T18:28:30" u="1"/>
        <d v="2025-08-01T18:28:44" u="1"/>
        <d v="2025-08-04T12:18:19" u="1"/>
        <d v="2025-07-30T09:41:17" u="1"/>
        <d v="2025-08-05T00:13:21" u="1"/>
        <d v="2025-07-31T19:18:27" u="1"/>
        <d v="2025-08-04T20:19:49" u="1"/>
        <d v="2025-08-01T18:02:28" u="1"/>
        <d v="2025-08-04T19:17:40" u="1"/>
        <d v="2025-07-30T16:07:48" u="1"/>
        <d v="2025-08-01T13:35:51" u="1"/>
        <d v="2025-08-01T13:36:00" u="1"/>
        <d v="2025-08-04T20:19:33" u="1"/>
        <d v="2025-08-04T19:44:59" u="1"/>
        <d v="2025-08-01T12:35:44" u="1"/>
        <d v="2025-08-01T14:25:44" u="1"/>
        <d v="2025-08-01T16:55:47" u="1"/>
        <d v="2025-08-01T20:24:26" u="1"/>
        <d v="2025-08-04T18:04:58" u="1"/>
        <d v="2025-08-04T12:14:01" u="1"/>
        <d v="2025-08-04T18:58:52" u="1"/>
        <d v="2025-08-04T19:00:52" u="1"/>
        <d v="2025-08-04T19:01:45" u="1"/>
        <d v="2025-08-04T19:02:36" u="1"/>
        <d v="2025-08-01T19:08:47" u="1"/>
        <d v="2025-08-04T06:02:33" u="1"/>
        <d v="2025-06-03T15:02:18" u="1"/>
        <d v="2025-08-02T00:18:50" u="1"/>
        <d v="2025-08-02T00:18:52" u="1"/>
        <d v="2025-08-01T19:07:20" u="1"/>
        <d v="2025-08-01T19:08:04" u="1"/>
        <d v="2025-08-01T19:08:24" u="1"/>
        <d v="2025-08-01T19:08:50" u="1"/>
        <d v="2025-08-04T19:02:15" u="1"/>
        <d v="2025-07-25T18:51:44" u="1"/>
        <d v="2025-08-04T11:26:29" u="1"/>
        <d v="2025-08-01T12:55:00" u="1"/>
        <d v="2025-07-29T15:56:32" u="1"/>
        <d v="2025-07-28T08:34:56" u="1"/>
        <d v="2025-07-28T08:54:35" u="1"/>
        <d v="2025-08-04T08:55:01" u="1"/>
        <d v="2025-06-23T23:44:48" u="1"/>
        <d v="2025-07-30T20:33:19" u="1"/>
        <d v="2025-08-04T20:20:21" u="1"/>
        <d v="2025-08-04T18:32:35" u="1"/>
        <d v="2025-07-25T10:02:30" u="1"/>
        <d v="2025-07-31T19:18:53" u="1"/>
        <d v="2025-07-30T20:33:34" u="1"/>
        <d v="2025-08-05T00:13:35" u="1"/>
        <d v="2025-08-01T18:26:45" u="1"/>
        <d v="2025-08-04T12:17:16" u="1"/>
        <d v="2025-08-04T12:17:17" u="1"/>
        <d v="2025-08-04T12:16:27" u="1"/>
        <d v="2025-08-04T16:01:07" u="1"/>
        <d v="2025-07-30T12:55:19" u="1"/>
        <d v="2025-08-01T20:04:16" u="1"/>
        <d v="2025-08-04T18:33:44" u="1"/>
        <d v="2025-08-04T18:31:40" u="1"/>
        <d v="2025-08-05T00:17:06" u="1"/>
        <d v="2025-08-05T00:17:44" u="1"/>
        <d v="2025-08-04T15:02:26" u="1"/>
        <d v="2025-08-04T19:01:30" u="1"/>
        <d v="2025-08-04T15:46:23" u="1"/>
        <d v="2025-08-04T17:01:03" u="1"/>
        <d v="2025-08-04T11:35:12" u="1"/>
        <d v="2025-08-01T13:33:37" u="1"/>
        <d v="2025-08-04T18:30:43" u="1"/>
        <d v="2025-08-04T09:31:42" u="1"/>
        <d v="2025-08-04T15:31:06" u="1"/>
        <d v="2025-08-04T15:02:42" u="1"/>
        <d v="2025-08-04T09:31:18" u="1"/>
        <d v="2025-08-01T19:01:10" u="1"/>
        <d v="2025-08-04T18:01:14" u="1"/>
        <d v="2025-08-04T11:45:48" u="1"/>
        <d v="2025-08-04T11:45:54" u="1"/>
        <d v="2025-08-04T13:15:50" u="1"/>
        <d v="2025-07-31T12:46:21" u="1"/>
        <d v="2025-07-31T17:01:42" u="1"/>
        <d v="2025-08-04T13:01:42" u="1"/>
        <d v="2025-08-04T17:16:57" u="1"/>
        <d v="2025-08-04T20:18:05" u="1"/>
        <d v="2025-08-04T20:23:32" u="1"/>
        <d v="2025-08-04T18:36:42" u="1"/>
        <d v="2025-08-04T18:37:00" u="1"/>
        <d v="2025-08-04T17:26:22" u="1"/>
        <d v="2025-07-30T09:56:24" u="1"/>
        <d v="2025-07-30T09:56:26" u="1"/>
        <d v="2025-07-30T12:13:35" u="1"/>
        <d v="2025-08-02T12:02:04" u="1"/>
        <d v="2025-07-31T11:28:44" u="1"/>
        <d v="2025-07-24T12:02:27" u="1"/>
        <d v="2025-08-01T18:02:01" u="1"/>
        <d v="2025-08-03T18:02:45" u="1"/>
        <d v="2025-08-05T00:16:17" u="1"/>
        <d v="2025-08-05T00:16:37" u="1"/>
        <d v="2025-08-04T18:27:07" u="1"/>
        <d v="2025-08-02T12:03:09" u="1"/>
        <d v="2025-08-05T00:16:07" u="1"/>
        <d v="2025-08-01T18:58:42" u="1"/>
        <d v="2025-08-01T18:58:51" u="1"/>
        <d v="2025-08-01T18:59:12" u="1"/>
        <d v="2025-08-01T18:59:54" u="1"/>
        <d v="2025-08-02T00:17:21" u="1"/>
        <d v="2025-07-28T17:44:53" u="1"/>
        <d v="2025-07-30T16:25:51" u="1"/>
        <d v="2025-08-01T17:44:16" u="1"/>
        <d v="2025-07-31T12:15:13" u="1"/>
        <d v="2025-07-31T12:15:21" u="1"/>
        <d v="2025-08-04T20:23:50" u="1"/>
        <d v="2025-08-04T17:23:26" u="1"/>
        <d v="2025-08-04T17:23:40" u="1"/>
        <d v="2025-08-04T17:09:18" u="1"/>
        <d v="2025-07-24T18:38:52" u="1"/>
        <d v="2025-08-04T12:07:33" u="1"/>
        <d v="2025-08-04T18:06:53" u="1"/>
        <d v="2025-08-05T00:05:30" u="1"/>
        <d v="2025-08-01T18:08:35" u="1"/>
        <d v="2025-08-01T18:08:38" u="1"/>
        <d v="2025-08-03T12:02:16" u="1"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8-01T00:11:35" u="1"/>
        <d v="2025-08-01T00:06:25" u="1"/>
        <d v="2025-07-31T21:04:41" u="1"/>
        <d v="2025-07-31T21:04:39" u="1"/>
        <d v="2025-07-31T19:21:29" u="1"/>
        <d v="2025-07-31T19:20:41" u="1"/>
        <d v="2025-07-31T19:20:28" u="1"/>
        <d v="2025-07-31T19:20:21" u="1"/>
        <d v="2025-07-31T19:19:28" u="1"/>
        <d v="2025-07-31T19:17:31" u="1"/>
        <d v="2025-07-31T19:16:58" u="1"/>
        <d v="2025-07-31T19:14:25" u="1"/>
        <d v="2025-07-31T19:13:36" u="1"/>
        <d v="2025-07-31T19:13:22" u="1"/>
        <d v="2025-07-31T19:13:18" u="1"/>
        <d v="2025-07-31T19:02:40" u="1"/>
        <d v="2025-07-31T19:01:43" u="1"/>
        <d v="2025-07-31T18:39:49" u="1"/>
        <d v="2025-07-31T18:38:02" u="1"/>
        <d v="2025-07-31T18:35:39" u="1"/>
        <d v="2025-07-31T18:35:36" u="1"/>
        <d v="2025-07-31T18:35:18" u="1"/>
        <d v="2025-07-31T18:30:46" u="1"/>
        <d v="2025-07-31T18:28:29" u="1"/>
        <d v="2025-07-31T18:28:22" u="1"/>
        <d v="2025-07-31T18:28:15" u="1"/>
        <d v="2025-07-31T18:16:54" u="1"/>
        <d v="2025-07-31T18:16:45" u="1"/>
        <d v="2025-07-31T18:09:24" u="1"/>
        <d v="2025-07-31T18:04:48" u="1"/>
        <d v="2025-07-31T18:04:41" u="1"/>
        <d v="2025-07-31T18:04:38" u="1"/>
        <d v="2025-07-31T18:04:37" u="1"/>
        <d v="2025-07-31T18:02:02" u="1"/>
        <d v="2025-07-31T17:34:46" u="1"/>
        <d v="2025-07-31T17:22:40" u="1"/>
        <d v="2025-07-31T17:18:04" u="1"/>
        <d v="2025-07-31T17:17:00" u="1"/>
        <d v="2025-07-31T17:14:04" u="1"/>
        <d v="2025-07-31T17:06:19" u="1"/>
        <d v="2025-07-31T17:05:42" u="1"/>
        <d v="2025-07-31T17:05:09" u="1"/>
        <d v="2025-07-31T17:05:07" u="1"/>
        <d v="2025-07-31T17:05:06" u="1"/>
        <d v="2025-07-31T17:05:03" u="1"/>
        <d v="2025-07-31T17:04:08" u="1"/>
        <d v="2025-07-31T17:03:17" u="1"/>
        <d v="2025-07-31T17:03:11" u="1"/>
        <d v="2025-07-31T17:02:37" u="1"/>
        <d v="2025-07-31T17:02:04" u="1"/>
        <d v="2025-07-31T16:34:03" u="1"/>
        <d v="2025-07-31T16:31:59" u="1"/>
        <d v="2025-07-31T16:28:17" u="1"/>
        <d v="2025-07-31T16:06:38" u="1"/>
        <d v="2025-07-31T15:58:06" u="1"/>
        <d v="2025-07-31T15:54:32" u="1"/>
        <d v="2025-07-31T15:54:12" u="1"/>
        <d v="2025-07-31T15:50:28" u="1"/>
        <d v="2025-07-31T15:50:12" u="1"/>
        <d v="2025-07-31T15:45:16" u="1"/>
        <d v="2025-07-31T15:26:06" u="1"/>
        <d v="2025-07-31T15:20:53" u="1"/>
        <d v="2025-07-31T15:20:41" u="1"/>
        <d v="2025-07-31T15:16:06" u="1"/>
        <d v="2025-07-31T15:12:33" u="1"/>
        <d v="2025-07-31T15:08:04" u="1"/>
        <d v="2025-07-31T14:54:50" u="1"/>
        <d v="2025-07-31T14:35:42" u="1"/>
        <d v="2025-07-31T14:05:25" u="1"/>
        <d v="2025-07-31T14:03:27" u="1"/>
        <d v="2025-07-31T13:56:52" u="1"/>
        <d v="2025-07-31T13:47:04" u="1"/>
        <d v="2025-07-31T13:12:05" u="1"/>
        <d v="2025-07-31T13:08:09" u="1"/>
        <d v="2025-07-31T13:04:04" u="1"/>
        <d v="2025-07-31T12:56:06" u="1"/>
        <d v="2025-07-31T12:52:06" u="1"/>
        <d v="2025-07-31T12:48:09" u="1"/>
        <d v="2025-07-31T12:46:15" u="1"/>
        <d v="2025-07-31T12:46:12" u="1"/>
        <d v="2025-07-31T12:31:38" u="1"/>
        <d v="2025-07-31T12:29:19" u="1"/>
        <d v="2025-07-31T12:27:46" u="1"/>
        <d v="2025-07-31T12:24:39" u="1"/>
        <d v="2025-07-31T12:18:29" u="1"/>
        <d v="2025-07-31T12:18:17" u="1"/>
        <d v="2025-07-31T12:04:10" u="1"/>
        <d v="2025-07-31T11:18:22" u="1"/>
        <d v="2025-07-31T10:51:28" u="1"/>
        <d v="2025-07-31T10:17:54" u="1"/>
        <d v="2025-07-31T10:17:53" u="1"/>
        <d v="2025-07-31T09:50:01" u="1"/>
        <d v="2025-07-31T08:06:53" u="1"/>
        <d v="2025-07-31T08:06:52" u="1"/>
        <d v="2025-07-31T07:43:16" u="1"/>
        <d v="2025-07-30T18:38:24" u="1"/>
        <d v="2025-07-30T18:14:00" u="1"/>
        <d v="2025-07-30T18:03:41" u="1"/>
        <d v="2025-07-30T16:44:40" u="1"/>
        <d v="2025-07-30T16:38:53" u="1"/>
        <d v="2025-07-30T16:24:39" u="1"/>
        <d v="2025-07-30T16:17:57" u="1"/>
        <d v="2025-07-30T16:04:13" u="1"/>
        <d v="2025-07-30T16:04:11" u="1"/>
        <d v="2025-07-29T18:34:32" u="1"/>
        <d v="2025-07-29T17:08:49" u="1"/>
        <d v="2025-07-29T17:08:45" u="1"/>
        <d v="2025-07-29T12:55:05" u="1"/>
        <d v="2025-07-28T19:06:31" u="1"/>
        <d v="2025-07-28T18:22:55" u="1"/>
        <d v="2025-07-25T18:36:42" u="1"/>
        <d v="2025-07-23T00:12:49" u="1"/>
        <d v="2025-07-28T10:52:41" u="1"/>
        <d v="2025-07-28T10:59:24" u="1"/>
        <d v="2025-07-30T13:02:13" u="1"/>
        <d v="2025-07-30T12:39:09" u="1"/>
        <d v="2025-07-31T01:51:19" u="1"/>
        <d v="2025-07-30T20:32:35" u="1"/>
        <d v="2025-07-24T12:03:19" u="1"/>
        <d v="2025-07-29T14:33:13" u="1"/>
        <d v="2025-07-30T17:03:15" u="1"/>
        <d v="2025-07-30T20:34:15" u="1"/>
        <d v="2025-07-24T17:16:35" u="1"/>
        <d v="2025-07-30T14:58:08" u="1"/>
        <d v="2025-07-30T12:43:01" u="1"/>
        <d v="2025-07-30T12:28:01" u="1"/>
        <d v="2025-07-30T11:02:22" u="1"/>
        <d v="2025-07-30T11:02:23" u="1"/>
        <d v="2025-07-30T16:42:12" u="1"/>
        <d v="2025-07-30T15:56:03" u="1"/>
        <d v="2025-07-30T12:59:59" u="1"/>
        <d v="2025-07-30T15:30:08" u="1"/>
        <d v="2025-07-30T15:40:01" u="1"/>
        <d v="2025-07-30T15:44:02" u="1"/>
        <d v="2025-07-30T14:36:06" u="1"/>
        <d v="2025-07-30T14:52:13" u="1"/>
        <d v="2025-07-30T14:54:04" u="1"/>
        <d v="2025-07-30T18:38:09" u="1"/>
        <d v="2025-07-30T12:42:51" u="1"/>
        <d v="2025-07-30T12:42:58" u="1"/>
        <d v="2025-07-30T12:42:59" u="1"/>
        <d v="2025-07-30T12:30:37" u="1"/>
        <d v="2025-07-30T12:20:05" u="1"/>
        <d v="2025-07-30T12:57:57" u="1"/>
        <d v="2025-07-30T13:20:13" u="1"/>
        <d v="2025-07-30T13:45:59" u="1"/>
        <d v="2025-07-30T13:52:04" u="1"/>
        <d v="2025-07-29T10:56:29" u="1"/>
        <d v="2025-07-29T17:19:53" u="1"/>
        <d v="2025-07-30T12:43:02" u="1"/>
        <d v="2025-07-30T17:04:09" u="1"/>
        <d v="2025-07-30T17:04:10" u="1"/>
        <d v="2025-07-30T09:23:59" u="1"/>
        <d v="2025-07-30T10:12:37" u="1"/>
        <d v="2025-07-30T10:24:03" u="1"/>
        <d v="2025-07-30T10:33:01" u="1"/>
        <d v="2025-07-30T11:00:02" u="1"/>
        <d v="2025-07-30T18:53:58" u="1"/>
        <d v="2025-07-30T17:44:01" u="1"/>
        <d v="2025-07-30T17:46:04" u="1"/>
        <d v="2025-07-30T19:03:58" u="1"/>
        <d v="2025-07-30T18:51:04" u="1"/>
        <d v="2025-07-30T17:37:51" u="1"/>
        <d v="2025-07-30T20:33:08" u="1"/>
        <d v="2025-07-30T12:40:15" u="1"/>
        <d v="2025-07-30T15:02:41" u="1"/>
        <d v="2025-07-30T22:02:47" u="1"/>
        <d v="2025-07-29T15:03:20" u="1"/>
        <d v="2025-07-30T19:04:03" u="1"/>
        <d v="2025-07-30T19:04:06" u="1"/>
        <d v="2025-07-29T12:27:14" u="1"/>
        <d v="2025-07-30T18:45:01" u="1"/>
        <d v="2025-07-30T18:45:05" u="1"/>
        <d v="2025-07-30T18:51:11" u="1"/>
        <d v="2025-07-29T18:42:00" u="1"/>
        <d v="2025-07-30T13:05:08" u="1"/>
        <d v="2025-07-29T18:59:49" u="1"/>
        <d v="2025-07-29T18:59:15" u="1"/>
        <d v="2025-07-29T18:59:23" u="1"/>
        <d v="2025-07-29T18:59:30" u="1"/>
        <d v="2025-07-30T13:13:45" u="1"/>
        <d v="2025-07-29T18:56:44" u="1"/>
        <d v="2025-07-30T20:32:02" u="1"/>
        <d v="2025-06-16T10:07:13" u="1"/>
        <d v="2025-07-30T11:58:45" u="1"/>
        <d v="2025-07-30T13:15:20" u="1"/>
        <d v="2025-07-29T19:02:35" u="1"/>
        <d v="2025-07-30T00:34:09" u="1"/>
        <d v="2025-07-29T12:33:52" u="1"/>
        <d v="2025-07-29T12:34:56" u="1"/>
        <d v="2025-07-25T15:55:26" u="1"/>
        <d v="2025-07-30T09:07:09" u="1"/>
        <d v="2025-07-30T11:28:32" u="1"/>
        <d v="2025-07-29T18:43:39" u="1"/>
        <d v="2025-07-30T20:31:46" u="1"/>
        <d v="2025-07-30T20:31:52" u="1"/>
        <d v="2025-07-28T12:17:13" u="1"/>
        <d v="2025-07-29T18:20:34" u="1"/>
        <d v="2025-07-29T18:20:40" u="1"/>
        <d v="2025-07-29T18:20:49" u="1"/>
        <d v="2025-07-31T00:05:18" u="1"/>
        <d v="2025-07-30T18:20:24" u="1"/>
        <d v="2025-07-30T18:21:48" u="1"/>
        <d v="2025-07-30T18:03:49" u="1"/>
        <d v="2025-07-29T11:00:29" u="1"/>
        <d v="2025-07-28T19:01:57" u="1"/>
        <d v="2025-07-30T09:03:41" u="1"/>
        <d v="2025-07-30T10:04:58" u="1"/>
        <d v="2025-07-29T18:02:40" u="1"/>
        <d v="2025-07-30T15:03:48" u="1"/>
        <d v="2025-07-30T12:05:57" u="1"/>
        <d v="2025-07-30T12:06:34" u="1"/>
        <d v="2025-07-29T12:00:42" u="1"/>
        <d v="2025-07-29T13:00:37" u="1"/>
        <d v="2025-07-29T18:36:24" u="1"/>
        <d v="2025-07-30T14:25:45" u="1"/>
        <d v="2025-07-28T12:25:24" u="1"/>
        <d v="2025-07-30T18:31:12" u="1"/>
        <d v="2025-07-30T16:16:25" u="1"/>
        <d v="2025-07-30T20:32:20" u="1"/>
        <d v="2025-07-30T20:33:04" u="1"/>
        <d v="2025-07-30T20:32:09" u="1"/>
        <d v="2025-07-30T20:32:15" u="1"/>
        <d v="2025-07-30T17:01:02" u="1"/>
        <d v="2025-07-30T20:33:39" u="1"/>
        <d v="2025-07-04T17:31:17" u="1"/>
        <d v="2025-07-29T19:14:49" u="1"/>
        <d v="2025-07-29T14:51:14" u="1"/>
        <d v="2025-07-29T18:35:08" u="1"/>
        <d v="2025-07-30T12:54:54" u="1"/>
        <d v="2025-07-30T12:55:02" u="1"/>
        <d v="2025-07-30T18:40:52" u="1"/>
        <d v="2025-07-30T18:40:53" u="1"/>
        <d v="2025-07-27T21:14:20" u="1"/>
        <d v="2025-07-29T18:02:42" u="1"/>
        <d v="2025-07-01T06:02:33" u="1"/>
        <d v="2025-07-31T00:10:19" u="1"/>
        <d v="2025-07-29T18:02:01" u="1"/>
        <d v="2025-07-30T18:02:36" u="1"/>
        <d v="2025-07-30T18:02:23" u="1"/>
        <d v="2025-07-29T18:02:07" u="1"/>
        <d v="2025-07-30T18:02:03" u="1"/>
        <d v="2025-07-30T18:27:42" u="1"/>
        <d v="2025-07-30T18:29:20" u="1"/>
        <d v="2025-07-29T18:25:46" u="1"/>
        <d v="2025-07-29T18:27:13" u="1"/>
        <d v="2025-07-31T00:07:29" u="1"/>
        <d v="2025-07-29T18:53:47" u="1"/>
        <d v="2025-07-30T13:07:21" u="1"/>
        <d v="2025-07-30T13:07:27" u="1"/>
        <d v="2025-07-31T00:14:58" u="1"/>
        <d v="2025-07-30T13:08:39" u="1"/>
        <d v="2025-07-30T11:28:45" u="1"/>
        <d v="2025-07-29T12:55:08" u="1"/>
        <d v="2025-07-30T08:35:43" u="1"/>
        <d v="2025-07-30T17:15:13" u="1"/>
        <d v="2025-07-30T15:06:18" u="1"/>
        <d v="2025-07-30T10:09:22" u="1"/>
        <d v="2025-07-30T18:21:57" u="1"/>
        <d v="2025-07-29T16:48:52" u="1"/>
        <d v="2025-07-30T12:17:35" u="1"/>
        <d v="2025-07-30T12:18:04" u="1"/>
        <d v="2025-07-30T12:18:15" u="1"/>
        <d v="2025-07-30T12:18:20" u="1"/>
        <d v="2025-07-30T12:19:00" u="1"/>
        <d v="2025-07-30T18:08:14" u="1"/>
        <d v="2025-07-30T18:08:19" u="1"/>
        <d v="2025-07-30T18:08:50" u="1"/>
        <d v="2025-07-29T16:47:31" u="1"/>
        <d v="2025-07-29T16:47:35" u="1"/>
        <d v="2025-07-29T16:47:43" u="1"/>
        <d v="2025-07-29T16:49:34" u="1"/>
        <d v="2025-07-30T01:20:16" u="1"/>
        <d v="2025-07-29T19:16:51" u="1"/>
        <d v="2025-07-29T19:16:46" u="1"/>
        <d v="2025-07-23T14:01:48" u="1"/>
        <d v="2025-07-25T16:01:25" u="1"/>
        <d v="2025-07-29T20:17:03" u="1"/>
        <d v="2025-07-02T13:01:54" u="1"/>
        <d v="2025-07-29T14:32:21" u="1"/>
        <d v="2025-07-29T20:16:32" u="1"/>
        <d v="2025-07-29T20:16:51" u="1"/>
        <d v="2025-07-29T15:46:52" u="1"/>
        <d v="2025-07-29T13:19:55" u="1"/>
        <d v="2025-07-29T15:24:41" u="1"/>
        <d v="2025-07-29T19:43:50" u="1"/>
        <d v="2025-07-29T15:17:51" u="1"/>
        <d v="2025-07-29T16:20:24" u="1"/>
        <d v="2025-07-29T12:47:55" u="1"/>
        <d v="2025-07-29T17:28:07" u="1"/>
        <d v="2025-07-29T17:59:55" u="1"/>
        <d v="2025-07-29T18:00:08" u="1"/>
        <d v="2025-07-29T17:15:56" u="1"/>
        <d v="2025-07-29T17:17:56" u="1"/>
        <d v="2025-07-29T17:21:54" u="1"/>
        <d v="2025-07-29T17:22:05" u="1"/>
        <d v="2025-07-29T16:53:56" u="1"/>
        <d v="2025-07-29T12:27:54" u="1"/>
        <d v="2025-07-29T11:57:57" u="1"/>
        <d v="2025-07-29T14:40:33" u="1"/>
        <d v="2025-07-29T14:40:47" u="1"/>
        <d v="2025-07-29T14:27:55" u="1"/>
        <d v="2025-07-29T14:32:20" u="1"/>
        <d v="2025-07-29T14:59:52" u="1"/>
        <d v="2025-07-29T15:41:52" u="1"/>
        <d v="2025-07-29T12:01:57" u="1"/>
        <d v="2025-07-29T13:05:51" u="1"/>
        <d v="2025-07-29T13:21:55" u="1"/>
        <d v="2025-07-29T17:16:39" u="1"/>
        <d v="2025-07-29T09:02:25" u="1"/>
        <d v="2025-07-25T17:35:48" u="1"/>
        <d v="2025-07-29T17:22:08" u="1"/>
        <d v="2025-07-25T14:01:50" u="1"/>
        <d v="2025-07-29T19:45:39" u="1"/>
        <d v="2025-07-25T10:07:17" u="1"/>
        <d v="2025-07-10T17:35:57" u="1"/>
        <d v="2025-07-24T18:51:45" u="1"/>
        <d v="2025-07-22T08:50:40" u="1"/>
        <d v="2025-07-29T20:16:57" u="1"/>
        <d v="2025-07-28T19:16:34" u="1"/>
        <d v="2025-07-22T15:01:50" u="1"/>
        <d v="2025-07-29T11:02:00" u="1"/>
        <d v="2025-07-29T11:02:02" u="1"/>
        <d v="2025-07-29T10:03:16" u="1"/>
        <d v="2025-07-29T14:03:19" u="1"/>
        <d v="2025-07-29T14:03:21" u="1"/>
        <d v="2025-07-29T12:45:25" u="1"/>
        <d v="2025-07-23T13:16:20" u="1"/>
        <d v="2025-07-29T16:53:33" u="1"/>
        <d v="2025-07-29T12:34:47" u="1"/>
        <d v="2025-07-29T13:05:33" u="1"/>
        <d v="2025-07-07T17:25:35" u="1"/>
        <d v="2025-07-21T17:05:37" u="1"/>
        <d v="2025-07-10T10:36:40" u="1"/>
        <d v="2025-07-22T18:00:39" u="1"/>
        <d v="2025-07-28T12:25:08" u="1"/>
        <d v="2025-07-29T11:31:00" u="1"/>
        <d v="2025-07-29T11:31:18" u="1"/>
        <d v="2025-07-29T09:31:54" u="1"/>
        <d v="2025-07-29T19:15:04" u="1"/>
        <d v="2025-07-29T19:15:09" u="1"/>
        <d v="2025-07-29T09:31:42" u="1"/>
        <d v="2025-07-28T18:16:05" u="1"/>
        <d v="2025-07-29T18:44:11" u="1"/>
        <d v="2025-07-29T19:14:44" u="1"/>
        <d v="2025-07-29T16:46:51" u="1"/>
        <d v="2025-07-23T09:49:50" u="1"/>
        <d v="2025-07-29T17:06:44" u="1"/>
        <d v="2025-07-29T12:21:54" u="1"/>
        <d v="2025-07-29T12:21:55" u="1"/>
        <d v="2025-07-29T18:33:28" u="1"/>
        <d v="2025-07-11T18:04:31" u="1"/>
        <d v="2025-07-29T18:06:24" u="1"/>
        <d v="2025-07-29T12:06:29" u="1"/>
        <d v="2025-07-29T16:54:50" u="1"/>
        <d v="2025-07-29T17:08:53" u="1"/>
        <d v="2025-07-29T17:08:56" u="1"/>
        <d v="2025-07-25T18:41:08" u="1"/>
        <d v="2025-07-26T17:13:10" u="1"/>
        <d v="2025-07-24T16:06:03" u="1"/>
        <d v="2025-07-23T16:52:21" u="1"/>
        <d v="2025-07-23T11:29:15" u="1"/>
        <d v="2025-07-18T01:10:19" u="1"/>
        <d v="2025-07-19T04:51:19" u="1"/>
        <d v="2025-07-20T04:18:30" u="1"/>
        <d v="2025-07-15T03:45:24" u="1"/>
        <d v="2025-07-12T03:49:24" u="1"/>
        <d v="2025-07-12T04:59:22" u="1"/>
        <d v="2025-07-13T05:07:37" u="1"/>
        <d v="2025-07-13T06:53:30" u="1"/>
        <d v="2025-07-13T08:01:35" u="1"/>
        <d v="2025-07-13T18:54:16" u="1"/>
        <d v="2025-07-14T01:01:22" u="1"/>
        <d v="2025-07-14T04:51:24" u="1"/>
        <d v="2025-07-17T01:01:21" u="1"/>
        <d v="2025-07-25T14:07:07" u="1"/>
        <d v="2025-07-25T14:16:06" u="1"/>
        <d v="2025-07-25T14:35:10" u="1"/>
        <d v="2025-07-26T01:01:21" u="1"/>
        <d v="2025-07-27T04:13:18" u="1"/>
        <d v="2025-07-28T01:07:22" u="1"/>
        <d v="2025-07-28T07:04:29" u="1"/>
        <d v="2025-07-24T02:47:16" u="1"/>
        <d v="2025-07-25T01:08:20" u="1"/>
        <d v="2025-07-25T04:21:17" u="1"/>
        <d v="2025-07-18T21:41:27" u="1"/>
        <d v="2025-07-03T15:22:33" u="1"/>
        <d v="2025-07-03T13:41:04" u="1"/>
        <d v="2025-06-23T12:19:25" u="1"/>
        <d v="2025-04-08T17:17:48" u="1"/>
        <d v="2025-07-07T19:03:02" u="1"/>
        <d v="2025-07-23T17:03:18" u="1"/>
        <d v="2025-07-23T17:04:16" u="1"/>
        <d v="2025-06-26T13:17:10" u="1"/>
        <d v="2025-07-21T17:02:27" u="1"/>
        <d v="2025-06-27T16:46:27" u="1"/>
        <d v="2025-06-27T16:46:33" u="1"/>
        <d v="2025-06-26T07:46:29" u="1"/>
        <d v="2025-07-21T17:17:44" u="1"/>
        <d v="2025-07-24T11:02:52" u="1"/>
        <d v="2025-07-21T16:41:29" u="1"/>
        <d v="2025-07-24T13:01:42" u="1"/>
        <d v="2025-07-14T20:17:14" u="1"/>
        <d v="2025-07-28T11:47:17" u="1"/>
        <d v="2025-07-28T12:02:46" u="1"/>
        <d v="2025-07-14T09:33:03" u="1"/>
        <d v="2025-07-25T11:46:34" u="1"/>
        <d v="2025-07-08T19:01:54" u="1"/>
        <d v="2025-07-21T16:16:42" u="1"/>
        <d v="2025-07-21T13:02:35" u="1"/>
        <d v="2025-07-23T17:17:13" u="1"/>
        <d v="2025-07-23T10:02:10" u="1"/>
        <d v="2025-06-05T12:02:35" u="1"/>
        <d v="2025-07-02T18:33:09" u="1"/>
        <d v="2025-07-25T10:17:37" u="1"/>
        <d v="2025-03-19T23:45:38" u="1"/>
        <d v="2025-07-22T17:02:20" u="1"/>
        <d v="2025-07-22T10:01:49" u="1"/>
        <d v="2025-07-25T17:01:54" u="1"/>
        <d v="2025-06-23T15:46:53" u="1"/>
        <d v="2025-07-22T18:46:52" u="1"/>
        <d v="2025-07-22T18:47:05" u="1"/>
        <d v="2025-06-23T11:03:49" u="1"/>
        <d v="2025-07-22T18:46:46" u="1"/>
        <d v="2025-07-23T16:32:16" u="1"/>
        <d v="2025-07-22T18:47:17" u="1"/>
        <d v="2025-07-04T20:17:53" u="1"/>
        <d v="2025-07-24T14:02:16" u="1"/>
        <d v="2025-07-17T19:17:11" u="1"/>
        <d v="2025-07-17T16:18:20" u="1"/>
        <d v="2025-07-28T16:39:50" u="1"/>
        <d v="2025-07-28T17:38:27" u="1"/>
        <d v="2025-07-28T17:40:20" u="1"/>
        <d v="2025-07-28T18:51:50" u="1"/>
        <d v="2025-07-28T17:46:14" u="1"/>
        <d v="2025-07-28T17:51:49" u="1"/>
        <d v="2025-07-28T20:11:46" u="1"/>
        <d v="2025-07-28T20:29:47" u="1"/>
        <d v="2025-07-28T20:41:45" u="1"/>
        <d v="2025-07-28T19:07:52" u="1"/>
        <d v="2025-07-28T19:07:53" u="1"/>
        <d v="2025-07-28T19:07:54" u="1"/>
        <d v="2025-07-28T18:59:50" u="1"/>
        <d v="2025-07-28T18:59:51" u="1"/>
        <d v="2025-07-28T19:13:52" u="1"/>
        <d v="2025-07-28T19:15:51" u="1"/>
        <d v="2025-07-28T18:33:53" u="1"/>
        <d v="2025-07-28T09:43:48" u="1"/>
        <d v="2025-07-28T10:25:59" u="1"/>
        <d v="2025-07-28T10:35:52" u="1"/>
        <d v="2025-07-28T15:07:49" u="1"/>
        <d v="2025-07-28T15:22:03" u="1"/>
        <d v="2025-07-28T15:59:56" u="1"/>
        <d v="2025-07-28T14:24:30" u="1"/>
        <d v="2025-07-28T14:25:54" u="1"/>
        <d v="2025-07-28T12:15:41" u="1"/>
        <d v="2025-07-28T11:28:09" u="1"/>
        <d v="2025-07-28T11:35:50" u="1"/>
        <d v="2025-07-28T14:52:46" u="1"/>
        <d v="2025-07-28T14:53:48" u="1"/>
        <d v="2025-07-28T12:45:48" u="1"/>
        <d v="2025-07-28T13:19:50" u="1"/>
        <d v="2025-07-28T17:03:53" u="1"/>
        <d v="2025-07-28T18:29:55" u="1"/>
        <d v="2025-07-28T18:31:57" u="1"/>
        <d v="2025-07-28T17:14:00" u="1"/>
        <d v="2025-07-28T16:22:05" u="1"/>
        <d v="2025-07-25T10:16:49" u="1"/>
        <d v="2025-07-03T15:06:47" u="1"/>
        <d v="2025-07-22T16:35:36" u="1"/>
        <d v="2025-07-16T12:08:15" u="1"/>
        <d v="2025-07-09T10:50:15" u="1"/>
        <d v="2025-07-14T09:40:02" u="1"/>
        <d v="2025-07-10T17:36:21" u="1"/>
        <d v="2025-07-04T10:33:31" u="1"/>
        <d v="2025-07-04T20:17:24" u="1"/>
        <d v="2025-07-28T17:03:34" u="1"/>
        <d v="2025-07-28T11:06:25" u="1"/>
        <d v="2025-07-28T19:46:57" u="1"/>
        <d v="2025-07-28T13:46:52" u="1"/>
        <d v="2025-07-08T16:55:10" u="1"/>
        <d v="2025-07-11T09:55:13" u="1"/>
        <d v="2025-07-18T14:26:00" u="1"/>
        <d v="2025-07-18T14:35:07" u="1"/>
        <d v="2025-07-15T14:25:55" u="1"/>
        <d v="2025-06-06T15:17:33" u="1"/>
        <d v="2025-07-28T17:02:58" u="1"/>
        <d v="2025-07-25T18:26:55" u="1"/>
        <d v="2025-06-28T14:07:06" u="1"/>
        <d v="2025-06-21T04:54:45" u="1"/>
        <d v="2025-06-12T11:19:37" u="1"/>
        <d v="2025-06-12T11:20:10" u="1"/>
        <d v="2025-06-17T08:57:12" u="1"/>
        <d v="2025-07-25T19:02:40" u="1"/>
        <d v="2025-07-25T19:02:41" u="1"/>
        <d v="2025-07-25T16:03:51" u="1"/>
        <d v="2025-07-28T18:03:22" u="1"/>
        <d v="2025-07-28T18:03:23" u="1"/>
        <d v="2025-07-28T09:01:42" u="1"/>
        <d v="2025-06-28T13:22:27" u="1"/>
        <d v="2025-06-23T01:04:58" u="1"/>
        <d v="2025-07-28T18:51:33" u="1"/>
        <d v="2025-07-28T18:56:12" u="1"/>
        <d v="2025-07-25T12:23:10" u="1"/>
        <d v="2025-07-24T18:52:16" u="1"/>
        <d v="2025-07-24T18:52:39" u="1"/>
        <d v="2025-07-25T00:19:04" u="1"/>
        <d v="2025-07-28T12:29:49" u="1"/>
        <d v="2025-07-28T12:31:37" u="1"/>
        <d v="2025-06-12T16:50:25" u="1"/>
        <d v="2025-06-12T16:50:45" u="1"/>
        <d v="2025-07-25T18:26:27" u="1"/>
        <d v="2025-07-09T18:17:54" u="1"/>
        <d v="2025-06-19T01:42:16" u="1"/>
        <d v="2025-06-19T01:44:03" u="1"/>
        <d v="2025-06-12T15:19:23" u="1"/>
        <d v="2025-06-28T13:30:29" u="1"/>
        <d v="2025-06-28T13:28:38" u="1"/>
        <d v="2025-07-09T00:16:22" u="1"/>
        <d v="2025-07-22T18:25:57" u="1"/>
        <d v="2025-07-22T18:26:02" u="1"/>
        <d v="2025-07-22T18:26:06" u="1"/>
        <d v="2025-07-22T18:26:07" u="1"/>
        <d v="2025-07-07T18:27:48" u="1"/>
        <d v="2025-07-28T18:28:23" u="1"/>
        <d v="2025-07-29T00:07:41" u="1"/>
        <d v="2025-06-04T20:20:23" u="1"/>
        <d v="2025-06-17T05:15:16" u="1"/>
        <d v="2025-06-26T07:41:10" u="1"/>
        <d v="2025-06-26T07:42:47" u="1"/>
        <d v="2025-06-26T07:44:38" u="1"/>
        <d v="2025-07-01T12:13:43" u="1"/>
        <d v="2025-07-11T12:17:47" u="1"/>
        <d v="2025-07-22T12:20:48" u="1"/>
        <d v="2025-06-28T11:59:33" u="1"/>
        <d v="2025-06-19T03:10:02" u="1"/>
        <d v="2025-06-13T05:37:56" u="1"/>
        <d v="2025-06-15T01:48:52" u="1"/>
        <d v="2025-06-03T19:54:11" u="1"/>
        <d v="2025-06-25T21:55:03" u="1"/>
        <d v="2025-06-25T22:46:35" u="1"/>
        <d v="2025-06-28T08:02:37" u="1"/>
        <d v="2025-06-28T10:22:48" u="1"/>
        <d v="2025-07-25T18:31:56" u="1"/>
        <d v="2025-07-25T18:31:22" u="1"/>
        <d v="2025-07-17T15:51:22" u="1"/>
        <d v="2025-06-14T07:21:50" u="1"/>
        <d v="2025-07-28T19:11:32" u="1"/>
        <d v="2025-07-28T19:13:51" u="1"/>
        <d v="2025-07-28T19:15:52" u="1"/>
        <d v="2025-07-28T19:14:34" u="1"/>
        <d v="2025-06-03T13:25:22" u="1"/>
        <d v="2025-06-03T13:25:04" u="1"/>
        <d v="2025-06-09T18:36:24" u="1"/>
        <d v="2025-07-22T14:46:23" u="1"/>
        <d v="2025-07-23T15:36:04" u="1"/>
        <d v="2025-07-23T15:36:10" u="1"/>
        <d v="2025-07-21T17:32:08" u="1"/>
        <d v="2025-07-24T16:17:20" u="1"/>
        <d v="2025-07-28T14:46:44" u="1"/>
        <d v="2025-07-28T14:46:57" u="1"/>
        <d v="2025-06-30T14:49:43" u="1"/>
        <d v="2025-07-02T19:34:54" u="1"/>
        <d v="2025-06-27T18:08:25" u="1"/>
        <d v="2025-06-27T18:08:31" u="1"/>
        <d v="2025-07-23T19:17:11" u="1"/>
        <d v="2025-06-27T17:50:36" u="1"/>
        <d v="2025-06-24T18:52:05" u="1"/>
        <d v="2025-07-10T17:22:22" u="1"/>
        <d v="2025-07-17T18:07:02" u="1"/>
        <d v="2025-06-27T18:08:37" u="1"/>
        <d v="2025-06-28T06:46:34" u="1"/>
        <d v="2025-07-11T11:17:28" u="1"/>
        <d v="2025-01-01T00:00:00" u="1"/>
        <d v="2025-06-04T18:35:01" u="1"/>
        <d v="2025-07-18T18:25:18" u="1"/>
        <d v="2025-07-28T17:08:11" u="1"/>
        <d v="2025-07-28T17:08:25" u="1"/>
        <d v="2025-07-25T15:44:40" u="1"/>
        <d v="2025-06-11T19:24:18" u="1"/>
        <d v="2025-07-24T12:06:11" u="1"/>
        <d v="2025-07-03T11:14:34" u="1"/>
        <d v="2025-07-28T19:14:49" u="1"/>
        <d v="2025-07-25T15:06:05" u="1"/>
        <d v="2025-07-28T19:45:16" u="1"/>
        <d v="2025-07-23T16:24:55" u="1"/>
        <d v="2025-07-27T21:44:46" u="1"/>
        <d v="2025-06-27T17:41:55" u="1"/>
        <d v="2025-07-28T17:09:03" u="1"/>
        <d v="2025-07-14T13:30:39" u="1"/>
        <d v="2025-07-22T12:05:17" u="1"/>
        <d v="2025-06-18T20:57:49" u="1"/>
        <d v="2025-06-28T17:01:19" u="1"/>
        <d v="2025-07-01T18:20:01" u="1"/>
        <d v="2025-07-25T12:29:55" u="1"/>
        <d v="2025-07-24T11:16:13" u="1"/>
        <d v="2025-07-18T12:34:07" u="1"/>
        <d v="2025-07-04T19:00:36" u="1"/>
        <d v="2025-06-21T21:30:31" u="1"/>
        <d v="2025-07-28T19:20:15" u="1"/>
        <d v="2025-06-12T17:35:06" u="1"/>
        <d v="2025-06-23T11:58:24" u="1"/>
        <d v="2025-07-24T18:58:04" u="1"/>
        <d v="2025-07-24T18:57:31" u="1"/>
        <d v="2025-07-22T15:08:25" u="1"/>
        <d v="2025-07-28T19:16:38" u="1"/>
        <d v="2025-07-28T19:17:00" u="1"/>
        <d v="2025-07-28T19:17:58" u="1"/>
        <d v="2025-07-28T19:18:15" u="1"/>
        <d v="2025-07-29T00:17:08" u="1"/>
        <d v="2025-06-23T09:33:36" u="1"/>
        <d v="2025-06-21T21:32:07" u="1"/>
        <d v="2025-06-03T15:04:04" u="1"/>
        <d v="2025-06-03T15:03:29" u="1"/>
        <d v="2025-06-03T15:03:07" u="1"/>
        <d v="2025-06-03T15:01:39" u="1"/>
        <d v="2025-06-03T15:00:48" u="1"/>
        <d v="2025-06-03T15:00:25" u="1"/>
        <d v="2025-06-05T15:56:27" u="1"/>
        <d v="2025-06-05T15:56:29" u="1"/>
        <d v="2025-06-05T15:57:03" u="1"/>
        <d v="2025-07-17T12:32:13" u="1"/>
        <d v="2025-07-16T19:04:12" u="1"/>
        <d v="2025-07-21T12:39:10" u="1"/>
        <d v="2025-06-12T17:34:40" u="1"/>
        <d v="2025-06-21T21:47:01" u="1"/>
        <d v="2025-06-23T14:55:53" u="1"/>
        <d v="2025-06-23T10:12:48" u="1"/>
        <d v="2025-06-23T14:45:32" u="1"/>
        <d v="2025-07-18T12:34:19" u="1"/>
        <d v="2025-07-15T19:29:13" u="1"/>
        <d v="2025-06-21T21:33:29" u="1"/>
        <d v="2025-06-12T17:34:55" u="1"/>
        <d v="2025-06-26T22:24:39" u="1"/>
        <d v="2025-06-26T21:04:27" u="1"/>
        <d v="2025-06-26T21:04:30" u="1"/>
        <d v="2025-06-26T22:04:46" u="1"/>
        <d v="2025-06-27T17:33:44" u="1"/>
        <d v="2025-06-26T18:46:36" u="1"/>
        <d v="2025-07-28T19:20:19" u="1"/>
        <d v="2025-06-24T16:45:35" u="1"/>
        <d v="2025-06-30T15:26:54" u="1"/>
        <d v="2025-07-09T18:49:23" u="1"/>
        <d v="2025-06-18T15:56:04" u="1"/>
        <d v="2025-07-21T10:05:08" u="1"/>
        <d v="2025-06-25T19:06:16" u="1"/>
        <d v="2025-07-22T09:26:24" u="1"/>
        <d v="2025-07-22T12:05:15" u="1"/>
        <d v="2025-06-27T18:46:24" u="1"/>
        <d v="2025-07-07T10:37:31" u="1"/>
        <d v="2025-07-28T16:25:14" u="1"/>
        <d v="2025-07-03T19:34:27" u="1"/>
        <d v="2025-07-18T15:48:57" u="1"/>
        <d v="2025-06-02T21:13:38" u="1"/>
        <d v="2025-07-04T17:14:04" u="1"/>
        <d v="2025-06-13T08:32:54" u="1"/>
        <d v="2025-06-18T14:33:08" u="1"/>
        <d v="2025-07-17T14:17:33" u="1"/>
        <d v="2025-07-17T14:17:38" u="1"/>
        <d v="2025-06-09T17:05:45" u="1"/>
        <d v="2025-07-21T14:46:59" u="1"/>
        <d v="2025-07-22T18:03:38" u="1"/>
        <d v="2025-06-06T15:48:13" u="1"/>
        <d v="2025-06-27T08:18:11" u="1"/>
        <d v="2025-07-28T16:46:56" u="1"/>
        <d v="2025-06-05T17:18:08" u="1"/>
        <d v="2025-07-11T18:33:41" u="1"/>
        <d v="2025-07-11T18:33:45" u="1"/>
        <d v="2025-07-03T12:12:12" u="1"/>
        <d v="2025-06-19T01:16:12" u="1"/>
        <d v="2025-06-26T03:57:45" u="1"/>
        <d v="2025-07-28T18:27:27" u="1"/>
        <d v="2025-07-25T18:23:23" u="1"/>
        <d v="2025-07-25T18:23:27" u="1"/>
        <d v="2025-07-25T12:13:59" u="1"/>
        <d v="2025-07-24T18:21:46" u="1"/>
        <d v="2025-07-28T18:26:17" u="1"/>
        <d v="2025-07-28T18:26:20" u="1"/>
        <d v="2025-07-25T15:01:39" u="1"/>
        <d v="2025-07-28T09:01:29" u="1"/>
        <d v="2025-07-28T14:02:10" u="1"/>
        <d v="2025-07-25T10:01:04" u="1"/>
        <d v="2025-07-25T11:02:55" u="1"/>
        <d v="2025-07-28T18:01:17" u="1"/>
        <d v="2025-07-28T18:02:33" u="1"/>
        <d v="2025-07-28T17:01:59" u="1"/>
        <d v="2025-07-09T15:24:52" u="1"/>
        <d v="2025-07-21T12:23:08" u="1"/>
        <d v="2025-07-09T18:29:22" u="1"/>
        <d v="2025-06-30T21:26:38" u="1"/>
        <d v="2025-07-01T12:22:38" u="1"/>
        <d v="2025-07-07T18:42:23" u="1"/>
        <d v="2025-06-29T15:20:45" u="1"/>
        <d v="2025-06-15T02:26:42" u="1"/>
        <d v="2025-06-04T14:50:34" u="1"/>
        <d v="2025-06-05T21:14:01" u="1"/>
        <d v="2025-06-06T15:44:46" u="1"/>
        <d v="2025-07-29T00:11:29" u="1"/>
        <d v="2025-07-25T18:33:15" u="1"/>
        <d v="2025-07-28T18:37:15" u="1"/>
        <d v="2025-07-28T12:24:00" u="1"/>
        <d v="2025-07-28T12:23:10" u="1"/>
        <d v="2025-07-28T12:23:17" u="1"/>
        <d v="2025-07-28T16:01:03" u="1"/>
        <d v="2025-07-28T17:30:43" u="1"/>
        <d v="2025-07-01T18:16:36" u="1"/>
        <d v="2025-07-23T10:46:16" u="1"/>
        <d v="2025-07-25T10:16:21" u="1"/>
        <d v="2025-07-01T15:16:57" u="1"/>
        <d v="2025-07-18T09:01:00" u="1"/>
        <d v="2025-07-03T17:30:49" u="1"/>
        <d v="2025-07-24T17:45:54" u="1"/>
        <d v="2025-07-23T16:01:18" u="1"/>
        <d v="2025-07-25T12:01:20" u="1"/>
        <d v="2025-07-23T16:01:23" u="1"/>
        <d v="2025-07-23T16:01:33" u="1"/>
        <d v="2025-07-08T13:01:30" u="1"/>
        <d v="2025-07-28T17:31:04" u="1"/>
        <d v="2025-07-02T11:01:36" u="1"/>
        <d v="2025-07-11T10:50:25" u="1"/>
        <d v="2025-07-11T10:52:01" u="1"/>
        <d v="2025-07-28T16:47:26" u="1"/>
        <d v="2025-07-22T17:47:00" u="1"/>
        <d v="2025-07-01T18:16:50" u="1"/>
        <d v="2025-07-28T11:01:39" u="1"/>
        <d v="2025-07-25T13:31:03" u="1"/>
        <d v="2025-07-23T17:46:15" u="1"/>
        <d v="2025-07-28T17:30:55" u="1"/>
        <d v="2025-07-25T13:31:12" u="1"/>
        <d v="2025-07-21T18:16:13" u="1"/>
        <d v="2025-07-22T12:31:15" u="1"/>
        <d v="2025-07-21T18:16:06" u="1"/>
        <d v="2025-06-30T16:17:17" u="1"/>
        <d v="2025-07-24T14:02:23" u="1"/>
        <d v="2025-07-28T11:16:40" u="1"/>
        <d v="2025-07-28T16:02:08" u="1"/>
        <d v="2025-07-25T12:01:10" u="1"/>
        <d v="2025-07-25T12:01:29" u="1"/>
        <d v="2025-07-25T12:01:33" u="1"/>
        <d v="2025-07-04T17:46:23" u="1"/>
        <d v="2025-07-28T16:46:44" u="1"/>
        <d v="2025-07-09T15:05:33" u="1"/>
        <d v="2025-07-04T11:22:21" u="1"/>
        <d v="2025-07-04T13:31:55" u="1"/>
        <d v="2025-06-30T11:08:11" u="1"/>
        <d v="2025-06-25T18:06:37" u="1"/>
        <d v="2025-07-01T14:51:29" u="1"/>
        <d v="2025-06-30T16:50:49" u="1"/>
        <d v="2025-06-30T11:49:50" u="1"/>
        <d v="2025-06-30T11:50:04" u="1"/>
        <d v="2025-06-30T11:08:04" u="1"/>
        <d v="2025-07-01T14:50:37" u="1"/>
        <d v="2025-07-04T16:25:34" u="1"/>
        <d v="2025-05-09T17:35:51" u="1"/>
        <d v="2025-05-07T09:50:32" u="1"/>
        <d v="2025-07-16T19:32:37" u="1"/>
        <d v="2025-07-23T09:49:56" u="1"/>
        <d v="2025-07-28T18:44:33" u="1"/>
        <d v="2025-07-14T18:41:43" u="1"/>
        <d v="2025-07-28T18:44:20" u="1"/>
        <d v="2025-06-17T19:44:39" u="1"/>
        <d v="2025-07-29T00:12:12" u="1"/>
        <d v="2025-07-04T19:52:28" u="1"/>
        <d v="2025-07-26T00:09:06" u="1"/>
        <d v="2025-06-23T17:54:27" u="1"/>
        <d v="2025-07-28T18:11:20" u="1"/>
        <d v="2025-06-04T17:58:31" u="1"/>
        <d v="2025-07-22T12:23:30" u="1"/>
        <d v="2025-06-09T17:46:14" u="1"/>
        <d v="2025-06-17T06:55:37" u="1"/>
        <d v="2025-06-17T09:08:00" u="1"/>
        <d v="2025-06-17T09:09:58" u="1"/>
        <d v="2025-06-19T04:58:23" u="1"/>
        <d v="2025-06-16T16:17:16" u="1"/>
        <d v="2025-07-24T18:01:48" u="1"/>
        <d v="2025-07-24T18:01:51" u="1"/>
        <d v="2025-07-22T18:02:27" u="1"/>
        <d v="2025-07-25T12:02:05" u="1"/>
        <d v="2025-07-25T18:02:22" u="1"/>
        <d v="2025-07-25T18:02:31" u="1"/>
        <d v="2025-07-26T00:01:32" u="1"/>
        <d v="2025-07-26T00:01:35" u="1"/>
        <d v="2025-07-23T18:23:25" u="1"/>
        <d v="2025-07-24T18:27:31" u="1"/>
        <d v="2025-07-24T18:28:02" u="1"/>
        <d v="2025-07-24T18:28:43" u="1"/>
        <d v="2025-07-28T18:35:46" u="1"/>
        <d v="2025-07-29T00:09:42" u="1"/>
        <d v="2025-06-29T15:54:26" u="1"/>
        <d v="2025-07-25T18:46:08" u="1"/>
        <d v="2025-07-28T19:06:02" u="1"/>
        <d v="2025-07-28T19:06:23" u="1"/>
        <d v="2025-07-28T19:06:27" u="1"/>
        <d v="2025-07-28T19:06:55" u="1"/>
        <d v="2025-07-28T12:34:22" u="1"/>
        <d v="2025-07-28T12:34:26" u="1"/>
        <d v="2025-07-25T18:45:41" u="1"/>
        <d v="2025-07-25T18:46:06" u="1"/>
        <d v="2025-07-25T00:21:16" u="1"/>
        <d v="2025-07-25T20:24:30" u="1"/>
        <d v="2025-07-28T13:35:12" u="1"/>
        <d v="2025-07-28T14:35:32" u="1"/>
        <d v="2025-07-28T14:45:07" u="1"/>
        <d v="2025-07-25T12:54:39" u="1"/>
        <d v="2025-07-28T18:56:04" u="1"/>
        <d v="2025-07-28T18:56:06" u="1"/>
        <d v="2025-07-28T18:56:07" u="1"/>
        <d v="2025-07-28T18:56:03" u="1"/>
        <d v="2025-07-21T12:10:10" u="1"/>
        <d v="2025-07-21T12:10:13" u="1"/>
        <d v="2025-07-09T12:15:06" u="1"/>
        <d v="2025-07-09T12:15:12" u="1"/>
        <d v="2025-07-09T12:15:14" u="1"/>
        <d v="2025-07-09T12:15:16" u="1"/>
        <d v="2025-07-28T18:22:10" u="1"/>
        <d v="2025-06-06T14:59:40" u="1"/>
        <d v="2025-06-30T20:52:25" u="1"/>
        <d v="2025-06-18T22:04:50" u="1"/>
        <d v="2025-06-18T00:41:34" u="1"/>
        <d v="2025-07-18T12:11:28" u="1"/>
        <d v="2025-07-16T05:06:52" u="1"/>
        <d v="2025-06-18T00:45:59" u="1"/>
        <d v="2025-06-17T11:10:02" u="1"/>
        <d v="2025-07-21T12:20:32" u="1"/>
        <d v="2025-07-25T15:35:11" u="1"/>
        <d v="2025-07-22T10:21:22" u="1"/>
        <d v="2025-07-21T17:36:06" u="1"/>
        <d v="2025-07-22T16:36:55" u="1"/>
        <d v="2025-07-22T16:36:59" u="1"/>
        <d v="2025-07-23T17:36:02" u="1"/>
        <d v="2025-07-25T11:29:57" u="1"/>
        <d v="2025-07-25T16:20:43" u="1"/>
        <d v="2025-07-25T16:20:47" u="1"/>
        <d v="2025-07-25T15:50:37" u="1"/>
        <d v="2025-07-28T18:43:15" u="1"/>
        <d v="2025-07-21T18:39:47" u="1"/>
        <d v="2025-07-29T06:05:51" u="1"/>
        <d v="2025-07-29T06:06:03" u="1"/>
        <d v="2025-07-28T18:13:10" u="1"/>
        <d v="2025-07-25T18:09:47" u="1"/>
        <d v="2025-07-25T18:10:40" u="1"/>
        <d v="2025-07-24T18:08:07" u="1"/>
        <d v="2025-07-24T18:08:19" u="1"/>
        <d v="2025-07-21T12:05:54" u="1"/>
        <d v="2025-07-25T13:01:51" u="1"/>
        <d v="2025-07-10T12:25:17" u="1"/>
        <d v="2025-07-25T13:44:45" u="1"/>
        <d v="2025-07-27T17:41:19" u="1"/>
        <d v="2025-07-27T17:11:02" u="1"/>
        <d v="2025-07-25T16:01:33" u="1"/>
        <d v="2025-07-25T16:01:41" u="1"/>
        <d v="2025-07-25T11:46:38" u="1"/>
        <d v="2025-07-25T19:16:45" u="1"/>
        <d v="2025-07-22T21:01:42" u="1"/>
        <d v="2025-07-25T14:32:13" u="1"/>
        <d v="2025-07-25T15:41:57" u="1"/>
        <d v="2025-07-25T15:31:59" u="1"/>
        <d v="2025-07-25T18:42:34" u="1"/>
        <d v="2025-07-25T18:42:35" u="1"/>
        <d v="2025-07-25T15:47:53" u="1"/>
        <d v="2025-07-25T17:27:57" u="1"/>
        <d v="2025-07-26T09:26:14" u="1"/>
        <d v="2025-07-26T09:37:46" u="1"/>
        <d v="2025-07-26T09:42:00" u="1"/>
        <d v="2025-07-26T09:49:49" u="1"/>
        <d v="2025-07-26T10:16:19" u="1"/>
        <d v="2025-07-26T10:42:05" u="1"/>
        <d v="2025-07-25T17:06:01" u="1"/>
        <d v="2025-07-25T15:33:59" u="1"/>
        <d v="2025-07-25T14:15:54" u="1"/>
        <d v="2025-07-25T13:23:52" u="1"/>
        <d v="2025-07-25T13:24:02" u="1"/>
        <d v="2025-07-25T16:34:05" u="1"/>
        <d v="2025-07-26T18:17:56" u="1"/>
        <d v="2025-07-25T21:07:47" u="1"/>
        <d v="2025-07-25T16:14:20" u="1"/>
        <d v="2025-07-25T12:10:11" u="1"/>
        <d v="2025-07-27T11:31:44" u="1"/>
        <d v="2025-07-27T11:49:42" u="1"/>
        <d v="2025-07-27T11:51:45" u="1"/>
        <d v="2025-07-27T14:55:49" u="1"/>
        <d v="2025-07-27T15:53:46" u="1"/>
        <d v="2025-07-26T16:37:46" u="1"/>
        <d v="2025-07-25T17:36:27" u="1"/>
        <d v="2025-07-25T19:07:55" u="1"/>
        <d v="2025-07-25T19:59:51" u="1"/>
        <d v="2025-07-25T20:21:44" u="1"/>
        <d v="2025-07-25T11:39:53" u="1"/>
        <d v="2025-07-25T18:17:53" u="1"/>
        <d v="2025-07-25T08:49:55" u="1"/>
        <d v="2025-07-25T08:50:05" u="1"/>
        <d v="2025-07-25T17:07:04" u="1"/>
        <d v="2025-07-25T17:07:15" u="1"/>
        <d v="2025-07-25T10:50:35" u="1"/>
        <d v="2025-07-25T17:07:29" u="1"/>
        <d v="2025-07-07T11:03:26" u="1"/>
        <d v="2025-07-07T11:06:06" u="1"/>
        <d v="2025-07-25T16:03:16" u="1"/>
        <d v="2025-07-26T00:26:39" u="1"/>
        <d v="2025-07-24T18:44:27" u="1"/>
        <d v="2025-07-25T18:41:35" u="1"/>
        <d v="2025-07-25T18:40:27" u="1"/>
        <d v="2025-07-26T12:02:27" u="1"/>
        <d v="2025-07-25T18:25:21" u="1"/>
        <d v="2025-07-25T18:25:22" u="1"/>
        <d v="2025-07-25T18:22:25" u="1"/>
        <d v="2025-07-25T18:22:59" u="1"/>
        <d v="2025-07-26T00:16:49" u="1"/>
        <d v="2025-07-25T18:22:28" u="1"/>
        <d v="2025-07-27T06:02:32" u="1"/>
        <d v="2025-07-25T12:16:26" u="1"/>
        <d v="2025-07-25T18:34:29" u="1"/>
        <d v="2025-07-25T12:26:29" u="1"/>
        <d v="2025-07-25T18:32:57" u="1"/>
        <d v="2025-07-25T16:50:28" u="1"/>
        <d v="2025-07-25T16:49:58" u="1"/>
        <d v="2025-07-04T18:59:50" u="1"/>
        <d v="2025-07-24T18:56:27" u="1"/>
        <d v="2025-07-25T12:30:07" u="1"/>
        <d v="2025-07-25T12:30:21" u="1"/>
        <d v="2025-07-25T12:30:40" u="1"/>
        <d v="2025-07-24T18:56:53" u="1"/>
        <d v="2025-07-24T18:57:23" u="1"/>
        <d v="2025-07-14T18:03:23" u="1"/>
        <d v="2025-07-25T16:02:14" u="1"/>
        <d v="2025-07-25T18:02:43" u="1"/>
        <d v="2025-06-24T17:05:31" u="1"/>
        <d v="2025-07-25T15:04:42" u="1"/>
        <d v="2025-07-25T16:03:38" u="1"/>
        <d v="2025-07-11T15:04:41" u="1"/>
        <d v="2025-07-11T15:04:45" u="1"/>
        <d v="2025-07-25T08:02:11" u="1"/>
        <d v="2025-07-24T17:03:40" u="1"/>
        <d v="2025-07-24T16:00:59" u="1"/>
        <d v="2025-07-25T18:03:42" u="1"/>
        <d v="2025-07-25T18:37:45" u="1"/>
        <d v="2025-07-25T18:37:48" u="1"/>
        <d v="2025-07-23T18:28:29" u="1"/>
        <d v="2025-07-26T00:20:54" u="1"/>
        <d v="2025-07-23T18:01:02" u="1"/>
        <d v="2025-07-23T18:01:09" u="1"/>
        <d v="2025-07-23T18:00:54" u="1"/>
        <d v="2025-07-25T12:02:51" u="1"/>
        <d v="2025-07-26T00:23:26" u="1"/>
        <d v="2025-07-25T18:38:37" u="1"/>
        <d v="2025-07-25T18:38:42" u="1"/>
        <d v="2025-07-25T12:18:31" u="1"/>
        <d v="2025-07-25T12:18:48" u="1"/>
        <d v="2025-07-26T17:24:22" u="1"/>
        <d v="2025-07-25T12:11:13" u="1"/>
        <d v="2025-07-23T12:36:00" u="1"/>
        <d v="2025-07-23T12:50:39" u="1"/>
        <d v="2025-07-25T12:20:00" u="1"/>
        <d v="2025-07-25T18:35:57" u="1"/>
        <d v="2025-07-25T18:36:00" u="1"/>
        <d v="2025-07-07T10:58:07" u="1"/>
        <d v="2025-07-18T15:17:32" u="1"/>
        <d v="2025-07-18T18:47:06" u="1"/>
        <d v="2025-07-18T19:01:42" u="1"/>
        <d v="2025-07-18T19:01:47" u="1"/>
        <d v="2025-07-18T19:01:51" u="1"/>
        <d v="2025-07-24T19:29:11" u="1"/>
        <d v="2025-07-24T19:29:12" u="1"/>
        <d v="2025-07-24T18:11:53" u="1"/>
        <d v="2025-07-24T18:12:53" u="1"/>
        <d v="2025-07-24T18:13:00" u="1"/>
        <d v="2025-07-24T18:13:06" u="1"/>
        <d v="2025-07-24T18:06:44" u="1"/>
        <d v="2025-07-23T17:35:21" u="1"/>
        <d v="2025-07-24T17:35:27" u="1"/>
        <d v="2025-07-24T17:06:08" u="1"/>
        <d v="2025-07-24T18:06:19" u="1"/>
        <d v="2025-07-23T15:31:32" u="1"/>
        <d v="2025-07-03T10:35:55" u="1"/>
        <d v="2025-07-24T18:26:31" u="1"/>
        <d v="2025-07-25T00:20:34" u="1"/>
        <d v="2025-07-24T18:01:20" u="1"/>
        <d v="2025-07-23T10:45:54" u="1"/>
        <d v="2025-07-23T10:46:11" u="1"/>
        <d v="2025-07-21T13:15:19" u="1"/>
        <d v="2025-07-24T16:31:06" u="1"/>
        <d v="2025-07-24T18:15:58" u="1"/>
        <d v="2025-07-15T14:31:35" u="1"/>
        <d v="2025-07-15T14:31:56" u="1"/>
        <d v="2025-07-22T15:31:18" u="1"/>
        <d v="2025-07-23T17:46:22" u="1"/>
        <d v="2025-07-24T18:25:59" u="1"/>
        <d v="2025-07-01T17:37:04" u="1"/>
        <d v="2025-07-01T18:06:45" u="1"/>
        <d v="2025-07-24T12:22:28" u="1"/>
        <d v="2025-07-25T00:14:04" u="1"/>
        <d v="2025-07-15T09:35:38" u="1"/>
        <d v="2025-07-16T15:25:43" u="1"/>
        <d v="2025-07-23T17:11:07" u="1"/>
        <d v="2025-07-23T17:11:18" u="1"/>
        <d v="2025-07-18T16:50:37" u="1"/>
        <d v="2025-07-18T17:07:23" u="1"/>
        <d v="2025-07-24T12:35:59" u="1"/>
        <d v="2025-07-24T16:36:28" u="1"/>
        <d v="2025-07-24T16:36:32" u="1"/>
        <d v="2025-07-24T16:36:36" u="1"/>
        <d v="2025-07-24T16:36:40" u="1"/>
        <d v="2025-07-24T16:36:44" u="1"/>
        <d v="2025-07-24T16:36:48" u="1"/>
        <d v="2025-07-24T15:35:39" u="1"/>
        <d v="2025-07-24T15:35:43" u="1"/>
        <d v="2025-07-24T15:50:48" u="1"/>
        <d v="2025-07-24T15:50:52" u="1"/>
        <d v="2025-07-18T10:15:58" u="1"/>
        <d v="2025-07-17T17:16:43" u="1"/>
        <d v="2025-07-24T09:46:03" u="1"/>
        <d v="2025-07-24T13:31:13" u="1"/>
        <d v="2025-07-24T13:31:22" u="1"/>
        <d v="2025-07-24T13:31:31" u="1"/>
        <d v="2025-07-24T09:04:48" u="1"/>
        <d v="2025-07-18T15:17:36" u="1"/>
        <d v="2025-07-24T18:21:53" u="1"/>
        <d v="2025-07-24T18:22:16" u="1"/>
        <d v="2025-07-24T20:13:47" u="1"/>
        <d v="2025-07-24T14:47:18" u="1"/>
        <d v="2025-07-24T18:26:53" u="1"/>
        <d v="2025-07-03T16:06:01" u="1"/>
        <d v="2025-07-24T17:52:22" u="1"/>
        <d v="2025-07-14T18:31:11" u="1"/>
        <d v="2025-07-16T19:44:44" u="1"/>
        <d v="2025-07-24T15:51:53" u="1"/>
        <d v="2025-07-24T11:08:21" u="1"/>
        <d v="2025-07-24T12:41:55" u="1"/>
        <d v="2025-07-24T18:33:52" u="1"/>
        <d v="2025-07-21T11:05:00" u="1"/>
        <d v="2025-07-21T11:28:35" u="1"/>
        <d v="2025-07-16T10:26:09" u="1"/>
        <d v="2025-07-24T15:59:50" u="1"/>
        <d v="2025-07-24T18:24:00" u="1"/>
        <d v="2025-07-24T18:24:01" u="1"/>
        <d v="2025-07-24T18:03:55" u="1"/>
        <d v="2025-07-24T11:06:24" u="1"/>
        <d v="2025-07-24T17:33:51" u="1"/>
        <d v="2025-07-24T11:30:02" u="1"/>
        <d v="2025-07-24T13:38:02" u="1"/>
        <d v="2025-07-24T18:27:56" u="1"/>
        <d v="2025-07-24T18:15:50" u="1"/>
        <d v="2025-07-24T17:45:59" u="1"/>
        <d v="2025-07-24T18:47:48" u="1"/>
        <d v="2025-07-24T16:16:45" u="1"/>
        <d v="2025-07-07T10:37:39" u="1"/>
        <d v="2025-07-07T10:38:33" u="1"/>
        <d v="2025-07-03T11:04:19" u="1"/>
        <d v="2025-07-23T13:06:45" u="1"/>
        <d v="2025-07-23T13:06:20" u="1"/>
        <d v="2025-07-23T13:06:32" u="1"/>
        <d v="2025-07-23T13:06:37" u="1"/>
        <d v="2025-07-23T12:51:11" u="1"/>
        <d v="2025-07-23T13:06:12" u="1"/>
        <d v="2025-07-24T14:02:11" u="1"/>
        <d v="2025-06-27T18:08:54" u="1"/>
        <d v="2025-07-07T10:38:34" u="1"/>
        <d v="2025-07-24T12:21:52" u="1"/>
        <d v="2025-07-24T12:21:54" u="1"/>
        <d v="2025-05-16T14:34:28" u="1"/>
        <d v="2025-07-24T11:47:07" u="1"/>
        <d v="2025-07-24T11:16:47" u="1"/>
        <d v="2025-07-24T18:17:53" u="1"/>
        <d v="2025-07-24T12:33:56" u="1"/>
        <d v="2025-07-17T19:45:21" u="1"/>
        <d v="2025-07-24T15:49:52" u="1"/>
        <d v="2025-07-24T11:12:19" u="1"/>
        <d v="2025-07-24T18:04:28" u="1"/>
        <d v="2025-07-24T14:22:15" u="1"/>
        <d v="2025-07-24T15:47:53" u="1"/>
        <d v="2025-07-24T18:28:06" u="1"/>
        <d v="2025-07-24T15:09:52" u="1"/>
        <d v="2025-07-24T18:30:22" u="1"/>
        <d v="2025-07-24T18:30:40" u="1"/>
        <d v="2025-07-24T17:58:27" u="1"/>
        <d v="2025-07-23T12:51:01" u="1"/>
        <d v="2025-07-24T12:03:52" u="1"/>
        <d v="2025-07-24T17:55:59" u="1"/>
        <d v="2025-07-01T14:17:52" u="1"/>
        <d v="2025-06-23T14:26:49" u="1"/>
        <d v="2025-07-18T13:36:46" u="1"/>
        <d v="2025-06-05T17:26:58" u="1"/>
        <d v="2025-07-24T10:17:09" u="1"/>
        <d v="2025-07-24T17:46:51" u="1"/>
        <d v="2025-07-10T17:55:02" u="1"/>
        <d v="2025-07-10T17:55:03" u="1"/>
        <d v="2025-07-22T16:36:00" u="1"/>
        <d v="2025-07-23T18:50:04" u="1"/>
        <d v="2025-07-23T18:50:17" u="1"/>
        <d v="2025-07-23T18:50:19" u="1"/>
        <d v="2025-07-23T00:27:17" u="1"/>
        <d v="2025-07-23T12:34:49" u="1"/>
        <d v="2025-07-23T12:35:27" u="1"/>
        <d v="2025-07-23T18:50:51" u="1"/>
        <d v="2025-07-23T18:51:25" u="1"/>
        <d v="2025-07-23T18:51:31" u="1"/>
        <d v="2025-07-22T14:16:48" u="1"/>
        <d v="2025-07-18T18:47:10" u="1"/>
        <d v="2025-07-23T00:13:31" u="1"/>
        <d v="2025-07-22T18:43:22" u="1"/>
        <d v="2025-07-23T18:33:47" u="1"/>
        <d v="2025-07-23T18:25:05" u="1"/>
        <d v="2025-07-23T18:34:52" u="1"/>
        <d v="2025-07-23T18:34:53" u="1"/>
        <d v="2025-07-23T18:34:54" u="1"/>
        <d v="2025-07-23T18:34:55" u="1"/>
        <d v="2025-07-23T18:34:56" u="1"/>
        <d v="2025-07-23T18:45:03" u="1"/>
        <d v="2025-07-23T18:45:04" u="1"/>
        <d v="2025-07-22T18:30:34" u="1"/>
        <d v="2025-07-22T18:31:16" u="1"/>
        <d v="2025-07-22T18:31:22" u="1"/>
        <d v="2025-05-28T23:51:57" u="1"/>
        <d v="2025-07-23T18:22:25" u="1"/>
        <d v="2025-07-23T18:22:32" u="1"/>
        <d v="2025-07-22T12:22:43" u="1"/>
        <d v="2025-07-22T12:22:56" u="1"/>
        <d v="2025-07-23T18:38:42" u="1"/>
        <d v="2025-07-22T12:34:21" u="1"/>
        <d v="2025-07-22T12:35:29" u="1"/>
        <d v="2025-07-22T12:35:36" u="1"/>
        <d v="2025-07-22T12:36:30" u="1"/>
        <d v="2025-07-15T00:19:36" u="1"/>
        <d v="2025-07-22T19:00:53" u="1"/>
        <d v="2025-07-22T13:01:20" u="1"/>
        <d v="2025-07-23T16:01:13" u="1"/>
        <d v="2025-07-22T17:16:38" u="1"/>
        <d v="2025-07-22T16:02:10" u="1"/>
        <d v="2025-07-22T18:02:10" u="1"/>
        <d v="2025-07-22T09:01:01" u="1"/>
        <d v="2025-07-22T09:01:07" u="1"/>
        <d v="2025-07-21T12:00:52" u="1"/>
        <d v="2025-07-23T11:01:50" u="1"/>
        <d v="2025-07-23T17:03:44" u="1"/>
        <d v="2025-07-23T14:03:23" u="1"/>
        <d v="2025-07-17T14:02:57" u="1"/>
        <d v="2025-07-23T19:01:06" u="1"/>
        <d v="2025-07-23T18:06:42" u="1"/>
        <d v="2025-07-22T12:20:06" u="1"/>
        <d v="2025-07-24T00:15:18" u="1"/>
        <d v="2025-07-23T12:15:44" u="1"/>
        <d v="2025-07-22T18:26:33" u="1"/>
        <d v="2025-07-22T18:26:38" u="1"/>
        <d v="2025-07-22T18:26:45" u="1"/>
        <d v="2025-07-22T00:08:26" u="1"/>
        <d v="2025-07-23T15:02:39" u="1"/>
        <d v="2025-07-23T11:01:29" u="1"/>
        <d v="2025-07-09T08:01:01" u="1"/>
        <d v="2025-07-23T12:02:19" u="1"/>
        <d v="2025-07-23T12:02:21" u="1"/>
        <d v="2025-07-22T15:01:06" u="1"/>
        <d v="2025-07-22T15:01:07" u="1"/>
        <d v="2025-07-22T16:03:04" u="1"/>
        <d v="2025-07-22T11:00:36" u="1"/>
        <d v="2025-07-22T11:00:37" u="1"/>
        <d v="2025-07-15T19:02:26" u="1"/>
        <d v="2025-07-15T16:04:11" u="1"/>
        <d v="2025-07-16T17:01:11" u="1"/>
        <d v="2025-07-22T18:34:42" u="1"/>
        <d v="2025-07-22T18:38:47" u="1"/>
        <d v="2025-07-21T18:32:30" u="1"/>
        <d v="2025-07-21T18:35:29" u="1"/>
        <d v="2025-07-22T18:29:12" u="1"/>
        <d v="2025-07-23T16:55:22" u="1"/>
        <d v="2025-07-23T13:35:27" u="1"/>
        <d v="2025-07-23T13:35:28" u="1"/>
        <d v="2025-07-23T13:35:29" u="1"/>
        <d v="2025-07-17T17:54:30" u="1"/>
        <d v="2025-07-18T18:14:11" u="1"/>
        <d v="2025-07-17T18:24:58" u="1"/>
        <d v="2025-07-23T12:25:43" u="1"/>
        <d v="2025-07-23T12:25:48" u="1"/>
        <d v="2025-07-22T12:02:13" u="1"/>
        <d v="2025-07-23T12:02:18" u="1"/>
        <d v="2025-07-23T18:01:52" u="1"/>
        <d v="2025-07-23T18:20:43" u="1"/>
        <d v="2025-07-23T18:20:50" u="1"/>
        <d v="2025-07-24T00:15:44" u="1"/>
        <d v="2025-07-23T00:24:52" u="1"/>
        <d v="2025-07-23T00:24:55" u="1"/>
        <d v="2025-07-23T00:25:44" u="1"/>
        <d v="2025-07-23T00:26:01" u="1"/>
        <d v="2025-07-23T00:26:04" u="1"/>
        <d v="2025-07-23T12:31:34" u="1"/>
        <d v="2025-07-23T12:33:44" u="1"/>
        <d v="2025-07-23T18:45:39" u="1"/>
        <d v="2025-07-24T00:24:11" u="1"/>
        <d v="2025-07-24T00:24:52" u="1"/>
        <d v="2025-07-24T00:24:08" u="1"/>
        <d v="2025-07-18T15:15:57" u="1"/>
        <d v="2025-07-23T15:15:07" u="1"/>
        <d v="2025-07-22T17:05:59" u="1"/>
        <d v="2025-07-23T12:35:49" u="1"/>
        <d v="2025-07-23T13:07:43" u="1"/>
        <d v="2025-07-22T18:41:48" u="1"/>
        <d v="2025-07-22T18:41:53" u="1"/>
        <d v="2025-07-22T12:30:42" u="1"/>
        <d v="2025-07-24T00:09:25" u="1"/>
        <d v="2025-07-23T12:06:17" u="1"/>
        <d v="2025-07-23T06:02:57" u="1"/>
        <d v="2025-07-23T06:03:03" u="1"/>
        <d v="2025-07-23T06:03:05" u="1"/>
        <d v="2025-07-23T18:08:12" u="1"/>
        <d v="2025-07-24T00:09:14" u="1"/>
        <d v="2025-07-22T18:12:25" u="1"/>
        <d v="2025-07-22T12:08:36" u="1"/>
        <d v="2025-07-23T18:25:25" u="1"/>
        <d v="2025-07-23T00:10:53" u="1"/>
        <d v="2025-07-22T18:32:13" u="1"/>
        <d v="2025-07-22T18:32:32" u="1"/>
        <d v="2025-07-22T18:34:14" u="1"/>
        <d v="2025-07-23T18:23:40" u="1"/>
        <d v="2025-07-23T18:24:05" u="1"/>
        <d v="2025-07-23T18:25:31" u="1"/>
        <d v="2025-07-22T12:23:46" u="1"/>
        <d v="2025-07-23T16:55:59" u="1"/>
        <d v="2025-05-08T23:52:04" u="1"/>
        <d v="2025-07-23T20:59:50" u="1"/>
        <d v="2025-07-23T19:49:55" u="1"/>
        <d v="2025-07-23T19:53:57" u="1"/>
        <d v="2025-07-23T17:34:00" u="1"/>
        <d v="2025-07-23T17:34:36" u="1"/>
        <d v="2025-07-21T09:58:38" u="1"/>
        <d v="2025-07-21T10:15:54" u="1"/>
        <d v="2025-07-21T10:44:08" u="1"/>
        <d v="2025-07-23T17:59:57" u="1"/>
        <d v="2025-07-23T15:10:16" u="1"/>
        <d v="2025-07-23T15:04:30" u="1"/>
        <d v="2025-07-23T19:31:55" u="1"/>
        <d v="2025-07-23T19:43:56" u="1"/>
        <d v="2025-07-23T19:43:58" u="1"/>
        <d v="2025-07-23T13:22:20" u="1"/>
        <d v="2025-07-23T20:37:56" u="1"/>
        <d v="2025-07-23T13:27:56" u="1"/>
        <d v="2025-07-23T15:11:56" u="1"/>
        <d v="2025-07-23T10:32:43" u="1"/>
        <d v="2025-07-23T23:20:11" u="1"/>
        <d v="2025-07-23T13:08:14" u="1"/>
        <d v="2025-07-23T14:32:02" u="1"/>
        <d v="2025-07-23T14:58:03" u="1"/>
        <d v="2025-07-23T18:16:35" u="1"/>
        <d v="2025-07-23T17:46:04" u="1"/>
        <d v="2025-07-23T17:11:39" u="1"/>
        <d v="2025-07-23T18:51:45" u="1"/>
        <d v="2025-07-23T18:51:53" u="1"/>
        <d v="2025-07-23T18:02:39" u="1"/>
        <d v="2025-07-21T15:54:58" u="1"/>
        <d v="2025-07-21T15:55:00" u="1"/>
        <d v="2025-07-21T15:55:01" u="1"/>
        <d v="2025-07-21T15:55:02" u="1"/>
        <d v="2025-07-21T15:55:03" u="1"/>
        <d v="2025-07-21T15:55:04" u="1"/>
        <d v="2025-07-23T19:33:27" u="1"/>
        <d v="2025-07-23T11:46:07" u="1"/>
        <d v="2025-07-23T19:33:50" u="1"/>
        <d v="2025-07-23T19:31:44" u="1"/>
        <d v="2025-07-23T19:31:49" u="1"/>
        <d v="2025-07-23T19:32:07" u="1"/>
        <d v="2025-07-23T13:16:10" u="1"/>
        <d v="2025-07-23T22:00:32" u="1"/>
        <d v="2025-07-23T20:53:53" u="1"/>
        <d v="2025-07-23T17:34:20" u="1"/>
        <d v="2025-07-21T18:44:02" u="1"/>
        <d v="2025-07-23T19:32:17" u="1"/>
        <d v="2025-07-23T19:32:26" u="1"/>
        <d v="2025-07-23T19:32:35" u="1"/>
        <d v="2025-07-23T19:32:43" u="1"/>
        <d v="2025-07-23T18:58:00" u="1"/>
        <d v="2025-07-23T18:55:58" u="1"/>
        <d v="2025-07-23T12:06:00" u="1"/>
        <d v="2025-07-23T12:02:02" u="1"/>
        <d v="2025-07-23T18:07:59" u="1"/>
        <d v="2025-07-23T17:17:54" u="1"/>
        <d v="2025-07-23T18:51:55" u="1"/>
        <d v="2025-07-23T16:03:59" u="1"/>
        <d v="2025-07-23T17:27:59" u="1"/>
        <d v="2025-07-23T17:40:03" u="1"/>
        <d v="2025-07-23T17:46:03" u="1"/>
        <d v="2025-07-23T17:35:59" u="1"/>
        <d v="2025-07-23T17:36:00" u="1"/>
        <d v="2025-07-22T12:25:22" u="1"/>
        <d v="2025-07-23T18:18:00" u="1"/>
        <d v="2025-07-23T18:18:38" u="1"/>
        <d v="2025-07-23T13:11:58" u="1"/>
        <d v="2025-07-23T19:24:02" u="1"/>
        <d v="2025-07-23T18:52:14" u="1"/>
        <d v="2025-07-23T17:25:54" u="1"/>
        <d v="2025-07-23T14:21:55" u="1"/>
        <d v="2025-07-23T17:34:43" u="1"/>
        <d v="2025-07-23T17:34:19" u="1"/>
        <d v="2025-06-27T15:16:59" u="1"/>
        <d v="2025-07-03T19:34:24" u="1"/>
        <d v="2025-07-07T17:45:29" u="1"/>
        <d v="2025-07-23T14:20:41" u="1"/>
        <d v="2025-07-17T06:14:13" u="1"/>
        <d v="2025-06-27T16:43:17" u="1"/>
        <d v="2025-07-08T10:36:38" u="1"/>
        <d v="2025-07-22T00:17:58" u="1"/>
        <d v="2025-07-22T00:18:06" u="1"/>
        <d v="2025-07-22T16:16:34" u="1"/>
        <d v="2025-07-22T11:46:46" u="1"/>
        <d v="2025-07-22T17:31:24" u="1"/>
        <d v="2025-07-22T17:33:01" u="1"/>
        <d v="2025-07-22T18:20:12" u="1"/>
        <d v="2025-07-21T18:45:53" u="1"/>
        <d v="2025-07-22T16:46:18" u="1"/>
        <d v="2025-07-22T17:46:54" u="1"/>
        <d v="2025-07-16T17:17:02" u="1"/>
        <d v="2025-07-22T17:46:51" u="1"/>
        <d v="2025-07-17T15:01:48" u="1"/>
        <d v="2025-07-22T18:02:14" u="1"/>
        <d v="2025-07-22T18:02:15" u="1"/>
        <d v="2025-07-22T15:02:04" u="1"/>
        <d v="2025-07-22T18:25:14" u="1"/>
        <d v="2025-07-21T15:15:23" u="1"/>
        <d v="2025-07-21T15:15:24" u="1"/>
        <d v="2025-07-22T13:25:40" u="1"/>
        <d v="2025-07-22T14:25:34" u="1"/>
        <d v="2025-07-22T12:20:45" u="1"/>
        <d v="2025-07-22T12:08:56" u="1"/>
        <d v="2025-07-21T12:18:07" u="1"/>
        <d v="2025-07-19T00:17:32" u="1"/>
        <d v="2025-07-21T17:05:03" u="1"/>
        <d v="2025-07-22T17:47:10" u="1"/>
        <d v="2025-07-23T06:06:22" u="1"/>
        <d v="2025-07-22T15:06:27" u="1"/>
        <d v="2025-07-22T17:27:58" u="1"/>
        <d v="2025-07-22T17:33:59" u="1"/>
        <d v="2025-07-22T15:35:56" u="1"/>
        <d v="2025-07-22T20:41:52" u="1"/>
        <d v="2025-07-22T08:39:53" u="1"/>
        <d v="2025-07-22T15:44:00" u="1"/>
        <d v="2025-07-22T17:30:29" u="1"/>
        <d v="2025-07-23T00:13:24" u="1"/>
        <d v="2025-07-18T11:34:19" u="1"/>
        <d v="2025-07-22T13:49:53" u="1"/>
        <d v="2025-07-22T14:06:04" u="1"/>
        <d v="2025-07-22T13:27:55" u="1"/>
        <d v="2025-07-22T13:37:54" u="1"/>
        <d v="2025-07-22T13:45:53" u="1"/>
        <d v="2025-07-07T11:05:49" u="1"/>
        <d v="2025-07-22T19:04:34" u="1"/>
        <d v="2025-07-18T15:18:22" u="1"/>
        <d v="2025-07-18T21:21:03" u="1"/>
        <d v="2025-07-22T14:06:05" u="1"/>
        <d v="2025-07-22T15:28:01" u="1"/>
        <d v="2025-07-22T15:28:02" u="1"/>
        <d v="2025-07-22T13:00:21" u="1"/>
        <d v="2025-07-18T17:05:06" u="1"/>
        <d v="2025-07-22T19:05:00" u="1"/>
        <d v="2025-07-14T20:22:02" u="1"/>
        <d v="2025-07-22T09:02:10" u="1"/>
        <d v="2025-07-22T15:06:29" u="1"/>
        <d v="2025-07-22T18:35:06" u="1"/>
        <d v="2025-07-22T12:16:01" u="1"/>
        <d v="2025-07-21T18:12:20" u="1"/>
        <d v="2025-07-21T18:21:53" u="1"/>
        <d v="2025-07-22T19:05:14" u="1"/>
        <d v="2025-07-22T16:14:42" u="1"/>
        <d v="2025-07-22T16:32:26" u="1"/>
        <d v="2025-07-22T17:30:40" u="1"/>
        <d v="2025-07-22T13:05:53" u="1"/>
        <d v="2025-07-22T17:03:28" u="1"/>
        <d v="2025-07-22T17:45:56" u="1"/>
        <d v="2025-07-22T17:46:15" u="1"/>
        <d v="2025-07-22T14:35:43" u="1"/>
        <d v="2025-07-22T13:46:43" u="1"/>
        <d v="2025-07-07T15:36:07" u="1"/>
        <d v="2025-07-07T15:44:56" u="1"/>
        <d v="2025-07-22T16:35:00" u="1"/>
        <d v="2025-07-22T13:46:38" u="1"/>
        <d v="2025-06-12T14:06:04" u="1"/>
        <d v="2025-07-22T17:08:28" u="1"/>
        <d v="2025-07-22T14:44:29" u="1"/>
        <d v="2025-07-22T18:27:56" u="1"/>
        <d v="2025-07-22T12:10:25" u="1"/>
        <d v="2025-07-22T12:29:56" u="1"/>
        <d v="2025-07-22T08:59:54" u="1"/>
        <d v="2025-07-22T14:16:42" u="1"/>
        <d v="2025-05-27T18:43:49" u="1"/>
        <d v="2025-07-22T10:45:16" u="1"/>
        <d v="2025-07-22T17:01:39" u="1"/>
        <d v="2025-07-22T16:36:32" u="1"/>
        <d v="2025-07-22T09:02:26" u="1"/>
        <d v="2025-07-22T09:31:11" u="1"/>
        <d v="2025-07-22T09:31:20" u="1"/>
        <d v="2025-07-22T09:31:34" u="1"/>
        <d v="2025-07-15T14:45:31" u="1"/>
        <d v="2025-07-18T15:05:29" u="1"/>
        <d v="2025-07-18T14:55:28" u="1"/>
        <d v="2025-07-18T15:25:02" u="1"/>
        <d v="2025-07-16T12:24:12" u="1"/>
        <d v="2025-07-21T12:35:21" u="1"/>
        <d v="2025-07-21T12:35:24" u="1"/>
        <d v="2025-07-21T12:36:53" u="1"/>
        <d v="2025-07-21T12:37:19" u="1"/>
        <d v="2025-07-21T00:03:52" u="1"/>
        <d v="2025-07-18T18:45:07" u="1"/>
        <d v="2025-07-18T18:46:01" u="1"/>
        <d v="2025-07-18T18:46:24" u="1"/>
        <d v="2025-07-18T18:46:25" u="1"/>
        <d v="2025-07-18T14:59:10" u="1"/>
        <d v="2025-07-21T18:59:33" u="1"/>
        <d v="2025-07-18T18:46:39" u="1"/>
        <d v="2025-07-18T18:47:46" u="1"/>
        <d v="2025-07-18T18:31:55" u="1"/>
        <d v="2025-07-21T12:22:53" u="1"/>
        <d v="2025-07-16T18:41:34" u="1"/>
        <d v="2025-07-21T17:10:58" u="1"/>
        <d v="2025-07-21T17:10:47" u="1"/>
        <d v="2025-07-21T11:07:03" u="1"/>
        <d v="2025-07-21T12:34:01" u="1"/>
        <d v="2025-07-21T12:34:37" u="1"/>
        <d v="2025-07-21T16:50:47" u="1"/>
        <d v="2025-07-21T16:35:09" u="1"/>
        <d v="2025-07-21T12:15:29" u="1"/>
        <d v="2025-07-17T10:32:26" u="1"/>
        <d v="2025-07-21T10:16:45" u="1"/>
        <d v="2025-07-21T13:16:00" u="1"/>
        <d v="2025-07-21T17:22:02" u="1"/>
        <d v="2025-07-21T18:25:50" u="1"/>
        <d v="2025-07-18T12:15:07" u="1"/>
        <d v="2025-07-18T12:15:11" u="1"/>
        <d v="2025-07-18T14:10:23" u="1"/>
        <d v="2025-07-21T18:26:33" u="1"/>
        <d v="2025-07-17T12:50:08" u="1"/>
        <d v="2025-07-19T12:03:24" u="1"/>
        <d v="2025-07-21T12:27:40" u="1"/>
        <d v="2025-07-18T18:35:02" u="1"/>
        <d v="2025-07-15T19:05:17" u="1"/>
        <d v="2025-07-15T19:14:08" u="1"/>
        <d v="2025-07-15T12:27:04" u="1"/>
        <d v="2025-07-21T18:47:22" u="1"/>
        <d v="2025-07-22T00:14:39" u="1"/>
        <d v="2025-07-15T12:26:13" u="1"/>
        <d v="2025-07-21T17:46:40" u="1"/>
        <d v="2025-07-18T17:01:29" u="1"/>
        <d v="2025-07-18T17:15:57" u="1"/>
        <d v="2025-07-17T17:46:25" u="1"/>
        <d v="2025-07-17T17:00:48" u="1"/>
        <d v="2025-07-21T16:46:16" u="1"/>
        <d v="2025-07-17T09:46:10" u="1"/>
        <d v="2025-07-17T15:46:10" u="1"/>
        <d v="2025-07-17T16:01:00" u="1"/>
        <d v="2025-07-18T17:30:44" u="1"/>
        <d v="2025-07-07T17:31:18" u="1"/>
        <d v="2025-07-17T11:32:10" u="1"/>
        <d v="2025-07-18T18:06:15" u="1"/>
        <d v="2025-07-11T18:02:56" u="1"/>
        <d v="2025-07-22T00:07:42" u="1"/>
        <d v="2025-07-18T15:21:51" u="1"/>
        <d v="2025-07-21T12:12:34" u="1"/>
        <d v="2025-07-18T16:03:21" u="1"/>
        <d v="2025-07-18T19:04:26" u="1"/>
        <d v="2025-07-21T16:00:38" u="1"/>
        <d v="2025-07-21T16:00:39" u="1"/>
        <d v="2025-07-16T11:02:42" u="1"/>
        <d v="2025-07-15T16:01:07" u="1"/>
        <d v="2025-07-15T16:01:17" u="1"/>
        <d v="2025-07-21T18:01:19" u="1"/>
        <d v="2025-07-15T12:17:21" u="1"/>
        <d v="2025-07-15T18:40:38" u="1"/>
        <d v="2025-07-17T12:15:40" u="1"/>
        <d v="2025-07-17T18:38:30" u="1"/>
        <d v="2025-07-21T18:24:16" u="1"/>
        <d v="2025-07-21T18:24:20" u="1"/>
        <d v="2025-07-21T18:24:23" u="1"/>
        <d v="2025-07-21T12:14:18" u="1"/>
        <d v="2025-07-21T10:44:19" u="1"/>
        <d v="2025-07-17T17:25:38" u="1"/>
        <d v="2025-07-17T17:25:39" u="1"/>
        <d v="2025-07-21T12:01:46" u="1"/>
        <d v="2025-07-22T00:01:50" u="1"/>
        <d v="2025-07-21T18:02:06" u="1"/>
        <d v="2025-07-18T12:13:00" u="1"/>
        <d v="2025-07-18T12:13:03" u="1"/>
        <d v="2025-07-21T18:22:58" u="1"/>
        <d v="2025-07-21T11:47:09" u="1"/>
        <d v="2025-07-21T14:46:29" u="1"/>
        <d v="2025-07-21T18:56:30" u="1"/>
        <d v="2025-07-21T18:57:09" u="1"/>
        <d v="2025-07-22T00:17:08" u="1"/>
        <d v="2025-07-18T14:17:36" u="1"/>
        <d v="2025-07-17T12:23:59" u="1"/>
        <d v="2025-07-17T12:24:48" u="1"/>
        <d v="2025-07-15T19:17:42" u="1"/>
        <d v="2025-07-15T19:17:45" u="1"/>
        <d v="2025-07-15T12:31:26" u="1"/>
        <d v="2025-07-15T12:31:58" u="1"/>
        <d v="2025-07-21T18:05:45" u="1"/>
        <d v="2025-07-21T16:06:57" u="1"/>
        <d v="2025-07-21T16:06:54" u="1"/>
        <d v="2025-07-21T16:06:55" u="1"/>
        <d v="2025-07-21T12:15:05" u="1"/>
        <d v="2025-07-17T12:50:29" u="1"/>
        <d v="2025-07-16T17:35:53" u="1"/>
        <d v="2025-07-15T10:50:45" u="1"/>
        <d v="2025-07-21T12:36:30" u="1"/>
        <d v="2025-07-21T12:20:24" u="1"/>
        <d v="2025-07-21T12:20:29" u="1"/>
        <d v="2025-07-21T11:52:02" u="1"/>
        <d v="2025-07-21T12:06:07" u="1"/>
        <d v="2025-07-21T12:06:11" u="1"/>
        <d v="2025-07-21T12:06:15" u="1"/>
        <d v="2025-07-21T12:06:20" u="1"/>
        <d v="2025-07-21T12:06:24" u="1"/>
        <d v="2025-07-21T12:06:28" u="1"/>
        <d v="2025-07-21T12:06:32" u="1"/>
        <d v="2025-07-18T16:50:30" u="1"/>
        <d v="2025-07-21T11:06:30" u="1"/>
        <d v="2025-07-16T12:35:34" u="1"/>
        <d v="2025-07-21T12:05:22" u="1"/>
        <d v="2025-07-18T18:06:48" u="1"/>
        <d v="2025-07-21T18:07:54" u="1"/>
        <d v="2025-07-21T18:07:58" u="1"/>
        <d v="2025-07-21T18:08:09" u="1"/>
        <d v="2025-07-21T18:08:34" u="1"/>
        <d v="2025-07-21T18:08:40" u="1"/>
        <d v="2025-07-21T18:07:24" u="1"/>
        <d v="2025-07-18T15:23:29" u="1"/>
        <d v="2025-07-19T12:02:56" u="1"/>
        <d v="2025-07-19T18:03:46" u="1"/>
        <d v="2025-07-18T12:17:30" u="1"/>
        <d v="2025-07-18T18:21:07" u="1"/>
        <d v="2025-07-21T12:16:09" u="1"/>
        <d v="2025-07-21T12:17:07" u="1"/>
        <d v="2025-07-21T12:17:55" u="1"/>
        <d v="2025-07-21T18:29:20" u="1"/>
        <d v="2025-07-21T18:29:24" u="1"/>
        <d v="2025-07-21T12:16:01" u="1"/>
        <d v="2025-07-16T00:11:42" u="1"/>
        <d v="2025-07-16T00:11:33" u="1"/>
        <d v="2025-07-17T10:07:01" u="1"/>
        <d v="2025-06-28T03:02:07" u="1"/>
        <d v="2025-07-11T18:28:26" u="1"/>
        <d v="2025-07-13T18:02:13" u="1"/>
        <d v="2025-06-30T20:51:33" u="1"/>
        <d v="2025-07-02T12:10:50" u="1"/>
        <d v="2025-07-17T00:13:42" u="1"/>
        <d v="2025-07-18T00:17:07" u="1"/>
        <d v="2025-07-17T18:22:58" u="1"/>
        <d v="2025-07-15T12:11:48" u="1"/>
        <d v="2025-07-22T00:12:04" u="1"/>
        <d v="2025-07-10T18:37:54" u="1"/>
        <d v="2025-07-21T18:10:25" u="1"/>
        <d v="2025-07-21T18:18:05" u="1"/>
        <d v="2025-07-21T10:05:53" u="1"/>
        <d v="2025-07-21T18:04:11" u="1"/>
        <d v="2025-07-21T17:33:57" u="1"/>
        <d v="2025-07-16T18:42:00" u="1"/>
        <d v="2025-07-19T00:20:41" u="1"/>
        <d v="2025-07-13T15:45:09" u="1"/>
        <d v="2025-05-25T21:50:13" u="1"/>
        <d v="2025-07-21T18:46:52" u="1"/>
        <d v="2025-07-21T20:02:56" u="1"/>
        <d v="2025-07-22T00:13:34" u="1"/>
        <d v="2025-07-21T15:56:13" u="1"/>
        <d v="2025-07-14T15:44:16" u="1"/>
        <d v="2025-07-09T11:44:46" u="1"/>
        <d v="2025-07-21T11:15:09" u="1"/>
        <d v="2025-07-18T15:36:15" u="1"/>
        <d v="2025-07-19T15:40:06" u="1"/>
        <d v="2025-07-21T10:05:51" u="1"/>
        <d v="2025-07-21T20:03:26" u="1"/>
        <d v="2025-07-21T20:03:39" u="1"/>
        <d v="2025-07-21T18:23:55" u="1"/>
        <d v="2025-07-21T13:05:59" u="1"/>
        <d v="2025-07-21T12:13:54" u="1"/>
        <d v="2025-07-21T13:03:59" u="1"/>
        <d v="2025-07-21T14:42:06" u="1"/>
        <d v="2025-07-21T10:30:01" u="1"/>
        <d v="2025-07-21T12:45:57" u="1"/>
        <d v="2025-07-21T15:07:53" u="1"/>
        <d v="2025-07-21T17:12:05" u="1"/>
        <d v="2025-07-21T16:48:00" u="1"/>
        <d v="2025-07-21T16:52:00" u="1"/>
        <d v="2025-07-21T18:34:02" u="1"/>
        <d v="2025-07-21T21:01:56" u="1"/>
        <d v="2025-07-21T20:02:37" u="1"/>
        <d v="2025-07-21T20:02:18" u="1"/>
        <d v="2025-07-17T11:18:53" u="1"/>
        <d v="2025-07-21T20:02:24" u="1"/>
        <d v="2025-07-21T11:47:33" u="1"/>
        <d v="2025-07-21T20:04:14" u="1"/>
        <d v="2025-07-21T21:05:14" u="1"/>
        <d v="2025-07-21T20:03:16" u="1"/>
        <d v="2025-07-18T18:32:37" u="1"/>
        <d v="2025-07-18T18:32:38" u="1"/>
        <d v="2025-07-18T18:32:39" u="1"/>
        <d v="2025-07-18T18:32:40" u="1"/>
        <d v="2025-07-18T18:32:47" u="1"/>
        <d v="2025-07-18T18:32:48" u="1"/>
        <d v="2025-07-18T18:32:49" u="1"/>
        <d v="2025-07-18T15:14:40" u="1"/>
        <d v="2025-07-18T15:14:42" u="1"/>
        <d v="2025-07-18T15:14:45" u="1"/>
        <d v="2025-07-08T18:29:10" u="1"/>
        <d v="2025-07-10T12:31:40" u="1"/>
        <d v="2025-05-06T10:29:45" u="1"/>
        <d v="2025-05-06T10:29:51" u="1"/>
        <d v="2025-05-02T16:33:38" u="1"/>
        <d v="2025-07-21T18:37:40" u="1"/>
        <d v="2025-06-29T12:48:39" u="1"/>
        <d v="2025-05-15T13:35:50" u="1"/>
        <d v="2025-03-28T18:03:36" u="1"/>
        <d v="2025-07-21T15:16:17" u="1"/>
        <d v="2025-07-02T14:15:14" u="1"/>
        <d v="2025-07-11T18:32:04" u="1"/>
        <d v="2025-07-08T12:20:52" u="1"/>
        <d v="2025-07-08T12:20:53" u="1"/>
        <d v="2025-06-25T20:42:08" u="1"/>
        <d v="2025-06-29T23:21:49" u="1"/>
        <d v="2025-07-21T09:27:52" u="1"/>
        <d v="2025-07-21T18:40:03" u="1"/>
        <d v="2025-07-21T12:15:56" u="1"/>
        <d v="2025-07-21T12:58:36" u="1"/>
        <d v="2025-07-21T09:29:51" u="1"/>
        <d v="2025-07-21T09:31:48" u="1"/>
        <d v="2025-07-21T17:45:59" u="1"/>
        <d v="2025-07-21T15:29:59" u="1"/>
        <d v="2025-07-21T16:48:02" u="1"/>
        <d v="2025-07-21T17:18:12" u="1"/>
        <d v="2025-06-25T06:24:57" u="1"/>
        <d v="2025-05-15T13:28:03" u="1"/>
        <d v="2025-05-07T17:13:12" u="1"/>
        <d v="2025-07-02T19:37:00" u="1"/>
        <d v="2025-07-17T13:16:11" u="1"/>
        <d v="2025-07-17T13:16:02" u="1"/>
        <d v="2025-07-22T00:13:35" u="1"/>
        <d v="2025-06-27T17:38:50" u="1"/>
        <d v="2025-07-22T00:13:37" u="1"/>
        <d v="2025-07-18T07:37:32" u="1"/>
        <d v="2025-07-02T19:38:58" u="1"/>
        <d v="2025-07-21T16:35:17" u="1"/>
        <d v="2025-06-24T11:26:38" u="1"/>
        <d v="2025-04-17T22:19:04" u="1"/>
        <d v="2025-06-27T10:38:32" u="1"/>
        <d v="2025-07-02T19:34:25" u="1"/>
        <d v="2025-07-01T20:14:25" u="1"/>
        <d v="2025-07-21T10:55:55" u="1"/>
        <d v="2025-07-21T16:35:13" u="1"/>
        <d v="2025-06-23T10:56:22" u="1"/>
        <d v="2025-07-07T18:30:50" u="1"/>
        <d v="2025-07-07T18:30:53" u="1"/>
        <d v="2025-07-02T12:44:41" u="1"/>
        <d v="2025-07-21T11:46:40" u="1"/>
        <d v="2025-01-09T14:38:06" u="1"/>
        <d v="2025-06-23T10:56:10" u="1"/>
        <d v="2025-07-07T10:38:46" u="1"/>
        <d v="2025-07-17T11:32:44" u="1"/>
        <d v="2025-07-21T11:55:18" u="1"/>
        <d v="2025-06-27T15:28:46" u="1"/>
        <d v="2025-06-27T15:36:15" u="1"/>
        <d v="2025-07-18T18:44:48" u="1"/>
        <d v="2025-07-10T15:16:43" u="1"/>
        <d v="2025-07-18T15:18:07" u="1"/>
        <d v="2025-07-17T18:35:30" u="1"/>
        <d v="2025-07-18T19:34:35" u="1"/>
        <d v="2025-06-30T16:31:53" u="1"/>
        <d v="2025-07-15T09:01:46" u="1"/>
        <d v="2025-07-16T15:30:40" u="1"/>
        <d v="2025-07-16T21:37:06" u="1"/>
        <d v="2025-07-17T15:51:43" u="1"/>
        <d v="2025-07-18T13:15:25" u="1"/>
        <d v="2025-07-18T13:15:28" u="1"/>
        <d v="2025-07-11T17:02:05" u="1"/>
        <d v="2025-07-18T13:37:03" u="1"/>
        <d v="2025-07-18T12:51:20" u="1"/>
        <d v="2025-07-15T17:07:34" u="1"/>
        <d v="2025-07-04T11:06:18" u="1"/>
        <d v="2025-07-08T17:51:00" u="1"/>
        <d v="2025-07-18T16:55:15" u="1"/>
        <d v="2025-07-17T00:25:05" u="1"/>
        <d v="2025-07-16T18:48:48" u="1"/>
        <d v="2025-07-16T12:45:27" u="1"/>
        <d v="2025-07-16T18:54:19" u="1"/>
        <d v="2025-07-18T18:36:03" u="1"/>
        <d v="2025-07-18T18:36:11" u="1"/>
        <d v="2025-07-19T00:06:27" u="1"/>
        <d v="2025-07-18T15:16:23" u="1"/>
        <d v="2025-07-07T15:46:31" u="1"/>
        <d v="2025-07-14T09:32:18" u="1"/>
        <d v="2025-07-14T15:01:32" u="1"/>
        <d v="2025-07-14T17:16:52" u="1"/>
        <d v="2025-07-16T08:30:41" u="1"/>
        <d v="2025-07-16T18:16:27" u="1"/>
        <d v="2025-07-11T19:01:02" u="1"/>
        <d v="2025-07-10T09:31:06" u="1"/>
        <d v="2025-07-10T09:31:14" u="1"/>
        <d v="2025-07-14T15:31:35" u="1"/>
        <d v="2025-07-18T17:16:05" u="1"/>
        <d v="2025-07-18T17:16:09" u="1"/>
        <d v="2025-07-18T17:16:18" u="1"/>
        <d v="2025-07-18T15:16:33" u="1"/>
        <d v="2025-07-04T16:15:44" u="1"/>
        <d v="2025-07-17T11:03:54" u="1"/>
        <d v="2025-07-15T08:31:54" u="1"/>
        <d v="2025-07-18T13:00:39" u="1"/>
        <d v="2025-07-17T15:01:36" u="1"/>
        <d v="2025-07-18T18:19:40" u="1"/>
        <d v="2025-07-18T12:21:13" u="1"/>
        <d v="2025-07-16T18:33:22" u="1"/>
        <d v="2025-07-18T18:27:34" u="1"/>
        <d v="2025-07-18T12:21:16" u="1"/>
        <d v="2025-07-18T18:03:08" u="1"/>
        <d v="2025-07-18T12:05:12" u="1"/>
        <d v="2025-07-15T12:21:51" u="1"/>
        <d v="2025-07-17T00:14:43" u="1"/>
        <d v="2025-07-16T18:43:16" u="1"/>
        <d v="2025-07-16T18:43:29" u="1"/>
        <d v="2025-07-18T12:25:38" u="1"/>
        <d v="2025-07-19T00:16:03" u="1"/>
        <d v="2025-07-17T18:26:54" u="1"/>
        <d v="2025-07-14T09:34:52" u="1"/>
        <d v="2025-07-08T16:47:06" u="1"/>
        <d v="2025-07-17T18:57:41" u="1"/>
        <d v="2025-07-17T18:58:24" u="1"/>
        <d v="2025-07-16T14:54:45" u="1"/>
        <d v="2025-07-17T12:24:51" u="1"/>
        <d v="2025-07-15T19:20:52" u="1"/>
        <d v="2025-07-18T16:44:38" u="1"/>
        <d v="2025-07-18T13:45:25" u="1"/>
        <d v="2025-07-17T16:05:55" u="1"/>
        <d v="2025-07-15T10:20:27" u="1"/>
        <d v="2025-07-15T10:50:53" u="1"/>
        <d v="2025-07-16T09:50:59" u="1"/>
        <d v="2025-07-16T11:37:25" u="1"/>
        <d v="2025-07-16T17:35:57" u="1"/>
        <d v="2025-07-16T17:36:01" u="1"/>
        <d v="2025-07-16T12:35:28" u="1"/>
        <d v="2025-07-15T18:07:57" u="1"/>
        <d v="2025-07-17T18:08:35" u="1"/>
        <d v="2025-07-17T18:10:26" u="1"/>
        <d v="2025-07-17T18:10:35" u="1"/>
        <d v="2025-07-18T15:18:38" u="1"/>
        <d v="2025-07-18T15:18:39" u="1"/>
        <d v="2025-07-18T18:24:08" u="1"/>
        <d v="2025-07-18T18:24:10" u="1"/>
        <d v="2025-07-16T12:28:53" u="1"/>
        <d v="2025-07-19T12:02:49" u="1"/>
        <d v="2025-07-18T15:14:36" u="1"/>
        <d v="2025-07-18T15:14:38" u="1"/>
        <d v="2025-07-18T15:37:05" u="1"/>
        <d v="2025-07-18T15:37:08" u="1"/>
        <d v="2025-07-18T15:37:11" u="1"/>
        <d v="2025-07-16T12:07:33" u="1"/>
        <d v="2025-07-18T15:36:39" u="1"/>
        <d v="2025-07-18T15:36:56" u="1"/>
        <d v="2025-07-18T15:32:52" u="1"/>
        <d v="2025-07-18T15:32:59" u="1"/>
        <d v="2025-07-18T15:34:23" u="1"/>
        <d v="2025-07-18T15:36:00" u="1"/>
        <d v="2025-07-18T15:36:03" u="1"/>
        <d v="2025-07-02T09:39:38" u="1"/>
        <d v="2025-07-17T18:31:59" u="1"/>
        <d v="2025-07-18T00:17:40" u="1"/>
        <d v="2025-06-04T09:43:42" u="1"/>
        <d v="2025-07-15T20:33:59" u="1"/>
        <d v="2025-07-20T16:11:52" u="1"/>
        <d v="2025-07-17T17:44:46" u="1"/>
        <d v="2025-07-16T17:25:39" u="1"/>
        <d v="2025-07-19T00:25:55" u="1"/>
        <d v="2025-07-19T12:06:31" u="1"/>
        <d v="2025-07-17T16:17:32" u="1"/>
        <d v="2025-07-17T18:48:00" u="1"/>
        <d v="2025-07-19T13:10:05" u="1"/>
        <d v="2025-07-19T14:14:01" u="1"/>
        <d v="2025-07-18T08:30:10" u="1"/>
        <d v="2025-07-18T16:28:09" u="1"/>
        <d v="2025-07-18T18:31:58" u="1"/>
        <d v="2025-07-18T17:46:50" u="1"/>
        <d v="2025-07-01T11:46:01" u="1"/>
        <d v="2025-07-19T09:34:25" u="1"/>
        <d v="2025-07-19T09:34:26" u="1"/>
        <d v="2025-07-11T09:06:51" u="1"/>
        <d v="2025-07-15T18:32:19" u="1"/>
        <d v="2025-07-15T18:32:20" u="1"/>
        <d v="2025-07-18T15:36:08" u="1"/>
        <d v="2025-07-18T15:36:10" u="1"/>
        <d v="2025-07-18T15:36:19" u="1"/>
        <d v="2025-07-18T15:36:23" u="1"/>
        <d v="2025-07-18T15:36:26" u="1"/>
        <d v="2025-07-18T15:33:19" u="1"/>
        <d v="2025-07-18T15:33:22" u="1"/>
        <d v="2025-07-18T15:33:27" u="1"/>
        <d v="2025-07-18T15:33:32" u="1"/>
        <d v="2025-07-18T15:33:36" u="1"/>
        <d v="2025-07-18T15:33:39" u="1"/>
        <d v="2025-07-18T15:33:42" u="1"/>
        <d v="2025-07-18T15:33:45" u="1"/>
        <d v="2025-07-18T15:33:47" u="1"/>
        <d v="2025-07-18T15:33:50" u="1"/>
        <d v="2025-07-18T15:33:54" u="1"/>
        <d v="2025-07-18T15:33:57" u="1"/>
        <d v="2025-07-18T15:34:30" u="1"/>
        <d v="2025-07-18T15:34:34" u="1"/>
        <d v="2025-07-18T15:34:37" u="1"/>
        <d v="2025-07-18T15:34:40" u="1"/>
        <d v="2025-07-18T15:34:43" u="1"/>
        <d v="2025-07-18T15:34:46" u="1"/>
        <d v="2025-07-18T15:34:49" u="1"/>
        <d v="2025-07-18T15:34:54" u="1"/>
        <d v="2025-07-18T15:34:57" u="1"/>
        <d v="2025-07-18T15:35:01" u="1"/>
        <d v="2025-07-18T15:35:05" u="1"/>
        <d v="2025-07-18T15:35:14" u="1"/>
        <d v="2025-07-18T15:35:17" u="1"/>
        <d v="2025-07-18T15:35:20" u="1"/>
        <d v="2025-07-18T15:35:24" u="1"/>
        <d v="2025-07-18T15:35:35" u="1"/>
        <d v="2025-07-18T15:35:38" u="1"/>
        <d v="2025-07-18T15:35:40" u="1"/>
        <d v="2025-07-18T15:35:43" u="1"/>
        <d v="2025-07-18T15:35:45" u="1"/>
        <d v="2025-07-18T15:32:46" u="1"/>
        <d v="2025-07-18T15:32:57" u="1"/>
        <d v="2025-07-18T15:33:07" u="1"/>
        <d v="2025-07-18T15:36:59" u="1"/>
        <d v="2025-07-18T15:37:02" u="1"/>
        <d v="2025-07-18T15:30:05" u="1"/>
        <d v="2025-07-18T15:30:08" u="1"/>
        <d v="2025-07-18T15:30:26" u="1"/>
        <d v="2025-07-18T15:36:42" u="1"/>
        <d v="2025-07-18T15:36:45" u="1"/>
        <d v="2025-07-18T15:36:47" u="1"/>
        <d v="2025-07-18T15:36:50" u="1"/>
        <d v="2025-07-18T15:36:53" u="1"/>
        <d v="2025-07-18T15:37:44" u="1"/>
        <d v="2025-07-18T15:38:03" u="1"/>
        <d v="2025-07-18T15:38:05" u="1"/>
        <d v="2025-07-18T15:32:10" u="1"/>
        <d v="2025-07-18T15:32:14" u="1"/>
        <d v="2025-07-18T15:32:16" u="1"/>
        <d v="2025-07-18T15:32:20" u="1"/>
        <d v="2025-07-18T15:32:23" u="1"/>
        <d v="2025-07-18T15:32:26" u="1"/>
        <d v="2025-07-18T15:32:28" u="1"/>
        <d v="2025-07-18T15:32:31" u="1"/>
        <d v="2025-07-18T15:32:33" u="1"/>
        <d v="2025-07-18T15:32:36" u="1"/>
        <d v="2025-07-18T15:32:39" u="1"/>
        <d v="2025-07-18T15:37:13" u="1"/>
        <d v="2025-07-18T15:37:16" u="1"/>
        <d v="2025-07-18T15:37:18" u="1"/>
        <d v="2025-07-18T15:37:20" u="1"/>
        <d v="2025-07-18T15:36:30" u="1"/>
        <d v="2025-07-18T15:36:33" u="1"/>
        <d v="2025-07-18T15:36:36" u="1"/>
        <d v="2025-07-18T15:30:35" u="1"/>
        <d v="2025-07-18T15:30:41" u="1"/>
        <d v="2025-07-18T15:30:46" u="1"/>
        <d v="2025-07-18T15:30:48" u="1"/>
        <d v="2025-07-18T15:30:51" u="1"/>
        <d v="2025-07-18T15:30:54" u="1"/>
        <d v="2025-07-18T15:30:57" u="1"/>
        <d v="2025-07-18T15:30:59" u="1"/>
        <d v="2025-07-18T15:31:01" u="1"/>
        <d v="2025-07-18T15:31:04" u="1"/>
        <d v="2025-07-18T15:31:06" u="1"/>
        <d v="2025-07-18T15:31:09" u="1"/>
        <d v="2025-07-18T15:31:12" u="1"/>
        <d v="2025-07-18T15:31:15" u="1"/>
        <d v="2025-07-18T15:31:18" u="1"/>
        <d v="2025-07-18T15:31:22" u="1"/>
        <d v="2025-07-18T15:31:25" u="1"/>
        <d v="2025-07-18T15:31:28" u="1"/>
        <d v="2025-07-18T15:31:32" u="1"/>
        <d v="2025-07-18T15:31:35" u="1"/>
        <d v="2025-07-18T15:31:39" u="1"/>
        <d v="2025-07-18T15:31:42" u="1"/>
        <d v="2025-07-18T15:31:45" u="1"/>
        <d v="2025-07-18T15:31:59" u="1"/>
        <d v="2025-07-18T12:34:04" u="1"/>
        <d v="2025-06-27T17:39:56" u="1"/>
        <d v="2025-07-17T14:41:20" u="1"/>
        <d v="2025-07-15T09:20:52" u="1"/>
        <d v="2025-07-18T10:30:12" u="1"/>
        <d v="2025-07-14T16:06:49" u="1"/>
        <d v="2025-07-18T17:01:24" u="1"/>
        <d v="2025-07-15T09:39:10" u="1"/>
        <d v="2025-07-17T14:16:18" u="1"/>
        <d v="2025-07-20T14:41:52" u="1"/>
        <d v="2025-07-18T16:40:13" u="1"/>
        <d v="2025-07-18T17:38:09" u="1"/>
        <d v="2025-07-20T14:31:52" u="1"/>
        <d v="2025-07-19T13:34:11" u="1"/>
        <d v="2025-07-15T16:36:01" u="1"/>
        <d v="2025-07-15T16:50:33" u="1"/>
        <d v="2025-07-15T17:07:54" u="1"/>
        <d v="2025-07-17T18:36:38" u="1"/>
        <d v="2025-07-11T17:15:45" u="1"/>
        <d v="2025-07-18T21:32:22" u="1"/>
        <d v="2025-07-18T12:18:10" u="1"/>
        <d v="2025-07-18T15:32:02" u="1"/>
        <d v="2025-07-18T15:32:04" u="1"/>
        <d v="2025-07-18T15:32:07" u="1"/>
        <d v="2025-07-18T15:37:22" u="1"/>
        <d v="2025-07-18T15:37:25" u="1"/>
        <d v="2025-07-18T15:37:27" u="1"/>
        <d v="2025-07-18T15:32:43" u="1"/>
        <d v="2025-07-18T15:30:01" u="1"/>
        <d v="2025-07-18T15:30:31" u="1"/>
        <d v="2025-07-18T15:32:54" u="1"/>
        <d v="2025-07-18T15:33:10" u="1"/>
        <d v="2025-07-18T15:33:12" u="1"/>
        <d v="2025-07-18T15:33:16" u="1"/>
        <d v="2025-07-18T15:33:01" u="1"/>
        <d v="2025-07-18T15:33:04" u="1"/>
        <d v="2025-07-18T15:35:48" u="1"/>
        <d v="2025-07-18T15:34:20" u="1"/>
        <d v="2025-07-18T15:36:05" u="1"/>
        <d v="2025-07-19T14:14:34" u="1"/>
        <d v="2025-07-19T14:14:35" u="1"/>
        <d v="2025-07-19T14:24:23" u="1"/>
        <d v="2025-07-19T14:24:24" u="1"/>
        <d v="2025-07-19T14:24:25" u="1"/>
        <d v="2025-07-19T14:24:26" u="1"/>
        <d v="2025-07-19T14:44:40" u="1"/>
        <d v="2025-07-19T14:44:41" u="1"/>
        <d v="2025-07-19T14:44:42" u="1"/>
        <d v="2025-07-17T12:18:11" u="1"/>
        <d v="2025-07-18T18:18:43" u="1"/>
        <d v="2025-07-18T18:18:49" u="1"/>
        <d v="2025-07-16T15:50:46" u="1"/>
        <d v="2025-07-16T11:00:54" u="1"/>
        <d v="2025-07-15T13:55:19" u="1"/>
        <d v="2025-07-17T14:01:49" u="1"/>
        <d v="2025-07-10T18:05:32" u="1"/>
        <d v="2025-07-14T11:27:54" u="1"/>
        <d v="2025-07-18T15:18:25" u="1"/>
        <d v="2025-07-17T16:57:45" u="1"/>
        <d v="2025-07-14T11:40:39" u="1"/>
        <d v="2025-07-18T12:22:34" u="1"/>
        <d v="2025-07-14T14:46:22" u="1"/>
        <d v="2025-07-15T12:31:40" u="1"/>
        <d v="2025-07-15T11:35:23" u="1"/>
        <d v="2025-07-15T11:35:24" u="1"/>
        <d v="2025-07-15T10:25:24" u="1"/>
        <d v="2025-07-15T13:45:43" u="1"/>
        <d v="2025-07-18T09:11:51" u="1"/>
        <d v="2025-07-16T10:37:14" u="1"/>
        <d v="2025-07-16T12:18:04" u="1"/>
        <d v="2025-07-16T11:27:37" u="1"/>
        <d v="2025-07-16T15:35:08" u="1"/>
        <d v="2025-07-17T09:54:44" u="1"/>
        <d v="2025-07-17T12:29:26" u="1"/>
        <d v="2025-07-17T18:42:11" u="1"/>
        <d v="2025-07-17T18:42:19" u="1"/>
        <d v="2025-07-15T18:32:54" u="1"/>
        <d v="2025-07-15T12:33:57" u="1"/>
        <d v="2025-07-17T16:05:16" u="1"/>
        <d v="2025-07-16T17:35:07" u="1"/>
        <d v="2025-07-17T18:34:55" u="1"/>
        <d v="2025-07-17T16:55:28" u="1"/>
        <d v="2025-07-16T12:25:08" u="1"/>
        <d v="2025-07-17T18:29:39" u="1"/>
        <d v="2025-07-15T12:15:25" u="1"/>
        <d v="2025-07-17T00:14:58" u="1"/>
        <d v="2025-07-16T18:24:48" u="1"/>
        <d v="2025-07-16T18:25:16" u="1"/>
        <d v="2025-07-17T12:13:00" u="1"/>
        <d v="2025-07-17T12:13:17" u="1"/>
        <d v="2025-07-17T12:13:20" u="1"/>
        <d v="2025-07-15T18:33:12" u="1"/>
        <d v="2025-07-15T12:15:56" u="1"/>
        <d v="2025-07-16T12:25:02" u="1"/>
        <d v="2025-07-17T12:02:07" u="1"/>
        <d v="2025-07-17T12:03:08" u="1"/>
        <d v="2025-07-17T19:01:16" u="1"/>
        <d v="2025-07-17T19:03:03" u="1"/>
        <d v="2025-07-17T15:03:37" u="1"/>
        <d v="2025-07-16T11:05:01" u="1"/>
        <d v="2025-07-17T09:32:42" u="1"/>
        <d v="2025-07-16T06:07:41" u="1"/>
        <d v="2025-07-15T12:13:43" u="1"/>
        <d v="2025-07-17T18:26:39" u="1"/>
        <d v="2025-07-18T00:17:43" u="1"/>
        <d v="2025-07-09T09:02:27" u="1"/>
        <d v="2025-07-11T12:01:24" u="1"/>
        <d v="2025-07-17T07:02:40" u="1"/>
        <d v="2025-07-17T07:02:43" u="1"/>
        <d v="2025-07-16T17:04:46" u="1"/>
        <d v="2025-07-16T10:02:41" u="1"/>
        <d v="2025-07-14T10:02:19" u="1"/>
        <d v="2025-07-17T16:02:11" u="1"/>
        <d v="2025-07-17T17:00:26" u="1"/>
        <d v="2025-07-16T19:03:02" u="1"/>
        <d v="2025-07-17T17:02:28" u="1"/>
        <d v="2025-07-16T18:35:46" u="1"/>
        <d v="2025-07-17T18:06:07" u="1"/>
        <d v="2025-07-17T12:11:32" u="1"/>
        <d v="2025-07-17T18:26:55" u="1"/>
        <d v="2025-07-16T16:25:21" u="1"/>
        <d v="2025-07-16T17:35:31" u="1"/>
        <d v="2025-07-16T17:35:32" u="1"/>
        <d v="2025-07-17T12:55:07" u="1"/>
        <d v="2025-07-17T19:14:19" u="1"/>
        <d v="2025-07-17T18:08:38" u="1"/>
        <d v="2025-07-17T18:08:42" u="1"/>
        <d v="2025-07-17T18:09:30" u="1"/>
        <d v="2025-07-17T18:09:37" u="1"/>
        <d v="2025-07-17T18:10:05" u="1"/>
        <d v="2025-07-17T18:10:08" u="1"/>
        <d v="2025-07-17T12:18:49" u="1"/>
        <d v="2025-07-18T00:14:46" u="1"/>
        <d v="2025-07-16T12:07:12" u="1"/>
        <d v="2025-07-15T12:16:49" u="1"/>
        <d v="2025-07-16T12:27:09" u="1"/>
        <d v="2025-06-24T01:17:41" u="1"/>
        <d v="2025-07-16T10:47:18" u="1"/>
        <d v="2025-07-17T10:46:09" u="1"/>
        <d v="2025-07-07T11:04:45" u="1"/>
        <d v="2025-07-17T17:06:18" u="1"/>
        <d v="2025-07-17T19:45:23" u="1"/>
        <d v="2025-07-07T19:13:59" u="1"/>
        <d v="2025-07-17T17:49:08" u="1"/>
        <d v="2025-06-24T15:06:55" u="1"/>
        <d v="2025-06-24T15:06:56" u="1"/>
        <d v="2025-07-16T20:05:02" u="1"/>
        <d v="2025-07-17T11:17:55" u="1"/>
        <d v="2025-07-17T11:23:57" u="1"/>
        <d v="2025-07-16T19:21:57" u="1"/>
        <d v="2025-07-17T10:35:57" u="1"/>
        <d v="2025-07-17T19:32:28" u="1"/>
        <d v="2025-07-17T18:21:45" u="1"/>
        <d v="2025-07-17T20:02:10" u="1"/>
        <d v="2025-07-17T14:58:03" u="1"/>
        <d v="2025-07-14T19:00:35" u="1"/>
        <d v="2025-07-08T11:36:13" u="1"/>
        <d v="2025-07-17T18:24:49" u="1"/>
        <d v="2025-07-17T20:06:15" u="1"/>
        <d v="2025-07-17T18:46:46" u="1"/>
        <d v="2025-07-17T16:17:20" u="1"/>
        <d v="2025-07-17T18:47:50" u="1"/>
        <d v="2025-07-03T12:14:13" u="1"/>
        <d v="2025-07-17T18:32:18" u="1"/>
        <d v="2025-06-27T18:08:50" u="1"/>
        <d v="2025-07-17T17:01:57" u="1"/>
        <d v="2025-07-18T00:36:51" u="1"/>
        <d v="2025-07-17T13:35:23" u="1"/>
        <d v="2025-07-12T15:04:50" u="1"/>
        <d v="2025-07-17T15:15:53" u="1"/>
        <d v="2025-07-17T13:01:10" u="1"/>
        <d v="2025-07-17T13:01:16" u="1"/>
        <d v="2025-07-17T12:45:01" u="1"/>
        <d v="2025-06-25T08:56:53" u="1"/>
        <d v="2025-07-16T14:18:47" u="1"/>
        <d v="2025-07-17T16:46:43" u="1"/>
        <d v="2025-07-17T13:20:14" u="1"/>
        <d v="2025-07-15T12:34:31" u="1"/>
        <d v="2025-07-15T12:34:38" u="1"/>
        <d v="2025-07-16T18:59:34" u="1"/>
        <d v="2025-07-16T19:00:13" u="1"/>
        <d v="2025-07-16T19:00:16" u="1"/>
        <d v="2025-07-16T19:00:44" u="1"/>
        <d v="2025-07-16T12:58:15" u="1"/>
        <d v="2025-07-16T12:58:31" u="1"/>
        <d v="2025-07-15T19:30:36" u="1"/>
        <d v="2025-07-16T12:54:01" u="1"/>
        <d v="2025-07-10T19:01:53" u="1"/>
        <d v="2025-07-11T09:46:24" u="1"/>
        <d v="2025-07-11T10:16:54" u="1"/>
        <d v="2025-07-11T17:47:18" u="1"/>
        <d v="2025-07-14T15:46:34" u="1"/>
        <d v="2025-07-16T16:47:08" u="1"/>
        <d v="2025-07-16T16:47:12" u="1"/>
        <d v="2025-07-15T20:17:32" u="1"/>
        <d v="2025-07-14T14:50:20" u="1"/>
        <d v="2025-07-16T18:05:28" u="1"/>
        <d v="2025-07-14T12:31:24" u="1"/>
        <d v="2025-07-15T15:31:43" u="1"/>
        <d v="2025-07-11T17:07:50" u="1"/>
        <d v="2025-07-14T15:07:53" u="1"/>
        <d v="2025-07-14T15:08:07" u="1"/>
        <d v="2025-07-08T17:50:50" u="1"/>
        <d v="2025-07-11T19:50:21" u="1"/>
        <d v="2025-07-10T17:36:10" u="1"/>
        <d v="2025-07-14T11:47:11" u="1"/>
        <d v="2025-07-16T18:45:44" u="1"/>
        <d v="2025-07-15T17:16:16" u="1"/>
        <d v="2025-07-15T17:01:48" u="1"/>
        <d v="2025-07-16T09:01:19" u="1"/>
        <d v="2025-07-14T10:16:39" u="1"/>
        <d v="2025-07-15T15:17:03" u="1"/>
        <d v="2025-07-15T15:17:09" u="1"/>
        <d v="2025-07-15T15:17:15" u="1"/>
        <d v="2025-07-16T18:32:59" u="1"/>
        <d v="2025-07-16T20:02:48" u="1"/>
        <d v="2025-07-16T18:03:20" u="1"/>
        <d v="2025-07-16T18:03:40" u="1"/>
        <d v="2025-07-16T12:00:42" u="1"/>
        <d v="2025-07-15T17:02:19" u="1"/>
        <d v="2025-07-14T16:02:16" u="1"/>
        <d v="2025-07-15T16:04:37" u="1"/>
        <d v="2025-07-15T16:04:38" u="1"/>
        <d v="2025-07-16T17:04:33" u="1"/>
        <d v="2025-07-16T18:33:19" u="1"/>
        <d v="2025-07-15T12:05:55" u="1"/>
        <d v="2025-07-16T18:03:07" u="1"/>
        <d v="2025-07-16T12:02:00" u="1"/>
        <d v="2025-07-16T11:02:12" u="1"/>
        <d v="2025-07-04T10:20:58" u="1"/>
        <d v="2025-07-08T16:06:19" u="1"/>
        <d v="2025-07-08T11:21:05" u="1"/>
        <d v="2025-07-08T11:21:09" u="1"/>
        <d v="2025-07-03T09:20:25" u="1"/>
        <d v="2025-07-01T09:49:55" u="1"/>
        <d v="2025-07-15T10:35:24" u="1"/>
        <d v="2025-07-15T10:50:42" u="1"/>
        <d v="2025-07-16T15:47:23" u="1"/>
        <d v="2025-07-16T15:47:27" u="1"/>
        <d v="2025-07-16T18:40:33" u="1"/>
        <d v="2025-07-15T18:10:52" u="1"/>
        <d v="2025-07-16T12:06:44" u="1"/>
        <d v="2025-07-15T18:11:23" u="1"/>
        <d v="2025-07-15T18:11:44" u="1"/>
        <d v="2025-07-16T12:07:00" u="1"/>
        <d v="2025-07-17T00:17:36" u="1"/>
        <d v="2025-05-20T14:48:31" u="1"/>
        <d v="2025-07-14T18:02:31" u="1"/>
        <d v="2025-07-16T17:44:00" u="1"/>
        <d v="2025-07-16T17:44:09" u="1"/>
        <d v="2025-07-16T14:56:07" u="1"/>
        <d v="2025-07-16T12:24:48" u="1"/>
        <d v="2025-07-16T13:32:13" u="1"/>
        <d v="2025-07-16T19:33:25" u="1"/>
        <d v="2025-07-16T19:32:49" u="1"/>
        <d v="2025-07-16T12:25:14" u="1"/>
        <d v="2025-07-16T12:40:38" u="1"/>
        <d v="2025-07-16T18:27:31" u="1"/>
        <d v="2025-07-16T17:35:50" u="1"/>
        <d v="2025-07-16T17:21:47" u="1"/>
        <d v="2025-07-16T19:01:55" u="1"/>
        <d v="2025-07-16T19:34:51" u="1"/>
        <d v="2025-07-16T19:34:06" u="1"/>
        <d v="2025-07-16T19:33:56" u="1"/>
        <d v="2025-07-16T11:17:02" u="1"/>
        <d v="2025-06-30T08:31:34" u="1"/>
        <d v="2025-07-16T19:17:05" u="1"/>
        <d v="2025-07-16T19:35:59" u="1"/>
        <d v="2025-07-16T19:35:25" u="1"/>
        <d v="2025-07-16T19:34:46" u="1"/>
        <d v="2025-07-10T18:05:23" u="1"/>
        <d v="2025-06-27T08:47:35" u="1"/>
        <d v="2025-07-16T18:46:43" u="1"/>
        <d v="2025-06-24T08:46:37" u="1"/>
        <d v="2025-06-24T08:46:47" u="1"/>
        <d v="2025-06-24T08:46:55" u="1"/>
        <d v="2025-07-16T15:47:18" u="1"/>
        <d v="2025-07-16T19:33:40" u="1"/>
        <d v="2025-07-16T19:34:13" u="1"/>
        <d v="2025-07-16T19:16:45" u="1"/>
        <d v="2025-07-16T19:34:39" u="1"/>
        <d v="2025-07-16T19:32:59" u="1"/>
        <d v="2025-07-04T11:19:11" u="1"/>
        <d v="2025-07-16T19:17:00" u="1"/>
        <d v="2025-07-16T18:25:39" u="1"/>
        <d v="2025-07-11T12:05:34" u="1"/>
        <d v="2025-07-10T17:01:06" u="1"/>
        <d v="2025-07-10T17:01:17" u="1"/>
        <d v="2025-07-15T15:46:28" u="1"/>
        <d v="2025-07-16T17:27:50" u="1"/>
        <d v="2025-07-16T15:46:36" u="1"/>
        <d v="2025-07-16T19:35:02" u="1"/>
        <d v="2025-06-27T17:36:41" u="1"/>
        <d v="2025-07-11T17:02:14" u="1"/>
        <d v="2025-07-11T14:15:59" u="1"/>
        <d v="2025-07-16T13:29:51" u="1"/>
        <d v="2025-07-14T17:18:02" u="1"/>
        <d v="2025-07-14T15:55:24" u="1"/>
        <d v="2025-07-15T15:06:57" u="1"/>
        <d v="2025-07-11T19:18:45" u="1"/>
        <d v="2025-07-15T12:34:24" u="1"/>
        <d v="2025-07-15T12:15:13" u="1"/>
        <d v="2025-07-15T14:38:05" u="1"/>
        <d v="2025-07-15T16:35:21" u="1"/>
        <d v="2025-07-15T09:49:36" u="1"/>
        <d v="2025-07-15T14:19:49" u="1"/>
        <d v="2025-06-28T08:20:50" u="1"/>
        <d v="2025-07-07T10:41:21" u="1"/>
        <d v="2025-07-10T18:32:44" u="1"/>
        <d v="2025-07-10T18:32:50" u="1"/>
        <d v="2025-07-14T18:46:46" u="1"/>
        <d v="2025-07-12T00:24:12" u="1"/>
        <d v="2025-07-15T19:02:24" u="1"/>
        <d v="2025-07-14T12:23:54" u="1"/>
        <d v="2025-07-15T14:33:00" u="1"/>
        <d v="2025-07-15T09:16:25" u="1"/>
        <d v="2025-07-15T15:01:35" u="1"/>
        <d v="2025-07-15T15:01:40" u="1"/>
        <d v="2025-07-15T18:16:49" u="1"/>
        <d v="2025-07-15T17:01:56" u="1"/>
        <d v="2025-07-15T18:16:10" u="1"/>
        <d v="2025-07-14T17:15:58" u="1"/>
        <d v="2025-07-15T14:33:21" u="1"/>
        <d v="2025-07-15T14:32:34" u="1"/>
        <d v="2025-07-15T18:03:26" u="1"/>
        <d v="2025-07-15T18:03:31" u="1"/>
        <d v="2025-07-14T16:01:38" u="1"/>
        <d v="2025-07-15T16:02:18" u="1"/>
        <d v="2025-07-15T16:02:20" u="1"/>
        <d v="2025-07-15T18:02:19" u="1"/>
        <d v="2025-07-15T18:02:22" u="1"/>
        <d v="2025-07-10T17:02:07" u="1"/>
        <d v="2025-07-11T10:04:41" u="1"/>
        <d v="2025-07-11T18:56:14" u="1"/>
        <d v="2025-07-07T18:50:42" u="1"/>
        <d v="2025-07-15T12:14:16" u="1"/>
        <d v="2025-07-15T12:14:22" u="1"/>
        <d v="2025-07-14T18:22:15" u="1"/>
        <d v="2025-07-14T15:02:34" u="1"/>
        <d v="2025-07-14T15:02:35" u="1"/>
        <d v="2025-07-14T15:02:44" u="1"/>
        <d v="2025-07-14T22:02:05" u="1"/>
        <d v="2025-07-08T08:01:36" u="1"/>
        <d v="2025-07-11T10:02:56" u="1"/>
        <d v="2025-07-15T19:02:03" u="1"/>
        <d v="2025-07-07T10:56:45" u="1"/>
        <d v="2025-07-15T10:50:49" u="1"/>
        <d v="2025-07-15T11:20:39" u="1"/>
        <d v="2025-07-15T18:44:54" u="1"/>
        <d v="2025-07-08T18:46:41" u="1"/>
        <d v="2025-07-15T12:20:27" u="1"/>
        <d v="2025-07-15T12:20:41" u="1"/>
        <d v="2025-07-06T18:02:50" u="1"/>
        <d v="2025-07-14T18:01:43" u="1"/>
        <d v="2025-07-15T10:15:52" u="1"/>
        <d v="2025-07-14T10:25:49" u="1"/>
        <d v="2025-07-14T10:05:55" u="1"/>
        <d v="2025-07-15T12:22:28" u="1"/>
        <d v="2025-07-15T12:11:50" u="1"/>
        <d v="2025-07-15T12:13:48" u="1"/>
        <d v="2025-07-08T12:42:59" u="1"/>
        <d v="2025-07-09T00:24:45" u="1"/>
        <d v="2025-06-30T14:20:51" u="1"/>
        <d v="2025-07-15T19:32:32" u="1"/>
        <d v="2025-06-30T14:26:49" u="1"/>
        <d v="2025-07-11T19:17:49" u="1"/>
        <d v="2025-07-15T19:57:28" u="1"/>
        <d v="2025-07-15T10:46:15" u="1"/>
        <d v="2025-07-15T19:32:21" u="1"/>
        <d v="2025-07-15T09:46:15" u="1"/>
        <d v="2025-07-11T19:34:52" u="1"/>
        <d v="2025-06-19T01:40:43" u="1"/>
        <d v="2025-07-11T16:03:19" u="1"/>
        <d v="2025-07-15T20:17:28" u="1"/>
        <d v="2025-07-15T19:32:08" u="1"/>
        <d v="2025-07-15T17:18:41" u="1"/>
        <d v="2025-07-07T11:55:47" u="1"/>
        <d v="2025-06-26T08:05:41" u="1"/>
        <d v="2025-07-03T17:06:20" u="1"/>
        <d v="2025-07-09T09:05:19" u="1"/>
        <d v="2025-07-14T17:25:26" u="1"/>
        <d v="2025-07-07T10:38:07" u="1"/>
        <d v="2025-07-07T10:57:26" u="1"/>
        <d v="2025-07-08T18:05:11" u="1"/>
        <d v="2025-07-08T18:05:12" u="1"/>
        <d v="2025-07-07T11:02:26" u="1"/>
        <d v="2025-07-07T11:02:32" u="1"/>
        <d v="2025-07-07T11:02:41" u="1"/>
        <d v="2025-07-15T12:24:42" u="1"/>
        <d v="2025-07-02T22:44:29" u="1"/>
        <d v="2025-07-07T15:44:59" u="1"/>
        <d v="2025-07-14T19:46:46" u="1"/>
        <d v="2025-07-08T18:05:22" u="1"/>
        <d v="2025-07-15T11:05:56" u="1"/>
        <d v="2025-07-15T11:35:20" u="1"/>
        <d v="2025-07-11T10:05:40" u="1"/>
        <d v="2025-07-08T15:45:01" u="1"/>
        <d v="2025-07-11T16:15:17" u="1"/>
        <d v="2025-07-01T12:07:30" u="1"/>
        <d v="2025-07-03T16:05:49" u="1"/>
        <d v="2025-07-08T18:14:30" u="1"/>
        <d v="2025-07-09T11:25:25" u="1"/>
        <d v="2025-07-14T16:35:35" u="1"/>
        <d v="2025-07-10T11:15:33" u="1"/>
        <d v="2025-07-02T15:35:34" u="1"/>
        <d v="2025-07-07T15:45:00" u="1"/>
        <d v="2025-07-07T11:01:00" u="1"/>
        <d v="2025-07-02T15:35:32" u="1"/>
        <d v="2025-07-07T11:05:07" u="1"/>
        <d v="2025-07-11T12:06:17" u="1"/>
        <d v="2025-07-15T18:34:43" u="1"/>
        <d v="2025-07-09T14:04:52" u="1"/>
        <d v="2025-07-09T06:44:37" u="1"/>
        <d v="2025-07-09T11:25:23" u="1"/>
        <d v="2025-07-02T11:26:06" u="1"/>
        <d v="2025-07-15T12:22:48" u="1"/>
        <d v="2025-05-27T17:27:04" u="1"/>
        <d v="2025-07-15T14:32:19" u="1"/>
        <d v="2025-07-15T18:31:15" u="1"/>
        <d v="2025-07-14T18:01:19" u="1"/>
        <d v="2025-07-11T14:42:08" u="1"/>
        <d v="2025-07-11T14:48:32" u="1"/>
        <d v="2025-07-15T16:51:15" u="1"/>
        <d v="2025-07-15T13:35:03" u="1"/>
        <d v="2025-07-09T11:25:24" u="1"/>
        <d v="2025-07-14T17:54:19" u="1"/>
        <d v="2025-07-11T17:54:55" u="1"/>
        <d v="2025-07-02T11:26:14" u="1"/>
        <d v="2025-07-07T11:00:51" u="1"/>
        <d v="2025-07-01T17:26:15" u="1"/>
        <d v="2025-07-02T15:35:33" u="1"/>
        <d v="2025-07-15T10:15:57" u="1"/>
        <d v="2025-07-09T11:04:36" u="1"/>
        <d v="2025-07-07T11:00:54" u="1"/>
        <d v="2025-07-08T15:16:29" u="1"/>
        <d v="2025-07-07T11:05:06" u="1"/>
        <d v="2025-07-07T10:58:35" u="1"/>
        <d v="2025-07-02T17:55:24" u="1"/>
        <d v="2025-07-07T15:05:30" u="1"/>
        <d v="2025-07-02T15:56:10" u="1"/>
        <d v="2025-07-02T15:45:45" u="1"/>
        <d v="2025-07-07T14:05:43" u="1"/>
        <d v="2025-07-15T18:44:22" u="1"/>
        <d v="2025-07-15T18:44:23" u="1"/>
        <d v="2025-07-10T11:06:12" u="1"/>
        <d v="2025-07-07T11:01:02" u="1"/>
        <d v="2025-07-08T18:14:26" u="1"/>
        <d v="2025-07-07T10:59:57" u="1"/>
        <d v="2025-07-09T15:24:48" u="1"/>
        <d v="2025-07-14T12:12:42" u="1"/>
        <d v="2025-07-01T13:15:37" u="1"/>
        <d v="2025-07-01T18:35:18" u="1"/>
        <d v="2025-07-02T11:26:05" u="1"/>
        <d v="2025-07-10T18:54:33" u="1"/>
        <d v="2025-07-07T10:40:47" u="1"/>
        <d v="2025-07-07T18:06:15" u="1"/>
        <d v="2025-07-02T08:34:34" u="1"/>
        <d v="2025-07-03T08:24:06" u="1"/>
        <d v="2025-07-11T10:56:09" u="1"/>
        <d v="2025-07-11T10:56:10" u="1"/>
        <d v="2025-07-07T16:08:08" u="1"/>
        <d v="2025-07-07T10:37:54" u="1"/>
        <d v="2025-07-09T14:04:50" u="1"/>
        <d v="2025-07-08T18:05:05" u="1"/>
        <d v="2025-07-02T18:06:40" u="1"/>
        <d v="2025-07-02T16:37:27" u="1"/>
        <d v="2025-07-02T16:25:10" u="1"/>
        <d v="2025-07-14T17:25:20" u="1"/>
        <d v="2025-07-11T15:25:24" u="1"/>
        <d v="2025-07-11T16:35:12" u="1"/>
        <d v="2025-07-01T17:15:14" u="1"/>
        <d v="2025-07-08T18:05:08" u="1"/>
        <d v="2025-07-11T19:34:48" u="1"/>
        <d v="2025-07-11T20:04:42" u="1"/>
        <d v="2025-07-09T08:54:27" u="1"/>
        <d v="2025-07-14T09:25:25" u="1"/>
        <d v="2025-07-14T19:03:44" u="1"/>
        <d v="2025-07-14T19:01:33" u="1"/>
        <d v="2025-07-14T19:01:59" u="1"/>
        <d v="2025-07-14T19:02:01" u="1"/>
        <d v="2025-07-14T19:02:49" u="1"/>
        <d v="2025-07-15T00:23:25" u="1"/>
        <d v="2025-07-11T12:38:23" u="1"/>
        <d v="2025-07-11T19:18:01" u="1"/>
        <d v="2025-07-11T19:18:32" u="1"/>
        <d v="2025-07-11T19:18:46" u="1"/>
        <d v="2025-07-12T00:27:57" u="1"/>
        <d v="2025-07-11T19:16:47" u="1"/>
        <d v="2025-07-14T12:28:08" u="1"/>
        <d v="2025-07-11T12:24:45" u="1"/>
        <d v="2025-07-11T12:26:28" u="1"/>
        <d v="2025-07-10T18:47:20" u="1"/>
        <d v="2025-07-11T18:51:29" u="1"/>
        <d v="2025-07-14T10:05:36" u="1"/>
        <d v="2025-07-14T10:14:49" u="1"/>
        <d v="2025-07-14T18:23:29" u="1"/>
        <d v="2025-07-14T18:59:43" u="1"/>
        <d v="2025-07-14T18:59:50" u="1"/>
        <d v="2025-07-14T14:50:39" u="1"/>
        <d v="2025-07-11T19:14:06" u="1"/>
        <d v="2025-07-11T19:14:18" u="1"/>
        <d v="2025-07-11T19:14:29" u="1"/>
        <d v="2025-07-14T14:50:43" u="1"/>
        <d v="2025-07-14T09:33:47" u="1"/>
        <d v="2025-07-14T15:46:06" u="1"/>
        <d v="2025-07-14T17:21:50" u="1"/>
        <d v="2025-07-11T18:37:46" u="1"/>
        <d v="2025-07-11T18:37:52" u="1"/>
        <d v="2025-07-12T00:18:46" u="1"/>
        <d v="2025-07-15T00:20:28" u="1"/>
        <d v="2025-07-11T18:57:08" u="1"/>
        <d v="2025-07-14T18:50:49" u="1"/>
        <d v="2025-07-14T18:51:07" u="1"/>
        <d v="2025-07-14T18:47:08" u="1"/>
        <d v="2025-07-14T11:01:52" u="1"/>
        <d v="2025-07-14T16:01:18" u="1"/>
        <d v="2025-07-11T16:46:18" u="1"/>
        <d v="2025-07-11T17:46:05" u="1"/>
        <d v="2025-07-11T18:16:11" u="1"/>
        <d v="2025-07-14T11:01:46" u="1"/>
        <d v="2025-07-11T15:15:56" u="1"/>
        <d v="2025-07-14T11:01:25" u="1"/>
        <d v="2025-07-11T12:06:23" u="1"/>
        <d v="2025-07-14T18:03:19" u="1"/>
        <d v="2025-07-11T17:06:26" u="1"/>
        <d v="2025-07-11T19:04:11" u="1"/>
        <d v="2025-07-10T16:04:21" u="1"/>
        <d v="2025-07-14T18:02:48" u="1"/>
        <d v="2025-07-14T16:55:08" u="1"/>
        <d v="2025-07-12T00:18:10" u="1"/>
        <d v="2025-07-11T18:31:35" u="1"/>
        <d v="2025-07-11T18:31:48" u="1"/>
        <d v="2025-07-14T18:20:16" u="1"/>
        <d v="2025-07-15T06:10:00" u="1"/>
        <d v="2025-07-15T06:10:01" u="1"/>
        <d v="2025-07-14T12:10:36" u="1"/>
        <d v="2025-07-14T10:00:52" u="1"/>
        <d v="2025-07-14T07:01:37" u="1"/>
        <d v="2025-07-08T15:00:48" u="1"/>
        <d v="2025-07-11T16:04:54" u="1"/>
        <d v="2025-07-11T11:03:14" u="1"/>
        <d v="2025-07-11T11:01:34" u="1"/>
        <d v="2025-07-14T13:01:03" u="1"/>
        <d v="2025-05-09T19:02:13" u="1"/>
        <d v="2025-07-13T12:01:52" u="1"/>
        <d v="2025-07-14T12:18:20" u="1"/>
        <d v="2025-07-15T00:16:38" u="1"/>
        <d v="2025-07-14T18:39:15" u="1"/>
        <d v="2025-07-08T18:40:13" u="1"/>
        <d v="2025-07-08T18:40:21" u="1"/>
        <d v="2025-07-08T18:40:25" u="1"/>
        <d v="2025-07-08T18:44:12" u="1"/>
        <d v="2025-07-09T12:25:30" u="1"/>
        <d v="2025-07-08T18:43:37" u="1"/>
        <d v="2025-07-08T18:39:09" u="1"/>
        <d v="2025-07-10T18:38:00" u="1"/>
        <d v="2025-07-07T18:38:14" u="1"/>
        <d v="2025-07-07T18:38:19" u="1"/>
        <d v="2025-06-29T02:02:38" u="1"/>
        <d v="2025-07-14T12:16:44" u="1"/>
        <d v="2025-07-11T18:05:17" u="1"/>
        <d v="2025-07-12T06:02:20" u="1"/>
        <d v="2025-07-11T12:04:27" u="1"/>
        <d v="2025-07-11T12:04:38" u="1"/>
        <d v="2025-07-11T12:04:43" u="1"/>
        <d v="2025-07-11T18:05:15" u="1"/>
        <d v="2025-07-10T12:23:00" u="1"/>
        <d v="2025-07-14T18:45:37" u="1"/>
        <d v="2025-07-11T18:01:39" u="1"/>
        <d v="2025-07-14T09:55:05" u="1"/>
        <d v="2025-07-11T16:35:02" u="1"/>
        <d v="2025-07-12T00:23:43" u="1"/>
        <d v="2025-07-10T12:13:54" u="1"/>
        <d v="2025-07-14T18:56:56" u="1"/>
        <d v="2025-07-14T18:59:05" u="1"/>
        <d v="2025-07-11T19:34:51" u="1"/>
        <d v="2025-07-14T17:35:13" u="1"/>
        <d v="2025-07-14T13:55:19" u="1"/>
        <d v="2025-07-14T09:55:07" u="1"/>
        <d v="2025-07-03T16:06:33" u="1"/>
        <d v="2025-07-04T11:51:09" u="1"/>
        <d v="2025-07-01T11:05:50" u="1"/>
        <d v="2025-07-11T17:08:22" u="1"/>
        <d v="2025-07-11T10:59:06" u="1"/>
        <d v="2025-07-11T10:59:09" u="1"/>
        <d v="2025-07-10T17:36:49" u="1"/>
        <d v="2025-07-08T13:08:38" u="1"/>
        <d v="2025-07-08T13:08:42" u="1"/>
        <d v="2025-07-08T12:22:03" u="1"/>
        <d v="2025-07-08T10:51:28" u="1"/>
        <d v="2025-07-08T10:51:35" u="1"/>
        <d v="2025-07-10T15:50:33" u="1"/>
        <d v="2025-07-10T10:36:27" u="1"/>
        <d v="2025-07-10T09:36:02" u="1"/>
        <d v="2025-07-10T17:09:47" u="1"/>
        <d v="2025-07-14T17:08:31" u="1"/>
        <d v="2025-07-14T17:08:41" u="1"/>
        <d v="2025-07-14T11:52:00" u="1"/>
        <d v="2025-07-14T18:35:54" u="1"/>
        <d v="2025-07-14T16:52:13" u="1"/>
        <d v="2025-07-11T18:50:55" u="1"/>
        <d v="2025-07-03T15:50:17" u="1"/>
        <d v="2025-07-08T18:09:53" u="1"/>
        <d v="2025-07-08T18:10:00" u="1"/>
        <d v="2025-07-14T18:08:56" u="1"/>
        <d v="2025-07-14T18:08:57" u="1"/>
        <d v="2025-07-11T18:08:06" u="1"/>
        <d v="2025-07-14T18:08:15" u="1"/>
        <d v="2025-07-14T18:08:22" u="1"/>
        <d v="2025-07-14T18:08:27" u="1"/>
        <d v="2025-07-14T18:08:29" u="1"/>
        <d v="2025-07-14T18:08:31" u="1"/>
        <d v="2025-07-11T18:38:45" u="1"/>
        <d v="2025-07-11T18:38:48" u="1"/>
        <d v="2025-07-11T18:39:17" u="1"/>
        <d v="2025-07-11T18:40:12" u="1"/>
        <d v="2025-07-12T00:19:29" u="1"/>
        <d v="2025-07-14T18:40:22" u="1"/>
        <d v="2025-07-14T13:21:54" u="1"/>
        <d v="2025-07-14T12:45:59" u="1"/>
        <d v="2025-07-14T20:53:40" u="1"/>
        <d v="2025-07-14T20:18:28" u="1"/>
        <d v="2025-07-14T14:24:38" u="1"/>
        <d v="2025-07-14T20:19:46" u="1"/>
        <d v="2025-07-14T08:34:10" u="1"/>
        <d v="2025-07-14T20:17:19" u="1"/>
        <d v="2025-07-14T20:17:58" u="1"/>
        <d v="2025-07-14T20:23:13" u="1"/>
        <d v="2025-07-14T11:46:43" u="1"/>
        <d v="2025-07-14T20:23:18" u="1"/>
        <d v="2025-07-14T15:08:21" u="1"/>
        <d v="2025-07-14T20:19:25" u="1"/>
        <d v="2025-07-14T11:47:23" u="1"/>
        <d v="2025-07-03T15:06:16" u="1"/>
        <d v="2025-07-14T11:47:01" u="1"/>
        <d v="2025-07-14T15:00:59" u="1"/>
        <d v="2025-07-14T20:20:40" u="1"/>
        <d v="2025-07-14T20:18:57" u="1"/>
        <d v="2025-07-14T20:24:24" u="1"/>
        <d v="2025-07-14T17:45:51" u="1"/>
        <d v="2025-07-14T20:18:04" u="1"/>
        <d v="2025-07-14T20:18:09" u="1"/>
        <d v="2025-07-14T20:23:44" u="1"/>
        <d v="2025-07-14T20:20:57" u="1"/>
        <d v="2025-07-14T20:18:15" u="1"/>
        <d v="2025-07-14T20:18:21" u="1"/>
        <d v="2025-07-10T08:17:24" u="1"/>
        <d v="2025-07-14T10:02:42" u="1"/>
        <d v="2025-07-01T14:17:49" u="1"/>
        <d v="2025-07-14T16:48:09" u="1"/>
        <d v="2025-07-14T20:19:02" u="1"/>
        <d v="2025-07-14T20:22:50" u="1"/>
        <d v="2025-07-14T13:47:21" u="1"/>
        <d v="2025-07-14T20:24:32" u="1"/>
        <d v="2025-07-14T20:24:15" u="1"/>
        <d v="2025-07-14T20:23:29" u="1"/>
        <d v="2025-07-14T20:22:40" u="1"/>
        <d v="2025-07-14T19:01:54" u="1"/>
        <d v="2025-07-14T20:20:51" u="1"/>
        <d v="2025-07-14T19:47:36" u="1"/>
        <d v="2025-07-14T20:23:00" u="1"/>
        <d v="2025-07-14T20:21:23" u="1"/>
        <d v="2025-07-14T17:02:28" u="1"/>
        <d v="2025-07-14T18:03:46" u="1"/>
        <d v="2025-06-23T07:49:23" u="1"/>
        <d v="2025-07-14T09:50:15" u="1"/>
        <d v="2025-07-14T18:26:31" u="1"/>
        <d v="2025-07-14T18:05:38" u="1"/>
        <d v="2025-07-14T17:56:21" u="1"/>
        <d v="2025-07-14T18:20:42" u="1"/>
        <d v="2025-07-11T11:07:06" u="1"/>
        <d v="2025-07-12T15:05:40" u="1"/>
        <d v="2025-07-14T12:27:47" u="1"/>
        <d v="2025-07-14T20:23:24" u="1"/>
        <d v="2025-07-09T18:22:38" u="1"/>
        <d v="2025-07-10T17:03:42" u="1"/>
        <d v="2025-07-02T18:32:48" u="1"/>
        <d v="2025-07-11T19:15:35" u="1"/>
        <d v="2025-07-11T12:36:53" u="1"/>
        <d v="2025-07-11T12:37:04" u="1"/>
        <d v="2025-07-11T13:35:13" u="1"/>
        <d v="2025-07-10T19:06:27" u="1"/>
        <d v="2025-07-10T16:31:50" u="1"/>
        <d v="2025-07-11T18:55:59" u="1"/>
        <d v="2025-07-11T18:56:02" u="1"/>
        <d v="2025-07-11T18:56:20" u="1"/>
        <d v="2025-07-10T18:28:14" u="1"/>
        <d v="2025-07-12T12:02:19" u="1"/>
        <d v="2025-07-03T18:06:08" u="1"/>
        <d v="2025-07-03T18:06:12" u="1"/>
        <d v="2025-07-03T18:50:09" u="1"/>
        <d v="2025-07-03T16:20:05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0:08:24" u="1"/>
        <d v="2025-07-04T10:08:27" u="1"/>
        <d v="2025-07-04T10:08:45" u="1"/>
        <d v="2025-07-02T10:36:21" u="1"/>
      </sharedItems>
      <fieldGroup par="44"/>
    </cacheField>
    <cacheField name="Data Alteração" numFmtId="0">
      <sharedItems containsNonDate="0" containsDate="1" containsString="0" containsBlank="1" minDate="2025-08-21T22:25:37" maxDate="2025-09-12T06:58:30"/>
    </cacheField>
    <cacheField name="Aging Alteração" numFmtId="0">
      <sharedItems containsBlank="1" count="8">
        <s v="03 a 05 dias"/>
        <s v="06 a 08 dias"/>
        <s v="09 a 15 dias"/>
        <s v="0 a 02 dias"/>
        <s v="16 a 23 dias"/>
        <m/>
        <s v="31 dias ou +" u="1"/>
        <s v="24 a 31 dias" u="1"/>
      </sharedItems>
    </cacheField>
    <cacheField name="Aging Inclusão" numFmtId="0">
      <sharedItems containsBlank="1" count="8">
        <s v="03 a 05 dias"/>
        <s v="06 a 08 dias"/>
        <s v="09 a 15 dias"/>
        <s v="0 a 02 dias"/>
        <s v="16 a 23 dias"/>
        <m/>
        <s v="31 dias ou +" u="1"/>
        <s v="24 a 31 dias" u="1"/>
      </sharedItems>
    </cacheField>
    <cacheField name="Localizadora" numFmtId="0">
      <sharedItems containsBlank="1" containsMixedTypes="1" containsNumber="1" containsInteger="1" minValue="5007631" maxValue="1174169057179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01-23T08:27:00" maxDate="2025-09-11T20:28:00"/>
    </cacheField>
    <cacheField name="Requisição" numFmtId="0">
      <sharedItems containsBlank="1" containsMixedTypes="1" containsNumber="1" containsInteger="1" minValue="44" maxValue="13893799819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Hotel"/>
        <s v="Carro"/>
        <s v="Serviço"/>
        <s v="Aéreo"/>
        <m/>
      </sharedItems>
    </cacheField>
    <cacheField name="Cancelado" numFmtId="0">
      <sharedItems containsBlank="1"/>
    </cacheField>
    <cacheField name="Grupo Empresarial" numFmtId="0">
      <sharedItems containsBlank="1" count="168">
        <s v="Grupo Hypera"/>
        <s v="Grupo Bosch"/>
        <s v="Grupo Intercement"/>
        <s v="Grupo Zf"/>
        <s v="Grupo Braskem"/>
        <s v="Grupo Amadeus"/>
        <s v="Grupo Wallenius"/>
        <s v="Grupo Iron Mountain"/>
        <s v="Grupo Petroreconcavo"/>
        <s v="Grupo Fm Global"/>
        <s v="Grupo Avenida"/>
        <s v="Grupo Unica"/>
        <s v="Grupo Falcon Active"/>
        <s v="Grupo Htb"/>
        <s v="Grupo Santista"/>
        <s v="Grupo Kpmg"/>
        <s v="Grupo Cmoc"/>
        <s v="Grupo Gtm"/>
        <s v="Grupo Diageo"/>
        <s v="Grupo Ses"/>
        <s v="Grupo Cbo"/>
        <s v="Grupo Stanley Black e Decker"/>
        <s v="Grupo Atos"/>
        <s v="Grupo Honeywell"/>
        <s v="Grupo Energisa"/>
        <s v="Grupo Ultra"/>
        <s v="Grupo Mars"/>
        <s v="Grupo Jti"/>
        <s v="Grupo Verizon"/>
        <s v="Grupo Samsung"/>
        <s v="Grupo Ihs"/>
        <s v="Grupo Basf"/>
        <s v="Grupo Atlas Copco"/>
        <s v="Grupo Chanel"/>
        <s v="Grupo Lojas Renner"/>
        <s v="Grupo Nielseniq"/>
        <s v="Grupo Biolab"/>
        <s v="Grupo Ocean Pact"/>
        <s v="Grupo Adidas"/>
        <s v="Grupo Enaex"/>
        <s v="Grupo Arcadis"/>
        <s v="Grupo Ache"/>
        <s v="Grupo Taesa"/>
        <s v="Grupo Sep"/>
        <s v="Grupo Epson"/>
        <s v="Grupo Livanova"/>
        <s v="Grupo Uol"/>
        <s v="Grupo Winity"/>
        <s v="Grupo British American Tobacco"/>
        <s v="Grupo Innomotics"/>
        <s v="Grupo Baker Mckenzie"/>
        <s v="Grupo Casas Bahia"/>
        <s v="Grupo Atento"/>
        <s v="Grupo Pepsico"/>
        <s v="Grupo Bernoulli Educacao"/>
        <s v="Grupo Motiva"/>
        <s v="Grupo Bosch Consierge"/>
        <s v="Grupo Isdin"/>
        <s v="Grupo Hpe"/>
        <s v="Grupo Sibelco"/>
        <s v="Grupo Kontrip"/>
        <s v="Grupo Light"/>
        <s v="Grupo Claro Sa"/>
        <s v="Grupo Glory"/>
        <s v="Grupo Benner"/>
        <s v="Grupo Mercurio York"/>
        <s v="Independente"/>
        <s v="Grupo Shell"/>
        <s v="Grupo Softbox"/>
        <s v="Grupo Syntegon"/>
        <s v="Grupo Elanco"/>
        <s v="Grupo Mattos Filho"/>
        <s v="Grupo Avaya"/>
        <s v="Grupo Lyondell Basell"/>
        <s v="Grupo Icon"/>
        <m/>
        <s v="Grupo Biomerieux" u="1"/>
        <s v="Grupo Deloitte" u="1"/>
        <s v="Grupo Jealsa" u="1"/>
        <s v="Grupo Track e Field" u="1"/>
        <s v="Grupo Ferreira Costa" u="1"/>
        <s v="Grupo Acelen" u="1"/>
        <s v="Grupo Neon" u="1"/>
        <s v="Grupo Kontik Businees Travel" u="1"/>
        <s v="Grupo Sompo Seguros" u="1"/>
        <s v="Grupo Banco Genial Investimentos" u="1"/>
        <s v="Grupo Constellation" u="1"/>
        <s v="Grupo Spotify" u="1"/>
        <s v="Grupo Vertex" u="1"/>
        <s v="Grupo Axa" u="1"/>
        <s v="Grupo Firmenich" u="1"/>
        <s v="Grupo Bradesco" u="1"/>
        <s v="Grupo Zupper" u="1"/>
        <s v="Kontik" u="1"/>
        <s v="Grupo Parexel" u="1"/>
        <s v="Grupo Sumedical" u="1"/>
        <s v="Grupo Pessoa Fisica" u="1"/>
        <s v="-" u="1"/>
        <s v="Grupo Sacs" u="1"/>
        <s v="Grupo Odontoprev" u="1"/>
        <s v="Grupo Sony Pictures" u="1"/>
        <s v="Grupo Rhenus" u="1"/>
        <s v="Grupo Itausa" u="1"/>
        <s v="Grupo Nyasa Empreendimentos" u="1"/>
        <s v="Grupo Merb" u="1"/>
        <s v="Grupo Patria" u="1"/>
        <s v="Grupo Airbus/helibras" u="1"/>
        <s v="Grupo Aeroleo" u="1"/>
        <s v="Grupo Occ" u="1"/>
        <s v="Grupo Amway" u="1"/>
        <s v="Grupo Nzte" u="1"/>
        <s v="Grupo Dalazen &amp; Pessoa Sociedade de Advogados" u="1"/>
        <s v="Grupo Marisa" u="1"/>
        <s v="Grupo Estre" u="1"/>
        <s v="Grupo Rio Galeao" u="1"/>
        <s v="Grupo Tupperware" u="1"/>
        <s v="Grupo Consolidacao" u="1"/>
        <s v="South 32" u="1"/>
        <s v="Grupo Arxada" u="1"/>
        <s v="Grupo System Service" u="1"/>
        <s v="Grupo Santo Antonio Energia" u="1"/>
        <s v="Grupo Ourolux" u="1"/>
        <s v="Grupo Pharmacopeia" u="1"/>
        <s v="Grupo Abegas" u="1"/>
        <s v="Grupo Fs Bioenergia" u="1"/>
        <s v="Grupo Inframerica" u="1"/>
        <s v="Grupo Cold Control" u="1"/>
        <s v="Grupo Banco Bbm" u="1"/>
        <s v="Seco Ambiental Licitacoes" u="1"/>
        <s v="Grupo Inovents" u="1"/>
        <s v="Grupo Furnas Eletrobras" u="1"/>
        <s v="Grupo Valentino" u="1"/>
        <s v="Grupo Kelloggs Co" u="1"/>
        <s v="Grupo Rede Gazeta" u="1"/>
        <s v="Grupo Invepar" u="1"/>
        <s v="Grupo Lumileds" u="1"/>
        <s v="Grupo Tecnomyl" u="1"/>
        <s v="Grupo Stark Bank" u="1"/>
        <s v="Grupo Consulado Britanico" u="1"/>
        <s v="Grupo Metrorio" u="1"/>
        <s v="Grupo Occ Par" u="1"/>
        <s v="Grupo Rm Cursos Medicos" u="1"/>
        <s v="Grupo Aspen Pharma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Mover" u="1"/>
        <s v="Grupo Opportunity" u="1"/>
        <s v="Grupo Intecom" u="1"/>
        <s v="Grupo Arezzo Varejo" u="1"/>
        <s v="Grupo Tec Toy" u="1"/>
        <s v="Pousadas" u="1"/>
        <s v="Grupo Ultragaz (inativo)" u="1"/>
        <s v="Deville Hoteis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660876" maxValue="9781620000"/>
    </cacheField>
    <cacheField name="Canal de Vendas" numFmtId="0">
      <sharedItems containsBlank="1" count="105">
        <s v="KON-OPE-SAO-PVI-HYPERA"/>
        <s v="FCM-OPE-SAO-PVI-BOSCH"/>
        <s v="KON-OPE-SAO-PVI-MOVER"/>
        <s v="KON-OPE-RIO-PVI-BTC"/>
        <s v="KON-OPE-SAO-PVI-BRASKEM"/>
        <s v="HOT LINE - SAO PAULO"/>
        <s v="FCM-OPE-SAO-PVI-BTC"/>
        <s v="FCM-OPE-SAO-PVI-BTC-CONCUR-IRON "/>
        <s v="KON-OPE-RIO-PVI-BTC-PETRORECONCAVO"/>
        <s v="FCM-OPE-SAO-PVI-BTC-FM GLOBAL"/>
        <s v="KON-OPE-RIO-PVI-BTC-FALCON ACTIVE"/>
        <s v="KON-OPE-SAO-PVI-BTC-ARGO-HTB"/>
        <s v="KON-OPE-SAO-PVI-KPMG"/>
        <s v="KON-OPE-RIO-PVI-BTC-CMOC"/>
        <s v="FCM-OPE-SAO-PVI-DIAGEO"/>
        <s v="FCM-OPE-SAO-PVI-BTC-CONCUR"/>
        <s v="POSTO CBO"/>
        <s v="FCM-OPE-SAO-PVI-ATOS"/>
        <s v="FCM-OPE-SAO-PVI-BTC-CONCUR-HONEYWELL"/>
        <s v="KON-OPE-SAO-PVI-ENERGISA"/>
        <s v="-"/>
        <s v="KON-OPE-SAO-PVI-BTC-ARGO"/>
        <s v="FCM-OPE-SAO-PVI-MARS"/>
        <s v="FCM-OPE-SAO-PVI-JTI"/>
        <s v="KON-OPE-SAO-PVI-SAMSUNG"/>
        <s v="FCM-OPE-SAO-PVI-BASF"/>
        <s v="FCM-OPE-SAO-PVI-BTC-CONCUR-CHANEL"/>
        <s v="KON-OPE-RIO-PVI-RENNER"/>
        <s v="FCM-OPE-SAO-PVI-BTC-CONCUR-NIELSENIQ"/>
        <s v="KON-OPE-SAO-PVI-BIOLAB"/>
        <s v="KON-OPE-RIO-POS-OCEANPACT"/>
        <s v="KON-OPE-RIO-PVI-ENAEX"/>
        <s v="FCM-OPE-SAO-PVI-ARCADIS"/>
        <s v="KON-OPE-SAO-PVI-ACHE"/>
        <s v="KON-OPE-RIO-POS-TAESA"/>
        <s v="KON-OPE-RIO-PVI-UOL"/>
        <s v="KON-OPE-RIO-PVI-PATRIA"/>
        <s v="FCM-OPE-SAO-PVI-BAT"/>
        <s v="KON-OPE-RIO-PVI-CASAS BAHIA"/>
        <s v="FCM-OPE-POA-PVI-ATENTO"/>
        <s v="KON-OPE-POA-PVI-PEPSICO"/>
        <s v="KON-OPE-SAO-PVI-BERNOULLI"/>
        <s v="KON-OPE-SAO-PVI-CCR"/>
        <s v="KON-OPE-RIO-PVI-BTC RJ"/>
        <s v="FCM-OPE-SAO-PVI-BTC-CONCUR-SIBELCO"/>
        <s v="KONTRIP"/>
        <s v="KON-OPE-RIO-PVI-BTC-LIGHT"/>
        <s v="KON-OPE-SAO-POS-CLARO"/>
        <s v="KON-OPE-SAO-PVI-ULTRA"/>
        <s v="FCM-OPE-SAO-PVI-SHELL"/>
        <s v="FCM-OPE-SAO-PVI-BTC-CYTRIC-S&amp;P"/>
        <s v="FCM-OPE-SAO-PVI-BTC-SYNTEGON"/>
        <s v="KON-OPE-SAO-PVI-MATTOS FILHO"/>
        <s v="FCM-OPE-SAO-PVI-BTC-CONCUR-AVAYA"/>
        <s v="FCM-OPE-SAO-PVI-BTC-LYONDELL BASELL"/>
        <s v="EMERGENCIAL"/>
        <s v="FCM-OPE-SAO-PVI-BTC-PRA/RPS"/>
        <m/>
        <s v="KON-OPE-RIO-PVI-BTC-BIOMERIEUX" u="1"/>
        <s v="KON-OPE-SAO-PVI-BTC-ARGO-DELOITTE" u="1"/>
        <s v="KON-OPE-RIO-PVI-FERREIRA COSTA" u="1"/>
        <s v="KON-OPE-RIO-PVI-ACELEN" u="1"/>
        <s v="KON-OPE-SAO-SUP-KONTIK DESPESAS" u="1"/>
        <s v="KON-OPE-RIO-PVI-CONSTELLATION" u="1"/>
        <s v="FCM-OPE-SAO-PVI-BTC-CONCUR-AXA" u="1"/>
        <s v="POSTO EVENTOS BRADESCO SEGUROS" u="1"/>
        <s v="ZUPPER" u="1"/>
        <s v="FCM-OPE-SAO-PVI-BTC-FIRMENICH" u="1"/>
        <s v="FCM-OPE-POA-PVI-SYNGENTA" u="1"/>
        <s v="FCM-OPE-SAO-PVI-ADIDAS" u="1"/>
        <s v="KON-OPE-RIO-PVI-BTC-CBO" u="1"/>
        <s v="KON-OPE-SAO-PVI-BTC-ARGO-ODONTOPREV" u="1"/>
        <s v="FCM-OPE-SAO-PVI-BTC CONCUR" u="1"/>
        <s v="INOVENTS" u="1"/>
        <s v="POSTO KONCEPT" u="1"/>
        <s v="EMF DIRETORIA" u="1"/>
        <s v="KON-OPE-SAO-PVI-BTC-LEMON" u="1"/>
        <s v="KON-OPE-RIO-POS-FURNAS ELETROBRAS" u="1"/>
        <s v="K-CLUB" u="1"/>
        <s v="FCM-OPE-SAO-PVI-BOSCH CONCIERGE" u="1"/>
        <s v="FCM-OPE-SAO-PVI-BTC-CYTRIC-AMWAY" u="1"/>
        <s v="FCM-OPE-SAO-PVI-BTC FCM" u="1"/>
        <s v="KON-OPE-SAO-PVI-BTC" u="1"/>
        <s v="KON-OPE-SAO-PVI-BTC ARGO" u="1"/>
        <s v="FCM-OPE-POA-PVI-BTC CONCUR" u="1"/>
        <s v="KON-OPE-SAO-PVI-FS" u="1"/>
        <s v="FCM-OPE-SAO-PVI-BTC-LONZA" u="1"/>
        <s v="KON-OPE-SAO-PVI-BTC-KONTIK DESPESAS " u="1"/>
        <s v="KON-OPE-RIO-PVI-BTC-BANCO BBM" u="1"/>
        <s v="KON-OPE-SAO-PVI-ITAU" u="1"/>
        <s v="KON-OPE-SAO-PVI-BTC-ESTRE" u="1"/>
        <s v="FCM-OPE-SAO-PVI-KELLOGGS" u="1"/>
        <s v="POSTO TRANSPETRO" u="1"/>
        <s v="KON-OPE-SAO-SUP-CENTRAL DE EMISSAO" u="1"/>
        <s v="KON-OPE-RIO-PVI-BTC-TECNOMYL" u="1"/>
        <s v="KON-OPE-RIO-PVI-BTC-ASPEN PHARMA" u="1"/>
        <s v="POSTO PETROBRAS" u="1"/>
        <s v="JINBOO" u="1"/>
        <s v="FAKE-SUPOR-BENNER" u="1"/>
        <s v="KON-OPE-RIO-PVI-SSE" u="1"/>
        <s v="KON-OPE-SAO-PVI-AREZZO" u="1"/>
        <s v="KON-OPE-RIO-PVI-BTC-CONCEBRA" u="1"/>
        <s v="HOT LINE - RIO DE JANEIRO" u="1"/>
        <s v="POSTO BRADESCO" u="1"/>
        <s v="KON-OPE-SAO-PVI-BTC-ARGO-CIELO" u="1"/>
      </sharedItems>
    </cacheField>
    <cacheField name="Codigo Evento" numFmtId="0">
      <sharedItems containsBlank="1"/>
    </cacheField>
    <cacheField name="Tarifa" numFmtId="0">
      <sharedItems containsString="0" containsBlank="1" containsNumber="1" minValue="-304948.56" maxValue="3118879.5" count="8000">
        <n v="10717.28"/>
        <n v="11945.44"/>
        <n v="489.99"/>
        <n v="230"/>
        <n v="1317.8"/>
        <n v="789.8"/>
        <n v="0"/>
        <n v="612"/>
        <n v="920"/>
        <n v="3409.02"/>
        <n v="219"/>
        <n v="440"/>
        <n v="1288"/>
        <n v="128.74"/>
        <n v="162.06"/>
        <n v="114.74"/>
        <n v="750"/>
        <n v="526"/>
        <n v="314.32"/>
        <n v="1046"/>
        <n v="2524.4"/>
        <n v="321.43"/>
        <n v="195.33359999999999"/>
        <n v="304.065"/>
        <n v="1335"/>
        <n v="4764.5640000000003"/>
        <n v="3757"/>
        <n v="594"/>
        <n v="3272.4047999999998"/>
        <n v="2468.0100000000002"/>
        <n v="2198.13"/>
        <n v="7739.95"/>
        <n v="4104.75"/>
        <n v="275"/>
        <n v="263"/>
        <n v="285.79000000000002"/>
        <n v="197"/>
        <n v="1362.8"/>
        <n v="285.44"/>
        <n v="107.42"/>
        <n v="477.94"/>
        <n v="141.30000000000001"/>
        <n v="485.63"/>
        <n v="928"/>
        <n v="4457.97"/>
        <n v="1611.99"/>
        <n v="856.5"/>
        <n v="175.22"/>
        <n v="868.03499999999997"/>
        <n v="937.1"/>
        <n v="1309.3599999999999"/>
        <n v="1176.328"/>
        <n v="367.75"/>
        <n v="252.46"/>
        <n v="2495.96"/>
        <n v="683.68"/>
        <n v="341.84"/>
        <n v="326.22000000000003"/>
        <n v="468.55"/>
        <n v="452.4"/>
        <n v="425.7"/>
        <n v="5453.4"/>
        <n v="12085.091200000001"/>
        <n v="1819.76"/>
        <n v="856"/>
        <n v="630"/>
        <n v="1460"/>
        <n v="365"/>
        <n v="665"/>
        <n v="408"/>
        <n v="189.75"/>
        <n v="220"/>
        <n v="182"/>
        <n v="584.41999999999996"/>
        <n v="546.03359999999998"/>
        <n v="266.76"/>
        <n v="266.67"/>
        <n v="344.68"/>
        <n v="5949.78"/>
        <n v="5926.86"/>
        <n v="85.52"/>
        <n v="788.5"/>
        <n v="394.25"/>
        <n v="110"/>
        <n v="3186.99"/>
        <n v="561"/>
        <n v="11174.3879"/>
        <n v="484"/>
        <n v="242"/>
        <n v="5850.4139999999998"/>
        <n v="1088.55"/>
        <n v="943.20399999999995"/>
        <n v="449.8"/>
        <n v="3571.2392"/>
        <n v="860.19600000000003"/>
        <n v="662"/>
        <n v="91.77"/>
        <n v="652.96"/>
        <n v="498.22"/>
        <n v="666.63520000000005"/>
        <n v="420.75940000000003"/>
        <n v="709.49030000000005"/>
        <n v="1779.702"/>
        <n v="895.78340000000003"/>
        <n v="1196.4000000000001"/>
        <n v="2707.4189999999999"/>
        <n v="293"/>
        <n v="740"/>
        <n v="824.91300000000001"/>
        <n v="445.7808"/>
        <n v="879.54300000000001"/>
        <n v="759.96559999999999"/>
        <n v="116.97"/>
        <n v="759.12"/>
        <n v="1783.3679999999999"/>
        <n v="1796.34"/>
        <n v="1110.52"/>
        <n v="305"/>
        <n v="834.74"/>
        <n v="983.22"/>
        <n v="273.27"/>
        <n v="1263.1500000000001"/>
        <n v="1273.28"/>
        <n v="3408.636"/>
        <n v="386"/>
        <n v="436.96"/>
        <n v="310.98"/>
        <n v="2480"/>
        <n v="5040"/>
        <n v="2170"/>
        <n v="5640"/>
        <n v="847.83"/>
        <n v="270"/>
        <n v="1982"/>
        <n v="5298"/>
        <n v="130"/>
        <n v="8020.16"/>
        <n v="11947"/>
        <n v="1283"/>
        <n v="3410"/>
        <n v="654.92999999999995"/>
        <n v="702"/>
        <n v="462"/>
        <n v="3239.9189999999999"/>
        <n v="290"/>
        <n v="233.85"/>
        <n v="219.34"/>
        <n v="618"/>
        <n v="609.15"/>
        <n v="264.91000000000003"/>
        <n v="624.39"/>
        <n v="643.08000000000004"/>
        <n v="661.5"/>
        <n v="205.19"/>
        <n v="349"/>
        <n v="794.73"/>
        <n v="449.66"/>
        <n v="2890"/>
        <n v="416.26"/>
        <n v="236.66"/>
        <n v="1716.1"/>
        <n v="675.32"/>
        <n v="245"/>
        <n v="247"/>
        <n v="1529"/>
        <n v="256.7"/>
        <n v="313.64999999999998"/>
        <n v="891.54"/>
        <n v="1020"/>
        <n v="324.68"/>
        <n v="398"/>
        <n v="208.33"/>
        <n v="958.5"/>
        <n v="236.15"/>
        <n v="780.18"/>
        <n v="215"/>
        <n v="196.27"/>
        <n v="210"/>
        <n v="534.79999999999995"/>
        <n v="958.9"/>
        <n v="222.26"/>
        <n v="204.75"/>
        <n v="496.16"/>
        <n v="281.49"/>
        <n v="561.04"/>
        <n v="192.21"/>
        <n v="698.97"/>
        <n v="406.06"/>
        <n v="391"/>
        <n v="205"/>
        <n v="406.22"/>
        <n v="384.42"/>
        <n v="283.44"/>
        <n v="224.53"/>
        <n v="190"/>
        <n v="287.5"/>
        <n v="510.4"/>
        <n v="840"/>
        <n v="217.85"/>
        <n v="283.83999999999997"/>
        <n v="790"/>
        <n v="47.1"/>
        <n v="44.5"/>
        <n v="200"/>
        <n v="800"/>
        <n v="156.1"/>
        <n v="1420"/>
        <n v="1079.973"/>
        <n v="394.02"/>
        <n v="623.54999999999995"/>
        <n v="702.59839999999997"/>
        <n v="572.85760000000005"/>
        <n v="2813.7"/>
        <n v="212.98"/>
        <n v="530"/>
        <n v="550"/>
        <n v="892.5"/>
        <n v="510"/>
        <n v="255"/>
        <n v="638.94000000000005"/>
        <n v="410"/>
        <n v="283.48"/>
        <n v="706"/>
        <n v="388.08"/>
        <n v="4700.6400000000003"/>
        <n v="286"/>
        <n v="460.18"/>
        <n v="440.92"/>
        <n v="1042"/>
        <n v="5581.9461000000001"/>
        <n v="382.88319999999999"/>
        <n v="4208.8288000000002"/>
        <n v="4207.7352000000001"/>
        <n v="3156.6215999999999"/>
        <n v="3155.8013999999998"/>
        <n v="8011.25"/>
        <n v="300.47359999999998"/>
        <n v="231.69"/>
        <n v="566"/>
        <n v="3912.36"/>
        <n v="249"/>
        <n v="14448.4"/>
        <n v="2095.83"/>
        <n v="235.74"/>
        <n v="15446.7616"/>
        <n v="5939.85"/>
        <n v="320"/>
        <n v="199.5"/>
        <n v="578"/>
        <n v="260"/>
        <n v="460"/>
        <n v="310.20999999999998"/>
        <n v="1173"/>
        <n v="1158"/>
        <n v="297"/>
        <n v="570"/>
        <n v="299"/>
        <n v="304.5"/>
        <n v="1604.4"/>
        <n v="825"/>
        <n v="265"/>
        <n v="295"/>
        <n v="1622.4"/>
        <n v="530.44000000000005"/>
        <n v="795"/>
        <n v="252"/>
        <n v="525"/>
        <n v="585.9"/>
        <n v="292.95"/>
        <n v="405.6"/>
        <n v="488"/>
        <n v="380"/>
        <n v="6888.96"/>
        <n v="254.1"/>
        <n v="240"/>
        <n v="288.75"/>
        <n v="225"/>
        <n v="604"/>
        <n v="400"/>
        <n v="2728"/>
        <n v="2108"/>
        <n v="808"/>
        <n v="31938.48"/>
        <n v="2680.5509999999999"/>
        <n v="4375.4399999999996"/>
        <n v="4292.2395999999999"/>
        <n v="432.73"/>
        <n v="437.10239999999999"/>
        <n v="1065.5999999999999"/>
        <n v="318.60000000000002"/>
        <n v="243.51"/>
        <n v="435"/>
        <n v="396.04320000000001"/>
        <n v="875.89599999999996"/>
        <n v="809.81600000000003"/>
        <n v="570.16959999999995"/>
        <n v="329.30239999999998"/>
        <n v="883.29"/>
        <n v="478.55"/>
        <n v="636.36"/>
        <n v="615"/>
        <n v="1737.5300999999999"/>
        <n v="2479.857"/>
        <n v="1471.3898999999999"/>
        <n v="733.32"/>
        <n v="950"/>
        <n v="1045"/>
        <n v="350"/>
        <n v="39317.040000000001"/>
        <n v="18993.599999999999"/>
        <n v="5337.49"/>
        <n v="894.53"/>
        <n v="528.61"/>
        <n v="1860.95"/>
        <n v="1135.8699999999999"/>
        <n v="1284.24"/>
        <n v="858.26"/>
        <n v="345.19"/>
        <n v="1197.83"/>
        <n v="1054.5899999999999"/>
        <n v="2273.89"/>
        <n v="489.65"/>
        <n v="2100.73"/>
        <n v="2966.21"/>
        <n v="637.14"/>
        <n v="859.52"/>
        <n v="932.64"/>
        <n v="250"/>
        <n v="1483.11"/>
        <n v="954.81"/>
        <n v="539.01"/>
        <n v="1020.77"/>
        <n v="3.38"/>
        <n v="3037.47"/>
        <n v="6165.98"/>
        <n v="906.13409999999999"/>
        <n v="1162.1848"/>
        <n v="783.71"/>
        <n v="430.02"/>
        <n v="4092.56"/>
        <n v="52996.57"/>
        <n v="27793.52"/>
        <n v="576.92999999999995"/>
        <n v="2523.92"/>
        <n v="1873.44"/>
        <n v="2345"/>
        <n v="487.61"/>
        <n v="450"/>
        <n v="1155"/>
        <n v="823.84"/>
        <n v="258"/>
        <n v="1894.32"/>
        <n v="2473.42"/>
        <n v="22769.62"/>
        <n v="2349.63"/>
        <n v="514.88"/>
        <n v="1405.44"/>
        <n v="5145.5544"/>
        <n v="4748.4566000000004"/>
        <n v="4026"/>
        <n v="2316.12"/>
        <n v="25375.65"/>
        <n v="1922.9914000000001"/>
        <n v="971.47"/>
        <n v="398.71"/>
        <n v="1581.3548000000001"/>
        <n v="1118.3599999999999"/>
        <n v="646.22"/>
        <n v="256.43630000000002"/>
        <n v="17566.400000000001"/>
        <n v="2609.37"/>
        <n v="542.23"/>
        <n v="30206.046300000002"/>
        <n v="24128.03"/>
        <n v="14580.18"/>
        <n v="1411.67"/>
        <n v="1364.27"/>
        <n v="693.98580000000004"/>
        <n v="634.78"/>
        <n v="632.49"/>
        <n v="1628.34"/>
        <n v="1406.78"/>
        <n v="9056.81"/>
        <n v="25126.39"/>
        <n v="6394.85"/>
        <n v="22088.34"/>
        <n v="6483.93"/>
        <n v="26737.34"/>
        <n v="9015.8700000000008"/>
        <n v="2637.91"/>
        <n v="3582.41"/>
        <n v="557.1"/>
        <n v="1177.52"/>
        <n v="3037.8"/>
        <n v="3311.46"/>
        <n v="3340.72"/>
        <n v="38529.26"/>
        <n v="25228.68"/>
        <n v="6117.24"/>
        <n v="1100"/>
        <n v="495.04"/>
        <n v="371.94"/>
        <n v="2650"/>
        <n v="423"/>
        <n v="286.52"/>
        <n v="24482.26"/>
        <n v="583"/>
        <n v="1421.17"/>
        <n v="774.9"/>
        <n v="3043.18"/>
        <n v="1579.8"/>
        <n v="234.85"/>
        <n v="6500.7359999999999"/>
        <n v="18883.87"/>
        <n v="15888.49"/>
        <n v="724.98"/>
        <n v="1971"/>
        <n v="405.99"/>
        <n v="564.78"/>
        <n v="2030"/>
        <n v="680"/>
        <n v="724.5"/>
        <n v="170"/>
        <n v="300"/>
        <n v="1080"/>
        <n v="3048"/>
        <n v="294"/>
        <n v="156.30000000000001"/>
        <n v="350.91"/>
        <n v="660"/>
        <n v="3063.39"/>
        <n v="417"/>
        <n v="426"/>
        <n v="1397.7375999999999"/>
        <n v="1021.8243"/>
        <m/>
        <n v="1530" u="1"/>
        <n v="379.76" u="1"/>
        <n v="427.04" u="1"/>
        <n v="224.43" u="1"/>
        <n v="276" u="1"/>
        <n v="7393.5995999999996" u="1"/>
        <n v="556.37120000000004" u="1"/>
        <n v="407.46" u="1"/>
        <n v="381.67360000000002" u="1"/>
        <n v="190.83680000000001" u="1"/>
        <n v="1345.9915000000001" u="1"/>
        <n v="1112.7424000000001" u="1"/>
        <n v="234.34" u="1"/>
        <n v="427.47039999999998" u="1"/>
        <n v="552.39520000000005" u="1"/>
        <n v="297.03519999999997" u="1"/>
        <n v="594.07039999999995" u="1"/>
        <n v="545" u="1"/>
        <n v="182.01" u="1"/>
        <n v="279.54660000000001" u="1"/>
        <n v="549.6934" u="1"/>
        <n v="608.54" u="1"/>
        <n v="688.26239999999996" u="1"/>
        <n v="773.51679999999999" u="1"/>
        <n v="468.96640000000002" u="1"/>
        <n v="729.47839999999997" u="1"/>
        <n v="2112.4319999999998" u="1"/>
        <n v="1933.0641000000001" u="1"/>
        <n v="347.13279999999997" u="1"/>
        <n v="719.44320000000005" u="1"/>
        <n v="885.52800000000002" u="1"/>
        <n v="1257.3119999999999" u="1"/>
        <n v="132.55000000000001" u="1"/>
        <n v="700" u="1"/>
        <n v="350.74" u="1"/>
        <n v="188.35" u="1"/>
        <n v="830.2" u="1"/>
        <n v="785.4" u="1"/>
        <n v="264.02659999999997" u="1"/>
        <n v="190.17" u="1"/>
        <n v="160" u="1"/>
        <n v="9253.09" u="1"/>
        <n v="920.3" u="1"/>
        <n v="8510" u="1"/>
        <n v="2349.09" u="1"/>
        <n v="355.42" u="1"/>
        <n v="433.26" u="1"/>
        <n v="199" u="1"/>
        <n v="257.71339999999998" u="1"/>
        <n v="515.41999999999996" u="1"/>
        <n v="176" u="1"/>
        <n v="314" u="1"/>
        <n v="505.14" u="1"/>
        <n v="1713" u="1"/>
        <n v="155.5" u="1"/>
        <n v="150.12" u="1"/>
        <n v="176.15" u="1"/>
        <n v="521.54999999999995" u="1"/>
        <n v="568.79999999999995" u="1"/>
        <n v="552" u="1"/>
        <n v="640" u="1"/>
        <n v="333" u="1"/>
        <n v="568.65" u="1"/>
        <n v="617.16" u="1"/>
        <n v="479.56799999999998" u="1"/>
        <n v="242.64" u="1"/>
        <n v="371.98" u="1"/>
        <n v="419.98" u="1"/>
        <n v="2486.7465000000002" u="1"/>
        <n v="182.0112" u="1"/>
        <n v="1389.6" u="1"/>
        <n v="224" u="1"/>
        <n v="246.92" u="1"/>
        <n v="222.62" u="1"/>
        <n v="100.08320000000001" u="1"/>
        <n v="339.69600000000003" u="1"/>
        <n v="192.65969999999999" u="1"/>
        <n v="200.16640000000001" u="1"/>
        <n v="5490.5798999999997" u="1"/>
        <n v="584" u="1"/>
        <n v="600" u="1"/>
        <n v="227" u="1"/>
        <n v="234.08" u="1"/>
        <n v="444.4384" u="1"/>
        <n v="163.56479999999999" u="1"/>
        <n v="717" u="1"/>
        <n v="463.64" u="1"/>
        <n v="287.52999999999997" u="1"/>
        <n v="561.08640000000003" u="1"/>
        <n v="509.54399999999998" u="1"/>
        <n v="213.76" u="1"/>
        <n v="8185" u="1"/>
        <n v="165.7" u="1"/>
        <n v="803.64" u="1"/>
        <n v="7934" u="1"/>
        <n v="85.19" u="1"/>
        <n v="78.88" u="1"/>
        <n v="12053.02" u="1"/>
        <n v="1437.66" u="1"/>
        <n v="16662.36" u="1"/>
        <n v="1583.77" u="1"/>
        <n v="207" u="1"/>
        <n v="876.62" u="1"/>
        <n v="744.78989999999999" u="1"/>
        <n v="149.59" u="1"/>
        <n v="464.65" u="1"/>
        <n v="1112.6976" u="1"/>
        <n v="790.23" u="1"/>
        <n v="104.51" u="1"/>
        <n v="268.32" u="1"/>
        <n v="1200" u="1"/>
        <n v="812.2" u="1"/>
        <n v="916.29" u="1"/>
        <n v="832.52" u="1"/>
        <n v="539.58240000000001" u="1"/>
        <n v="604.0299" u="1"/>
        <n v="464.6" u="1"/>
        <n v="18225" u="1"/>
        <n v="1778.9176" u="1"/>
        <n v="2123.6095999999998" u="1"/>
        <n v="852.46879999999999" u="1"/>
        <n v="834" u="1"/>
        <n v="590" u="1"/>
        <n v="432" u="1"/>
        <n v="351.26" u="1"/>
        <n v="657.8" u="1"/>
        <n v="738.27" u="1"/>
        <n v="1400" u="1"/>
        <n v="723.8" u="1"/>
        <n v="561.20000000000005" u="1"/>
        <n v="831.6" u="1"/>
        <n v="544" u="1"/>
        <n v="1544.81" u="1"/>
        <n v="1328" u="1"/>
        <n v="383.93" u="1"/>
        <n v="381.61" u="1"/>
        <n v="247.49" u="1"/>
        <n v="365.65" u="1"/>
        <n v="863.01" u="1"/>
        <n v="1127.27" u="1"/>
        <n v="478" u="1"/>
        <n v="770.99" u="1"/>
        <n v="738.18" u="1"/>
        <n v="299.52" u="1"/>
        <n v="300.60000000000002" u="1"/>
        <n v="585.32000000000005" u="1"/>
        <n v="165.70400000000001" u="1"/>
        <n v="596.43359999999996" u="1"/>
        <n v="571.16639999999995" u="1"/>
        <n v="498.52319999999997" u="1"/>
        <n v="796" u="1"/>
        <n v="6172.2" u="1"/>
        <n v="5527.32" u="1"/>
        <n v="7146.72" u="1"/>
        <n v="513.66" u="1"/>
        <n v="235.8" u="1"/>
        <n v="1046.4100000000001" u="1"/>
        <n v="664.69759999999997" u="1"/>
        <n v="352.41750000000002" u="1"/>
        <n v="539.65" u="1"/>
        <n v="616.70000000000005" u="1"/>
        <n v="654.20799999999997" u="1"/>
        <n v="1052.1279999999999" u="1"/>
        <n v="515.42399999999998" u="1"/>
        <n v="1348.76" u="1"/>
        <n v="361.60320000000002" u="1"/>
        <n v="980.28" u="1"/>
        <n v="881.08159999999998" u="1"/>
        <n v="771.59040000000005" u="1"/>
        <n v="591.822" u="1"/>
        <n v="892.92" u="1"/>
        <n v="1006.24" u="1"/>
        <n v="555.37440000000004" u="1"/>
        <n v="1702.46" u="1"/>
        <n v="155.54" u="1"/>
        <n v="495" u="1"/>
        <n v="589.32989999999995" u="1"/>
        <n v="140" u="1"/>
        <n v="291.40159999999997" u="1"/>
        <n v="470.13" u="1"/>
        <n v="624.91520000000003" u="1"/>
        <n v="559.74239999999998" u="1"/>
        <n v="2185.5120000000002" u="1"/>
        <n v="549.05759999999998" u="1"/>
        <n v="498.05" u="1"/>
        <n v="195.65280000000001" u="1"/>
        <n v="1025.1024" u="1"/>
        <n v="294.64" u="1"/>
        <n v="547.10879999999997" u="1"/>
        <n v="254.6096" u="1"/>
        <n v="366.03840000000002" u="1"/>
        <n v="248.43" u="1"/>
        <n v="645.97119999999995" u="1"/>
        <n v="467.00009999999997" u="1"/>
        <n v="364.8" u="1"/>
        <n v="178" u="1"/>
        <n v="204.36" u="1"/>
        <n v="2700" u="1"/>
        <n v="263.33999999999997" u="1"/>
        <n v="942" u="1"/>
        <n v="221" u="1"/>
        <n v="1648.14" u="1"/>
        <n v="499.72500000000002" u="1"/>
        <n v="169.49" u="1"/>
        <n v="280" u="1"/>
        <n v="445.86" u="1"/>
        <n v="262.33999999999997" u="1"/>
        <n v="7978.24" u="1"/>
        <n v="636.45600000000002" u="1"/>
        <n v="390.3134" u="1"/>
        <n v="491.5299" u="1"/>
        <n v="1176" u="1"/>
        <n v="474.88499999999999" u="1"/>
        <n v="173.74" u="1"/>
        <n v="316.2534" u="1"/>
        <n v="3475.8" u="1"/>
        <n v="1302.8900000000001" u="1"/>
        <n v="317.49" u="1"/>
        <n v="1460.4" u="1"/>
        <n v="1080.3699999999999" u="1"/>
        <n v="1429.64" u="1"/>
        <n v="1943.15" u="1"/>
        <n v="1009.2" u="1"/>
        <n v="1014.99" u="1"/>
        <n v="2989.82" u="1"/>
        <n v="1479.45" u="1"/>
        <n v="2518.4899999999998" u="1"/>
        <n v="1280.96" u="1"/>
        <n v="1044.9608000000001" u="1"/>
        <n v="162.83000000000001" u="1"/>
        <n v="5225.62" u="1"/>
        <n v="1658.52" u="1"/>
        <n v="1140.51" u="1"/>
        <n v="543.62" u="1"/>
        <n v="757.15219999999999" u="1"/>
        <n v="1163.9268999999999" u="1"/>
        <n v="628.23" u="1"/>
        <n v="559.91999999999996" u="1"/>
        <n v="994.4" u="1"/>
        <n v="2183.12" u="1"/>
        <n v="966.24" u="1"/>
        <n v="1327.2" u="1"/>
        <n v="340.36" u="1"/>
        <n v="312.72000000000003" u="1"/>
        <n v="479.12" u="1"/>
        <n v="511.59" u="1"/>
        <n v="908.58" u="1"/>
        <n v="412.82" u="1"/>
        <n v="923.15239999999994" u="1"/>
        <n v="568.30999999999995" u="1"/>
        <n v="2671.41" u="1"/>
        <n v="1301.6400000000001" u="1"/>
        <n v="408.92" u="1"/>
        <n v="1770.15" u="1"/>
        <n v="244.25" u="1"/>
        <n v="1824.11" u="1"/>
        <n v="1198.83" u="1"/>
        <n v="5821.13" u="1"/>
        <n v="379.94" u="1"/>
        <n v="1020.42" u="1"/>
        <n v="1807.45" u="1"/>
        <n v="252.38" u="1"/>
        <n v="500.2" u="1"/>
        <n v="2915.09" u="1"/>
        <n v="783.17750000000001" u="1"/>
        <n v="961.72" u="1"/>
        <n v="1174.7662" u="1"/>
        <n v="627.30999999999995" u="1"/>
        <n v="2868.78" u="1"/>
        <n v="3515.24" u="1"/>
        <n v="1073.44" u="1"/>
        <n v="697.94" u="1"/>
        <n v="1309.95" u="1"/>
        <n v="979.93470000000002" u="1"/>
        <n v="903.5" u="1"/>
        <n v="980.92" u="1"/>
        <n v="1945.47" u="1"/>
        <n v="470" u="1"/>
        <n v="2109.37" u="1"/>
        <n v="5671.08" u="1"/>
        <n v="4634.1000000000004" u="1"/>
        <n v="856.35" u="1"/>
        <n v="1077.18" u="1"/>
        <n v="374.58" u="1"/>
        <n v="331.23" u="1"/>
        <n v="1594.3059000000001" u="1"/>
        <n v="1202.46" u="1"/>
        <n v="229.71" u="1"/>
        <n v="220.13" u="1"/>
        <n v="1041.8800000000001" u="1"/>
        <n v="39894.33" u="1"/>
        <n v="5062.5" u="1"/>
        <n v="6431.94" u="1"/>
        <n v="333.2" u="1"/>
        <n v="1993.93" u="1"/>
        <n v="13358.35" u="1"/>
        <n v="1634.39" u="1"/>
        <n v="4275.6899999999996" u="1"/>
        <n v="1356.95" u="1"/>
        <n v="8657.34" u="1"/>
        <n v="9326.94" u="1"/>
        <n v="1060.22" u="1"/>
        <n v="11570.73" u="1"/>
        <n v="6983.45" u="1"/>
        <n v="5182.22" u="1"/>
        <n v="1565.79" u="1"/>
        <n v="2779.03" u="1"/>
        <n v="3430.36" u="1"/>
        <n v="3162.52" u="1"/>
        <n v="29011.59" u="1"/>
        <n v="5346.38" u="1"/>
        <n v="12239.94" u="1"/>
        <n v="741" u="1"/>
        <n v="654.54999999999995" u="1"/>
        <n v="572.52" u="1"/>
        <n v="29.74" u="1"/>
        <n v="524" u="1"/>
        <n v="338.37" u="1"/>
        <n v="2757.86" u="1"/>
        <n v="703.8" u="1"/>
        <n v="1035.51" u="1"/>
        <n v="642" u="1"/>
        <n v="1505.56" u="1"/>
        <n v="1983.49" u="1"/>
        <n v="171.67" u="1"/>
        <n v="880.15" u="1"/>
        <n v="2227.7199999999998" u="1"/>
        <n v="237.9" u="1"/>
        <n v="3075.91" u="1"/>
        <n v="1449.8" u="1"/>
        <n v="886.8" u="1"/>
        <n v="3047.82" u="1"/>
        <n v="4609.9799999999996" u="1"/>
        <n v="22261.27" u="1"/>
        <n v="259" u="1"/>
        <n v="442.25" u="1"/>
        <n v="473.55" u="1"/>
        <n v="156" u="1"/>
        <n v="11087.8" u="1"/>
        <n v="1497.8520000000001" u="1"/>
        <n v="2891.49" u="1"/>
        <n v="787.5" u="1"/>
        <n v="979.36" u="1"/>
        <n v="2495" u="1"/>
        <n v="998" u="1"/>
        <n v="1593.07" u="1"/>
        <n v="1694.54" u="1"/>
        <n v="250.95" u="1"/>
        <n v="1280.4000000000001" u="1"/>
        <n v="480" u="1"/>
        <n v="1320" u="1"/>
        <n v="501.6" u="1"/>
        <n v="564.77009999999996" u="1"/>
        <n v="186" u="1"/>
        <n v="637.65989999999999" u="1"/>
        <n v="194.1" u="1"/>
        <n v="5080.8765000000003" u="1"/>
        <n v="212" u="1"/>
        <n v="576.96079999999995" u="1"/>
        <n v="573.67420000000004" u="1"/>
        <n v="804.6" u="1"/>
        <n v="1472" u="1"/>
        <n v="304.52999999999997" u="1"/>
        <n v="1208.8800000000001" u="1"/>
        <n v="488.2" u="1"/>
        <n v="9409" u="1"/>
        <n v="85" u="1"/>
        <n v="4040" u="1"/>
        <n v="304" u="1"/>
        <n v="302" u="1"/>
        <n v="1152" u="1"/>
        <n v="786.6" u="1"/>
        <n v="958" u="1"/>
        <n v="7861.6" u="1"/>
        <n v="5055.3" u="1"/>
        <n v="780" u="1"/>
        <n v="1994.09" u="1"/>
        <n v="284.44" u="1"/>
        <n v="558.64" u="1"/>
        <n v="574.54999999999995" u="1"/>
        <n v="1052.3699999999999" u="1"/>
        <n v="761.11" u="1"/>
        <n v="871.68" u="1"/>
        <n v="1640.62" u="1"/>
        <n v="532.36" u="1"/>
        <n v="218" u="1"/>
        <n v="1679.04" u="1"/>
        <n v="400.31" u="1"/>
        <n v="3452.49" u="1"/>
        <n v="3929.44" u="1"/>
        <n v="643.20000000000005" u="1"/>
        <n v="1126.24" u="1"/>
        <n v="548.34" u="1"/>
        <n v="1263.92" u="1"/>
        <n v="203.4" u="1"/>
        <n v="4153.09" u="1"/>
        <n v="407.61" u="1"/>
        <n v="2104.19" u="1"/>
        <n v="396.45" u="1"/>
        <n v="591.91999999999996" u="1"/>
        <n v="413.34" u="1"/>
        <n v="20997.119999999999" u="1"/>
        <n v="798" u="1"/>
        <n v="752.75" u="1"/>
        <n v="3319.95" u="1"/>
        <n v="751.86" u="1"/>
        <n v="609.51" u="1"/>
        <n v="1356.79" u="1"/>
        <n v="1297.44" u="1"/>
        <n v="4049.84" u="1"/>
        <n v="1930.42" u="1"/>
        <n v="1120" u="1"/>
        <n v="990" u="1"/>
        <n v="946" u="1"/>
        <n v="1419" u="1"/>
        <n v="295.62" u="1"/>
        <n v="430" u="1"/>
        <n v="720" u="1"/>
        <n v="607" u="1"/>
        <n v="308" u="1"/>
        <n v="497.58" u="1"/>
        <n v="183.54" u="1"/>
        <n v="239" u="1"/>
        <n v="13776.071400000001" u="1"/>
        <n v="810" u="1"/>
        <n v="1364.76" u="1"/>
        <n v="869" u="1"/>
        <n v="1090" u="1"/>
        <n v="1980" u="1"/>
        <n v="3307.5" u="1"/>
        <n v="1790" u="1"/>
        <n v="2900" u="1"/>
        <n v="117.78" u="1"/>
        <n v="339.93" u="1"/>
        <n v="365.18" u="1"/>
        <n v="100.1" u="1"/>
        <n v="300.3" u="1"/>
        <n v="849" u="1"/>
        <n v="889.2" u="1"/>
        <n v="2593.8296999999998" u="1"/>
        <n v="4751.16" u="1"/>
        <n v="10853.1808" u="1"/>
        <n v="654.19000000000005" u="1"/>
        <n v="836.09" u="1"/>
        <n v="681.76" u="1"/>
        <n v="481" u="1"/>
        <n v="625.59" u="1"/>
        <n v="1235.83" u="1"/>
        <n v="1449.45" u="1"/>
        <n v="564.9" u="1"/>
        <n v="708.64" u="1"/>
        <n v="1294.32" u="1"/>
        <n v="816.32" u="1"/>
        <n v="1318.32" u="1"/>
        <n v="1157.1199999999999" u="1"/>
        <n v="310" u="1"/>
        <n v="1006" u="1"/>
        <n v="823.13" u="1"/>
        <n v="2219.54" u="1"/>
        <n v="2405.1" u="1"/>
        <n v="789.96" u="1"/>
        <n v="3263.82" u="1"/>
        <n v="4918.47" u="1"/>
        <n v="5546.5730000000003" u="1"/>
        <n v="679.37" u="1"/>
        <n v="11810.88" u="1"/>
        <n v="38798.76" u="1"/>
        <n v="4047.6" u="1"/>
        <n v="4274.26" u="1"/>
        <n v="4263.47" u="1"/>
        <n v="1198.74" u="1"/>
        <n v="2538.9499999999998" u="1"/>
        <n v="2144.92" u="1"/>
        <n v="433.84" u="1"/>
        <n v="836" u="1"/>
        <n v="675.62" u="1"/>
        <n v="586.44000000000005" u="1"/>
        <n v="837.67" u="1"/>
        <n v="690.99" u="1"/>
        <n v="300.58999999999997" u="1"/>
        <n v="953.92" u="1"/>
        <n v="1380.22" u="1"/>
        <n v="702.89" u="1"/>
        <n v="1890.86" u="1"/>
        <n v="1206" u="1"/>
        <n v="945" u="1"/>
        <n v="5538" u="1"/>
        <n v="3339" u="1"/>
        <n v="273" u="1"/>
        <n v="1349" u="1"/>
        <n v="189.6" u="1"/>
        <n v="278.18560000000002" u="1"/>
        <n v="2589.7984000000001" u="1"/>
        <n v="659.91989999999998" u="1"/>
        <n v="572.5104" u="1"/>
        <n v="609.16800000000001" u="1"/>
        <n v="432.20659999999998" u="1"/>
        <n v="427.67" u="1"/>
        <n v="434.61" u="1"/>
        <n v="577.59699999999998" u="1"/>
        <n v="100" u="1"/>
        <n v="284.89999999999998" u="1"/>
        <n v="1137" u="1"/>
        <n v="247.92" u="1"/>
        <n v="1119" u="1"/>
        <n v="2058.2600000000002" u="1"/>
        <n v="1142.94" u="1"/>
        <n v="1098.51" u="1"/>
        <n v="1943.16" u="1"/>
        <n v="7087.52" u="1"/>
        <n v="657" u="1"/>
        <n v="262.8" u="1"/>
        <n v="361.04" u="1"/>
        <n v="903.2" u="1"/>
        <n v="956" u="1"/>
        <n v="2985" u="1"/>
        <n v="843.75" u="1"/>
        <n v="590.15" u="1"/>
        <n v="790.3" u="1"/>
        <n v="790.39" u="1"/>
        <n v="811.3" u="1"/>
        <n v="474" u="1"/>
        <n v="285" u="1"/>
        <n v="1251" u="1"/>
        <n v="1031.04" u="1"/>
        <n v="1081.8" u="1"/>
        <n v="348.9" u="1"/>
        <n v="833.8" u="1"/>
        <n v="1676.48" u="1"/>
        <n v="855.73" u="1"/>
        <n v="1976.22" u="1"/>
        <n v="350.82" u="1"/>
        <n v="1149.9000000000001" u="1"/>
        <n v="3647.48" u="1"/>
        <n v="865.16" u="1"/>
        <n v="226.71" u="1"/>
        <n v="0.06" u="1"/>
        <n v="983.92" u="1"/>
        <n v="907.5" u="1"/>
        <n v="774.24" u="1"/>
        <n v="630.9" u="1"/>
        <n v="1583.4767999999999" u="1"/>
        <n v="485.95" u="1"/>
        <n v="983.97" u="1"/>
        <n v="439.37" u="1"/>
        <n v="758.27" u="1"/>
        <n v="2599.84" u="1"/>
        <n v="2473.44" u="1"/>
        <n v="1739.48" u="1"/>
        <n v="2101.85" u="1"/>
        <n v="306.32" u="1"/>
        <n v="438.68" u="1"/>
        <n v="4094.02" u="1"/>
        <n v="3766.5" u="1"/>
        <n v="1746" u="1"/>
        <n v="670" u="1"/>
        <n v="10" u="1"/>
        <n v="1174" u="1"/>
        <n v="134.91999999999999" u="1"/>
        <n v="299.92" u="1"/>
        <n v="253.42" u="1"/>
        <n v="2069.52" u="1"/>
        <n v="371.7" u="1"/>
        <n v="245.94" u="1"/>
        <n v="708.75" u="1"/>
        <n v="452.84" u="1"/>
        <n v="1324.34" u="1"/>
        <n v="1021.68" u="1"/>
        <n v="3250" u="1"/>
        <n v="1496.84" u="1"/>
        <n v="1240.46" u="1"/>
        <n v="2700.29" u="1"/>
        <n v="1515.23" u="1"/>
        <n v="67580" u="1"/>
        <n v="513" u="1"/>
        <n v="616" u="1"/>
        <n v="886" u="1"/>
        <n v="789" u="1"/>
        <n v="801.1" u="1"/>
        <n v="235.88" u="1"/>
        <n v="86.5" u="1"/>
        <n v="947.9" u="1"/>
        <n v="778.17" u="1"/>
        <n v="2988.9" u="1"/>
        <n v="2087.44" u="1"/>
        <n v="1474.86" u="1"/>
        <n v="1103.0999999999999" u="1"/>
        <n v="785.8" u="1"/>
        <n v="1403.76" u="1"/>
        <n v="734.92" u="1"/>
        <n v="2154.59" u="1"/>
        <n v="444.6" u="1"/>
        <n v="1338.96" u="1"/>
        <n v="458.92" u="1"/>
        <n v="1941.43" u="1"/>
        <n v="679.12" u="1"/>
        <n v="13217.101500000001" u="1"/>
        <n v="70.209999999999994" u="1"/>
        <n v="46.23" u="1"/>
        <n v="218.22" u="1"/>
        <n v="74.19" u="1"/>
        <n v="213.56" u="1"/>
        <n v="199.95" u="1"/>
        <n v="327.12959999999998" u="1"/>
        <n v="197.28800000000001" u="1"/>
        <n v="654.49" u="1"/>
        <n v="692.75" u="1"/>
        <n v="415" u="1"/>
        <n v="533.79999999999995" u="1"/>
        <n v="905" u="1"/>
        <n v="15562.72" u="1"/>
        <n v="2264.36" u="1"/>
        <n v="2456.09" u="1"/>
        <n v="514" u="1"/>
        <n v="34944.519999999997" u="1"/>
        <n v="3708.48" u="1"/>
        <n v="15775.48" u="1"/>
        <n v="4108.16" u="1"/>
        <n v="1129.97" u="1"/>
        <n v="1001.08" u="1"/>
        <n v="500.82260000000002" u="1"/>
        <n v="558.38840000000005" u="1"/>
        <n v="1641.731" u="1"/>
        <n v="2211.34" u="1"/>
        <n v="2076.8832000000002" u="1"/>
        <n v="1104.2639999999999" u="1"/>
        <n v="2518.0511999999999" u="1"/>
        <n v="528.05759999999998" u="1"/>
        <n v="1435" u="1"/>
        <n v="244" u="1"/>
        <n v="211.55" u="1"/>
        <n v="168" u="1"/>
        <n v="357.87" u="1"/>
        <n v="92.83" u="1"/>
        <n v="900" u="1"/>
        <n v="2142.8000000000002" u="1"/>
        <n v="2292.48" u="1"/>
        <n v="3429" u="1"/>
        <n v="598" u="1"/>
        <n v="815.673" u="1"/>
        <n v="2105.1799999999998" u="1"/>
        <n v="417.74" u="1"/>
        <n v="1827.8" u="1"/>
        <n v="476" u="1"/>
        <n v="2391.27" u="1"/>
        <n v="2112" u="1"/>
        <n v="416" u="1"/>
        <n v="433.76" u="1"/>
        <n v="4084.596" u="1"/>
        <n v="2613.7040000000002" u="1"/>
        <n v="81.3" u="1"/>
        <n v="78.290000000000006" u="1"/>
        <n v="150.35" u="1"/>
        <n v="148.68" u="1"/>
        <n v="342.08" u="1"/>
        <n v="57.15" u="1"/>
        <n v="298" u="1"/>
        <n v="248" u="1"/>
        <n v="390" u="1"/>
        <n v="3748.6" u="1"/>
        <n v="1076" u="1"/>
        <n v="538" u="1"/>
        <n v="138.6" u="1"/>
        <n v="352.75" u="1"/>
        <n v="930" u="1"/>
        <n v="251.05500000000001" u="1"/>
        <n v="403.065" u="1"/>
        <n v="1240" u="1"/>
        <n v="2360" u="1"/>
        <n v="414" u="1"/>
        <n v="500.0301" u="1"/>
        <n v="367.20319999999998" u="1"/>
        <n v="405.54750000000001" u="1"/>
        <n v="5741.4" u="1"/>
        <n v="360" u="1"/>
        <n v="93.22" u="1"/>
        <n v="364.73919999999998" u="1"/>
        <n v="260.87040000000002" u="1"/>
        <n v="1273.94" u="1"/>
        <n v="117" u="1"/>
        <n v="903" u="1"/>
        <n v="354.72" u="1"/>
        <n v="229.59" u="1"/>
        <n v="625.32000000000005" u="1"/>
        <n v="9921.19" u="1"/>
        <n v="7750.49" u="1"/>
        <n v="1181.02" u="1"/>
        <n v="1662.04" u="1"/>
        <n v="20916.060000000001" u="1"/>
        <n v="970.23" u="1"/>
        <n v="3296.6" u="1"/>
        <n v="17747.12" u="1"/>
        <n v="17795.310000000001" u="1"/>
        <n v="43540.747199999998" u="1"/>
        <n v="4772.54" u="1"/>
        <n v="1671.48" u="1"/>
        <n v="1045.48" u="1"/>
        <n v="2319.88" u="1"/>
        <n v="7945.64" u="1"/>
        <n v="6138.94" u="1"/>
        <n v="11905.7" u="1"/>
        <n v="8876" u="1"/>
        <n v="15457.19" u="1"/>
        <n v="627.53" u="1"/>
        <n v="1400.4" u="1"/>
        <n v="2176.2916" u="1"/>
        <n v="10653.34" u="1"/>
        <n v="4812.5" u="1"/>
        <n v="10224.459999999999" u="1"/>
        <n v="3530.9" u="1"/>
        <n v="8390.1299999999992" u="1"/>
        <n v="905.79" u="1"/>
        <n v="3100.86" u="1"/>
        <n v="21598.78" u="1"/>
        <n v="25096.062000000002" u="1"/>
        <n v="2336.7800000000002" u="1"/>
        <n v="18964.37" u="1"/>
        <n v="37618.959999999999" u="1"/>
        <n v="26722.25" u="1"/>
        <n v="26510.87" u="1"/>
        <n v="4616.87" u="1"/>
        <n v="15383.41" u="1"/>
        <n v="1729.8" u="1"/>
        <n v="32568.43" u="1"/>
        <n v="38119.81" u="1"/>
        <n v="24486.12" u="1"/>
        <n v="1259.8" u="1"/>
        <n v="3349.6" u="1"/>
        <n v="2041.8" u="1"/>
        <n v="19942.5" u="1"/>
        <n v="44782.37" u="1"/>
        <n v="43127.87" u="1"/>
        <n v="3543.1" u="1"/>
        <n v="961.3" u="1"/>
        <n v="3064.64" u="1"/>
        <n v="1831.68" u="1"/>
        <n v="11910.9" u="1"/>
        <n v="2512.91" u="1"/>
        <n v="278.8" u="1"/>
        <n v="1374.27" u="1"/>
        <n v="1262.29" u="1"/>
        <n v="650.19000000000005" u="1"/>
        <n v="1183.7853" u="1"/>
        <n v="3008" u="1"/>
        <n v="2454.2800000000002" u="1"/>
        <n v="220.45" u="1"/>
        <n v="4781" u="1"/>
        <n v="697.38" u="1"/>
        <n v="2022.12" u="1"/>
        <n v="433.09" u="1"/>
        <n v="1165.8499999999999" u="1"/>
        <n v="637.02" u="1"/>
        <n v="637.03" u="1"/>
        <n v="574.4" u="1"/>
        <n v="958.24" u="1"/>
        <n v="1136.0899999999999" u="1"/>
        <n v="555.44000000000005" u="1"/>
        <n v="1993.1" u="1"/>
        <n v="1908.64" u="1"/>
        <n v="672.6" u="1"/>
        <n v="572.84" u="1"/>
        <n v="686.32" u="1"/>
        <n v="1275.78" u="1"/>
        <n v="772.49" u="1"/>
        <n v="501.31" u="1"/>
        <n v="3195.72" u="1"/>
        <n v="1836.64" u="1"/>
        <n v="1617.44" u="1"/>
        <n v="1474.78" u="1"/>
        <n v="425.4" u="1"/>
        <n v="1496.09" u="1"/>
        <n v="1689.94" u="1"/>
        <n v="1689.95" u="1"/>
        <n v="1979.82" u="1"/>
        <n v="1539.6" u="1"/>
        <n v="2204.8200000000002" u="1"/>
        <n v="692.92" u="1"/>
        <n v="1488.72" u="1"/>
        <n v="1097.44" u="1"/>
        <n v="357.8" u="1"/>
        <n v="1023.87" u="1"/>
        <n v="1201.1099999999999" u="1"/>
        <n v="999.89" u="1"/>
        <n v="495.8" u="1"/>
        <n v="657.52" u="1"/>
        <n v="5116.96" u="1"/>
        <n v="1190" u="1"/>
        <n v="391.13" u="1"/>
        <n v="6291.72" u="1"/>
        <n v="2099.08" u="1"/>
        <n v="4141.67" u="1"/>
        <n v="917.96" u="1"/>
        <n v="632.79999999999995" u="1"/>
        <n v="1514.34" u="1"/>
        <n v="8062" u="1"/>
        <n v="2445.83" u="1"/>
        <n v="11427.9511" u="1"/>
        <n v="22027.148399999998" u="1"/>
        <n v="5064.6993000000002" u="1"/>
        <n v="24815.27" u="1"/>
        <n v="787.71839999999997" u="1"/>
        <n v="605.57280000000003" u="1"/>
        <n v="3963.33" u="1"/>
        <n v="304.03519999999997" u="1"/>
        <n v="391.30560000000003" u="1"/>
        <n v="432.17" u="1"/>
        <n v="6099.25" u="1"/>
        <n v="574.32479999999998" u="1"/>
        <n v="446.27519999999998" u="1"/>
        <n v="774.37919999999997" u="1"/>
        <n v="5243" u="1"/>
        <n v="325" u="1"/>
        <n v="752.73" u="1"/>
        <n v="139" u="1"/>
        <n v="154.80000000000001" u="1"/>
        <n v="143" u="1"/>
        <n v="548.02" u="1"/>
        <n v="283.02" u="1"/>
        <n v="286.04000000000002" u="1"/>
        <n v="6488.2" u="1"/>
        <n v="1622.05" u="1"/>
        <n v="4866.1499999999996" u="1"/>
        <n v="2350.0300000000002" u="1"/>
        <n v="1545.41" u="1"/>
        <n v="609.17999999999995" u="1"/>
        <n v="856.3" u="1"/>
        <n v="1031.76" u="1"/>
        <n v="1221.9100000000001" u="1"/>
        <n v="606.88" u="1"/>
        <n v="329.3" u="1"/>
        <n v="1485.6536000000001" u="1"/>
        <n v="852.928" u="1"/>
        <n v="812.06" u="1"/>
        <n v="455.51" u="1"/>
        <n v="325.38" u="1"/>
        <n v="590.73990000000003" u="1"/>
        <n v="559.74" u="1"/>
        <n v="871.24" u="1"/>
        <n v="330.16660000000002" u="1"/>
        <n v="3191.605" u="1"/>
        <n v="102" u="1"/>
        <n v="1141.4004" u="1"/>
        <n v="258.77999999999997" u="1"/>
        <n v="564" u="1"/>
        <n v="730.71" u="1"/>
        <n v="6196.32" u="1"/>
        <n v="539.28" u="1"/>
        <n v="746.44569999999999" u="1"/>
        <n v="1225.02" u="1"/>
        <n v="1394.84" u="1"/>
        <n v="4630.78" u="1"/>
        <n v="1162.43" u="1"/>
        <n v="6068.29" u="1"/>
        <n v="9215.89" u="1"/>
        <n v="995.63" u="1"/>
        <n v="10704.1" u="1"/>
        <n v="963.54" u="1"/>
        <n v="14958.37" u="1"/>
        <n v="3329.18" u="1"/>
        <n v="1416.59" u="1"/>
        <n v="14953.78" u="1"/>
        <n v="7658.39" u="1"/>
        <n v="5497.89" u="1"/>
        <n v="17922.16" u="1"/>
        <n v="3738" u="1"/>
        <n v="6024.14" u="1"/>
        <n v="5096.53" u="1"/>
        <n v="2090.61" u="1"/>
        <n v="6603.18" u="1"/>
        <n v="945.09130000000005" u="1"/>
        <n v="951.2" u="1"/>
        <n v="9834.98" u="1"/>
        <n v="4644.2299999999996" u="1"/>
        <n v="7070.15" u="1"/>
        <n v="9181.34" u="1"/>
        <n v="4497.6499999999996" u="1"/>
        <n v="3676.91" u="1"/>
        <n v="6918.66" u="1"/>
        <n v="9050.5300000000007" u="1"/>
        <n v="444.25" u="1"/>
        <n v="991.37009999999998" u="1"/>
        <n v="1083.8599999999999" u="1"/>
        <n v="3327.35" u="1"/>
        <n v="4885.87" u="1"/>
        <n v="11643.35" u="1"/>
        <n v="6939.02" u="1"/>
        <n v="6028.22" u="1"/>
        <n v="1043.83" u="1"/>
        <n v="7102.94" u="1"/>
        <n v="17428.62" u="1"/>
        <n v="25099.31" u="1"/>
        <n v="2663.37" u="1"/>
        <n v="666.58" u="1"/>
        <n v="4780.0200000000004" u="1"/>
        <n v="1766.07" u="1"/>
        <n v="4646.54" u="1"/>
        <n v="3959.73" u="1"/>
        <n v="1373.52" u="1"/>
        <n v="2098.33" u="1"/>
        <n v="485.0598" u="1"/>
        <n v="100.9" u="1"/>
        <n v="16449.34" u="1"/>
        <n v="1989.37" u="1"/>
        <n v="392.23" u="1"/>
        <n v="464.7" u="1"/>
        <n v="8652.9884999999995" u="1"/>
        <n v="120" u="1"/>
        <n v="1221" u="1"/>
        <n v="2608.23" u="1"/>
        <n v="1268.57" u="1"/>
        <n v="828" u="1"/>
        <n v="8820.2191999999995" u="1"/>
        <n v="29460.866399999999" u="1"/>
        <n v="29536.365600000001" u="1"/>
        <n v="25863.882000000001" u="1"/>
        <n v="32068.2582" u="1"/>
        <n v="12428.341200000001" u="1"/>
        <n v="3900.2494999999999" u="1"/>
        <n v="1240.3440000000001" u="1"/>
        <n v="89.22" u="1"/>
        <n v="3411.19" u="1"/>
        <n v="1904.19" u="1"/>
        <n v="61" u="1"/>
        <n v="165" u="1"/>
        <n v="144" u="1"/>
        <n v="9670.3505000000005" u="1"/>
        <n v="1834.87" u="1"/>
        <n v="500" u="1"/>
        <n v="2666.3159999999998" u="1"/>
        <n v="816.68" u="1"/>
        <n v="176.3" u="1"/>
        <n v="1" u="1"/>
        <n v="931.56" u="1"/>
        <n v="480.04" u="1"/>
        <n v="645" u="1"/>
        <n v="1594.03" u="1"/>
        <n v="696.83" u="1"/>
        <n v="564.87" u="1"/>
        <n v="1178.22" u="1"/>
        <n v="41799.559200000003" u="1"/>
        <n v="5640.8688000000002" u="1"/>
        <n v="3657.19" u="1"/>
        <n v="5160" u="1"/>
        <n v="86.088899999999995" u="1"/>
        <n v="192.63" u="1"/>
        <n v="1873" u="1"/>
        <n v="4094.16" u="1"/>
        <n v="677.928" u="1"/>
        <n v="919.59" u="1"/>
        <n v="7024.16" u="1"/>
        <n v="1049" u="1"/>
        <n v="2145" u="1"/>
        <n v="812176.87860000005" u="1"/>
        <n v="7100.87" u="1"/>
        <n v="229.2" u="1"/>
        <n v="619.20000000000005" u="1"/>
        <n v="274.51" u="1"/>
        <n v="2889.9360000000001" u="1"/>
        <n v="809.7" u="1"/>
        <n v="159.715" u="1"/>
        <n v="170.36500000000001" u="1"/>
        <n v="2464.52" u="1"/>
        <n v="1224.3" u="1"/>
        <n v="4802.1138000000001" u="1"/>
        <n v="1335.02" u="1"/>
        <n v="1472.04" u="1"/>
        <n v="2131.75" u="1"/>
        <n v="1956.04" u="1"/>
        <n v="2407.19" u="1"/>
        <n v="4933.1099999999997" u="1"/>
        <n v="2533.73" u="1"/>
        <n v="9937.41" u="1"/>
        <n v="3154.9834999999998" u="1"/>
        <n v="624.29349999999999" u="1"/>
        <n v="884.45" u="1"/>
        <n v="558.66999999999996" u="1"/>
        <n v="1895.7322999999999" u="1"/>
        <n v="1516.8013000000001" u="1"/>
        <n v="1215.06" u="1"/>
        <n v="446.86" u="1"/>
        <n v="2924.21" u="1"/>
        <n v="5221.12" u="1"/>
        <n v="851.20069999999998" u="1"/>
        <n v="1465.354" u="1"/>
        <n v="946.5" u="1"/>
        <n v="1152.06" u="1"/>
        <n v="1404.5787" u="1"/>
        <n v="1442.6651999999999" u="1"/>
        <n v="969.08579999999995" u="1"/>
        <n v="1365.8936000000001" u="1"/>
        <n v="1762.9734000000001" u="1"/>
        <n v="19657.91" u="1"/>
        <n v="21751.360000000001" u="1"/>
        <n v="3804.75" u="1"/>
        <n v="22104.9" u="1"/>
        <n v="18021.96" u="1"/>
        <n v="582.67999999999995" u="1"/>
        <n v="1992.42" u="1"/>
        <n v="208.24" u="1"/>
        <n v="5234.2386999999999" u="1"/>
        <n v="1549.9061999999999" u="1"/>
        <n v="832.62699999999995" u="1"/>
        <n v="3766.9803999999999" u="1"/>
        <n v="2279.7600000000002" u="1"/>
        <n v="2098.71" u="1"/>
        <n v="543.91999999999996" u="1"/>
        <n v="24863.772000000001" u="1"/>
        <n v="1559.86" u="1"/>
        <n v="2773.0839000000001" u="1"/>
        <n v="1518.9472000000001" u="1"/>
        <n v="2898.3042999999998" u="1"/>
        <n v="2402.1750000000002" u="1"/>
        <n v="2597.3959" u="1"/>
        <n v="18197.04" u="1"/>
        <n v="15062.09" u="1"/>
        <n v="367.09" u="1"/>
        <n v="1238.1600000000001" u="1"/>
        <n v="957.35" u="1"/>
        <n v="1997.1" u="1"/>
        <n v="4939.1099999999997" u="1"/>
        <n v="97.48" u="1"/>
        <n v="813.27" u="1"/>
        <n v="2785.9" u="1"/>
        <n v="650.18240000000003" u="1"/>
        <n v="826.28" u="1"/>
        <n v="7743.72" u="1"/>
        <n v="432.16" u="1"/>
        <n v="2292.9" u="1"/>
        <n v="193" u="1"/>
        <n v="193.2" u="1"/>
        <n v="540" u="1"/>
        <n v="1616" u="1"/>
        <n v="472.5" u="1"/>
        <n v="2651.8" u="1"/>
        <n v="3444.7204000000002" u="1"/>
        <n v="783.10400000000004" u="1"/>
        <n v="1478.39" u="1"/>
        <n v="637.98" u="1"/>
        <n v="1679.03" u="1"/>
        <n v="299.76" u="1"/>
        <n v="431.88" u="1"/>
        <n v="883.2" u="1"/>
        <n v="9015.6065999999992" u="1"/>
        <n v="329.84660000000002" u="1"/>
        <n v="694.59" u="1"/>
        <n v="582.30849999999998" u="1"/>
        <n v="333.06" u="1"/>
        <n v="38720.82" u="1"/>
        <n v="756" u="1"/>
        <n v="438" u="1"/>
        <n v="1168" u="1"/>
        <n v="1376" u="1"/>
        <n v="626.31650000000002" u="1"/>
        <n v="312.45760000000001" u="1"/>
        <n v="582.80319999999995" u="1"/>
        <n v="154.1232" u="1"/>
        <n v="647.8528" u="1"/>
        <n v="557.53599999999994" u="1"/>
        <n v="285.08479999999997" u="1"/>
        <n v="1094" u="1"/>
        <n v="1693.6" u="1"/>
        <n v="1417.09" u="1"/>
        <n v="977.52" u="1"/>
        <n v="387" u="1"/>
        <n v="531.6" u="1"/>
        <n v="976.35" u="1"/>
        <n v="219.12" u="1"/>
        <n v="8668.44" u="1"/>
        <n v="1336.31" u="1"/>
        <n v="1127.6500000000001" u="1"/>
        <n v="1022.25" u="1"/>
        <n v="623.20000000000005" u="1"/>
        <n v="368.63" u="1"/>
        <n v="10184.5" u="1"/>
        <n v="644.28" u="1"/>
        <n v="490.51519999999999" u="1"/>
        <n v="176.232" u="1"/>
        <n v="773.13599999999997" u="1"/>
        <n v="332.34879999999998" u="1"/>
        <n v="422.44600000000003" u="1"/>
        <n v="476.33600000000001" u="1"/>
        <n v="820.26559999999995" u="1"/>
        <n v="289.47519999999997" u="1"/>
        <n v="367.88639999999998" u="1"/>
        <n v="788.72" u="1"/>
        <n v="1306.68" u="1"/>
        <n v="369.6" u="1"/>
        <n v="2213.92" u="1"/>
        <n v="3872.3519999999999" u="1"/>
        <n v="1936.1759999999999" u="1"/>
        <n v="759" u="1"/>
        <n v="540.54999999999995" u="1"/>
        <n v="2237.94" u="1"/>
        <n v="1810.78" u="1"/>
        <n v="2919" u="1"/>
        <n v="2540.5300000000002" u="1"/>
        <n v="558.24" u="1"/>
        <n v="694.8" u="1"/>
        <n v="278.39999999999998" u="1"/>
        <n v="1956.3" u="1"/>
        <n v="387.39" u="1"/>
        <n v="1038.21" u="1"/>
        <n v="419.92" u="1"/>
        <n v="518.32000000000005" u="1"/>
        <n v="313.11" u="1"/>
        <n v="8032.3919999999998" u="1"/>
        <n v="187.02879999999999" u="1"/>
        <n v="2347.9679999999998" u="1"/>
        <n v="206.67" u="1"/>
        <n v="754.28639999999996" u="1"/>
        <n v="135" u="1"/>
        <n v="267" u="1"/>
        <n v="387.8" u="1"/>
        <n v="24223.13" u="1"/>
        <n v="699.8" u="1"/>
        <n v="555.60990000000004" u="1"/>
        <n v="41.9" u="1"/>
        <n v="104.23" u="1"/>
        <n v="214.35" u="1"/>
        <n v="869.52319999999997" u="1"/>
        <n v="872" u="1"/>
        <n v="79.900000000000006" u="1"/>
        <n v="40.44" u="1"/>
        <n v="1329.37" u="1"/>
        <n v="448.08100000000002" u="1"/>
        <n v="4555.3" u="1"/>
        <n v="1374.95" u="1"/>
        <n v="1085.8399999999999" u="1"/>
        <n v="445.05" u="1"/>
        <n v="7347.6480000000001" u="1"/>
        <n v="717.42719999999997" u="1"/>
        <n v="283.10660000000001" u="1"/>
        <n v="703.56650000000002" u="1"/>
        <n v="3489.09" u="1"/>
        <n v="450.01499999999999" u="1"/>
        <n v="477.88159999999999" u="1"/>
        <n v="675.44960000000003" u="1"/>
        <n v="734.36159999999995" u="1"/>
        <n v="1220" u="1"/>
        <n v="318.25" u="1"/>
        <n v="3236.1302000000001" u="1"/>
        <n v="2908.56" u="1"/>
        <n v="155" u="1"/>
        <n v="4623.2700000000004" u="1"/>
        <n v="196.7056" u="1"/>
        <n v="754.18560000000002" u="1"/>
        <n v="390.27519999999998" u="1"/>
        <n v="177.24" u="1"/>
        <n v="1442.22" u="1"/>
        <n v="1007.12" u="1"/>
        <n v="31426.720000000001" u="1"/>
        <n v="1357.5852" u="1"/>
        <n v="368.2" u="1"/>
        <n v="420" u="1"/>
        <n v="1090.7" u="1"/>
        <n v="439" u="1"/>
        <n v="2237.92" u="1"/>
        <n v="2531.21" u="1"/>
        <n v="930.8" u="1"/>
        <n v="222.89" u="1"/>
        <n v="306.89" u="1"/>
        <n v="896.72" u="1"/>
        <n v="588.4" u="1"/>
        <n v="267.60000000000002" u="1"/>
        <n v="360.72" u="1"/>
        <n v="512.9" u="1"/>
        <n v="1046.32" u="1"/>
        <n v="1933.03" u="1"/>
        <n v="655.92" u="1"/>
        <n v="904.34" u="1"/>
        <n v="1667.02" u="1"/>
        <n v="732.45" u="1"/>
        <n v="195.55" u="1"/>
        <n v="1531.04" u="1"/>
        <n v="553.49" u="1"/>
        <n v="408.42" u="1"/>
        <n v="408.41" u="1"/>
        <n v="0.01" u="1"/>
        <n v="874.56" u="1"/>
        <n v="397.13" u="1"/>
        <n v="789.52" u="1"/>
        <n v="209.99" u="1"/>
        <n v="1049.95" u="1"/>
        <n v="689.97" u="1"/>
        <n v="629.97" u="1"/>
        <n v="577.47" u="1"/>
        <n v="839.96" u="1"/>
        <n v="618.66999999999996" u="1"/>
        <n v="21271.488000000001" u="1"/>
        <n v="364.0224" u="1"/>
        <n v="249.07679999999999" u="1"/>
        <n v="559.67520000000002" u="1"/>
        <n v="237600" u="1"/>
        <n v="196.36" u="1"/>
        <n v="439.55520000000001" u="1"/>
        <n v="961.04960000000005" u="1"/>
        <n v="1030.4112" u="1"/>
        <n v="527.70749999999998" u="1"/>
        <n v="629" u="1"/>
        <n v="820.51199999999994" u="1"/>
        <n v="3042" u="1"/>
        <n v="195.715" u="1"/>
        <n v="201.24" u="1"/>
        <n v="2872.4" u="1"/>
        <n v="795.72" u="1"/>
        <n v="594.08000000000004" u="1"/>
        <n v="222.49" u="1"/>
        <n v="268.08999999999997" u="1"/>
        <n v="2783.8607999999999" u="1"/>
        <n v="1158.76" u="1"/>
        <n v="319.9504" u="1"/>
        <n v="954.73" u="1"/>
        <n v="720.71199999999999" u="1"/>
        <n v="1617.96" u="1"/>
        <n v="233.46" u="1"/>
        <n v="708.71" u="1"/>
        <n v="786.30719999999997" u="1"/>
        <n v="826.22400000000005" u="1"/>
        <n v="248.34" u="1"/>
        <n v="1325.0719999999999" u="1"/>
        <n v="522.00959999999998" u="1"/>
        <n v="812.24" u="1"/>
        <n v="731.85" u="1"/>
        <n v="384.12" u="1"/>
        <n v="159.4768" u="1"/>
        <n v="725.2672" u="1"/>
        <n v="964.72" u="1"/>
        <n v="49.25" u="1"/>
        <n v="367.22559999999999" u="1"/>
        <n v="403.93920000000003" u="1"/>
        <n v="377.72" u="1"/>
        <n v="177.09" u="1"/>
        <n v="124.05" u="1"/>
        <n v="249.26" u="1"/>
        <n v="164.08" u="1"/>
        <n v="10154.59" u="1"/>
        <n v="1348.9168" u="1"/>
        <n v="5580" u="1"/>
        <n v="358.71359999999999" u="1"/>
        <n v="1973" u="1"/>
        <n v="201.93" u="1"/>
        <n v="175.25" u="1"/>
        <n v="103.77" u="1"/>
        <n v="473.34" u="1"/>
        <n v="1429.0319999999999" u="1"/>
        <n v="137.75" u="1"/>
        <n v="674.2835" u="1"/>
        <n v="391.5" u="1"/>
        <n v="225.41" u="1"/>
        <n v="183.31" u="1"/>
        <n v="1737.8504" u="1"/>
        <n v="2113.12" u="1"/>
        <n v="1059.2302" u="1"/>
        <n v="763.08" u="1"/>
        <n v="323.72000000000003" u="1"/>
        <n v="685.75360000000001" u="1"/>
        <n v="599.90009999999995" u="1"/>
        <n v="638.7201" u="1"/>
        <n v="429.57" u="1"/>
        <n v="574.83749999999998" u="1"/>
        <n v="364.08960000000002" u="1"/>
        <n v="618.40800000000002" u="1"/>
        <n v="177.22" u="1"/>
        <n v="508.36799999999999" u="1"/>
        <n v="154.56" u="1"/>
        <n v="485.94560000000001" u="1"/>
        <n v="620.52800000000002" u="1"/>
        <n v="420.39" u="1"/>
        <n v="541.91999999999996" u="1"/>
        <n v="1251.31" u="1"/>
        <n v="1596.98" u="1"/>
        <n v="525.22" u="1"/>
        <n v="962.1" u="1"/>
        <n v="520" u="1"/>
        <n v="291.8" u="1"/>
        <n v="378" u="1"/>
        <n v="1009" u="1"/>
        <n v="1029" u="1"/>
        <n v="701.32" u="1"/>
        <n v="342.3" u="1"/>
        <n v="180" u="1"/>
        <n v="379" u="1"/>
        <n v="249.6" u="1"/>
        <n v="2043" u="1"/>
        <n v="275.10000000000002" u="1"/>
        <n v="178.2" u="1"/>
        <n v="914.1" u="1"/>
        <n v="192.16499999999999" u="1"/>
        <n v="1093.98" u="1"/>
        <n v="402.62880000000001" u="1"/>
        <n v="677.82399999999996" u="1"/>
        <n v="814.18399999999997" u="1"/>
        <n v="475.07040000000001" u="1"/>
        <n v="399.9744" u="1"/>
        <n v="218.3552" u="1"/>
        <n v="316.71359999999999" u="1"/>
        <n v="597.35199999999998" u="1"/>
        <n v="1070.4064000000001" u="1"/>
        <n v="436.66559999999998" u="1"/>
        <n v="624.44479999999999" u="1"/>
        <n v="641.76" u="1"/>
        <n v="1674.624" u="1"/>
        <n v="345.87" u="1"/>
        <n v="249.8" u="1"/>
        <n v="550.77120000000002" u="1"/>
        <n v="1006.06" u="1"/>
        <n v="725.62" u="1"/>
        <n v="336.12" u="1"/>
        <n v="271.48" u="1"/>
        <n v="542" u="1"/>
        <n v="745.75" u="1"/>
        <n v="876" u="1"/>
        <n v="1158.71" u="1"/>
        <n v="6001.35" u="1"/>
        <n v="19513.86" u="1"/>
        <n v="526.13" u="1"/>
        <n v="496" u="1"/>
        <n v="1251.92" u="1"/>
        <n v="2344.9" u="1"/>
        <n v="1895.88" u="1"/>
        <n v="1444.72" u="1"/>
        <n v="1017.4" u="1"/>
        <n v="1556.82" u="1"/>
        <n v="459.27" u="1"/>
        <n v="2753.47" u="1"/>
        <n v="1034.92" u="1"/>
        <n v="2799.2" u="1"/>
        <n v="179.36" u="1"/>
        <n v="633.66999999999996" u="1"/>
        <n v="350.47" u="1"/>
        <n v="404.16" u="1"/>
        <n v="1905.46" u="1"/>
        <n v="2650.63" u="1"/>
        <n v="339.17" u="1"/>
        <n v="530.32000000000005" u="1"/>
        <n v="681.67" u="1"/>
        <n v="962.95" u="1"/>
        <n v="3225.44" u="1"/>
        <n v="619.94000000000005" u="1"/>
        <n v="269.04000000000002" u="1"/>
        <n v="757.25" u="1"/>
        <n v="1384.42" u="1"/>
        <n v="373" u="1"/>
        <n v="675.9" u="1"/>
        <n v="1764.11" u="1"/>
        <n v="524.25" u="1"/>
        <n v="787.8" u="1"/>
        <n v="1342.24" u="1"/>
        <n v="449.28" u="1"/>
        <n v="315" u="1"/>
        <n v="1488.56" u="1"/>
        <n v="269.10000000000002" u="1"/>
        <n v="560" u="1"/>
        <n v="421.71" u="1"/>
        <n v="498.58" u="1"/>
        <n v="213.66" u="1"/>
        <n v="5032.6899999999996" u="1"/>
        <n v="3543.27" u="1"/>
        <n v="649.38" u="1"/>
        <n v="1181.76" u="1"/>
        <n v="1233.0802000000001" u="1"/>
        <n v="587.29999999999995" u="1"/>
        <n v="3009.86" u="1"/>
        <n v="5312.67" u="1"/>
        <n v="7357.56" u="1"/>
        <n v="3840" u="1"/>
        <n v="9654.11" u="1"/>
        <n v="1847.49" u="1"/>
        <n v="2602.1840000000002" u="1"/>
        <n v="218.99" u="1"/>
        <n v="906.72" u="1"/>
        <n v="997.10670000000005" u="1"/>
        <n v="1947.7476999999999" u="1"/>
        <n v="1483.47" u="1"/>
        <n v="3211.25" u="1"/>
        <n v="2381.8000000000002" u="1"/>
        <n v="3590.1498000000001" u="1"/>
        <n v="1483.4722999999999" u="1"/>
        <n v="9359" u="1"/>
        <n v="82.09" u="1"/>
        <n v="1016" u="1"/>
        <n v="587.99" u="1"/>
        <n v="45294.25" u="1"/>
        <n v="394" u="1"/>
        <n v="977.8" u="1"/>
        <n v="652.06399999999996" u="1"/>
        <n v="299.68" u="1"/>
        <n v="1455.32" u="1"/>
        <n v="1671.55" u="1"/>
        <n v="364.75" u="1"/>
        <n v="3106.7898" u="1"/>
        <n v="219.4" u="1"/>
        <n v="1600" u="1"/>
        <n v="556.38" u="1"/>
        <n v="1380" u="1"/>
        <n v="197.31" u="1"/>
        <n v="1740" u="1"/>
        <n v="2351.25" u="1"/>
        <n v="1719.9278999999999" u="1"/>
        <n v="1063.3692000000001" u="1"/>
        <n v="2193.6976" u="1"/>
        <n v="1331.0001" u="1"/>
        <n v="541.36500000000001" u="1"/>
        <n v="894.45" u="1"/>
        <n v="7480.1180999999997" u="1"/>
        <n v="2248.8000000000002" u="1"/>
        <n v="1292.1976" u="1"/>
        <n v="2817.1844000000001" u="1"/>
        <n v="498" u="1"/>
        <n v="518" u="1"/>
        <n v="690" u="1"/>
        <n v="934.10599999999999" u="1"/>
        <n v="1112.04" u="1"/>
        <n v="269" u="1"/>
        <n v="5459.7233999999999" u="1"/>
        <n v="768" u="1"/>
        <n v="1487.4" u="1"/>
        <n v="1256.269" u="1"/>
        <n v="257.61" u="1"/>
        <n v="909" u="1"/>
        <n v="54.78" u="1"/>
        <n v="9412.2720000000008" u="1"/>
        <n v="20524.625" u="1"/>
        <n v="8538.99" u="1"/>
        <n v="1150" u="1"/>
        <n v="1067.5999999999999" u="1"/>
        <n v="433.68" u="1"/>
        <n v="1430" u="1"/>
        <n v="376.69" u="1"/>
        <n v="502.25" u="1"/>
        <n v="342.18" u="1"/>
        <n v="283.99" u="1"/>
        <n v="209" u="1"/>
        <n v="1977.88" u="1"/>
        <n v="418" u="1"/>
        <n v="4655" u="1"/>
        <n v="588" u="1"/>
        <n v="3391.92" u="1"/>
        <n v="278.14" u="1"/>
        <n v="855" u="1"/>
        <n v="1005.48" u="1"/>
        <n v="1204.49" u="1"/>
        <n v="413.33" u="1"/>
        <n v="524.23" u="1"/>
        <n v="1083.45" u="1"/>
        <n v="747.6" u="1"/>
        <n v="608.4" u="1"/>
        <n v="988" u="1"/>
        <n v="1018.86" u="1"/>
        <n v="862.85" u="1"/>
        <n v="1016.37" u="1"/>
        <n v="362.78" u="1"/>
        <n v="189.3" u="1"/>
        <n v="1211.1099999999999" u="1"/>
        <n v="1894.5" u="1"/>
        <n v="1938.11" u="1"/>
        <n v="412.45" u="1"/>
        <n v="756.92" u="1"/>
        <n v="945.1" u="1"/>
        <n v="18777.66" u="1"/>
        <n v="2472.7199999999998" u="1"/>
        <n v="150" u="1"/>
        <n v="190.98" u="1"/>
        <n v="2725.44" u="1"/>
        <n v="811.12" u="1"/>
        <n v="1240.72" u="1"/>
        <n v="2206.3200000000002" u="1"/>
        <n v="859.04" u="1"/>
        <n v="1940.46" u="1"/>
        <n v="1957.52" u="1"/>
        <n v="492.72" u="1"/>
        <n v="449.9" u="1"/>
        <n v="2001.3409999999999" u="1"/>
        <n v="1379.0062" u="1"/>
        <n v="1627.39" u="1"/>
        <n v="2607.7337000000002" u="1"/>
        <n v="4699.5200000000004" u="1"/>
        <n v="982" u="1"/>
        <n v="394.8" u="1"/>
        <n v="1348.2" u="1"/>
        <n v="289" u="1"/>
        <n v="424.26" u="1"/>
        <n v="955.34" u="1"/>
        <n v="625.41999999999996" u="1"/>
        <n v="371.84" u="1"/>
        <n v="725.84" u="1"/>
        <n v="1532.31" u="1"/>
        <n v="921.93" u="1"/>
        <n v="508.57" u="1"/>
        <n v="636.59" u="1"/>
        <n v="628.41999999999996" u="1"/>
        <n v="455.92" u="1"/>
        <n v="451.14" u="1"/>
        <n v="2527.7800000000002" u="1"/>
        <n v="1241.17" u="1"/>
        <n v="659.92" u="1"/>
        <n v="285.45" u="1"/>
        <n v="483.84" u="1"/>
        <n v="1858.34" u="1"/>
        <n v="507.35140000000001" u="1"/>
        <n v="431.1" u="1"/>
        <n v="10591.68" u="1"/>
        <n v="626.99" u="1"/>
        <n v="472.27749999999997" u="1"/>
        <n v="1629.45" u="1"/>
        <n v="291" u="1"/>
        <n v="329" u="1"/>
        <n v="895.9" u="1"/>
        <n v="1392.7398000000001" u="1"/>
        <n v="268.95" u="1"/>
        <n v="278.33" u="1"/>
        <n v="3706.7579999999998" u="1"/>
        <n v="791.26319999999998" u="1"/>
        <n v="1599.7840000000001" u="1"/>
        <n v="2155.3200000000002" u="1"/>
        <n v="825.3" u="1"/>
        <n v="222.17" u="1"/>
        <n v="440.9" u="1"/>
        <n v="185.5" u="1"/>
        <n v="233.36" u="1"/>
        <n v="1279.432" u="1"/>
        <n v="896.89599999999996" u="1"/>
        <n v="1018.08" u="1"/>
        <n v="1782.9503999999999" u="1"/>
        <n v="3558.9690000000001" u="1"/>
        <n v="2472" u="1"/>
        <n v="201.97" u="1"/>
        <n v="626.48" u="1"/>
        <n v="268.42" u="1"/>
        <n v="717.43" u="1"/>
        <n v="566.28989999999999" u="1"/>
        <n v="299.98" u="1"/>
        <n v="800.14400000000001" u="1"/>
        <n v="342.88" u="1"/>
        <n v="66.099999999999994" u="1"/>
        <n v="65.92" u="1"/>
        <n v="1327.5" u="1"/>
        <n v="1728" u="1"/>
        <n v="716" u="1"/>
        <n v="1181.5776000000001" u="1"/>
        <n v="339.25920000000002" u="1"/>
        <n v="341.93599999999998" u="1"/>
        <n v="681.52" u="1"/>
        <n v="379.99079999999998" u="1"/>
        <n v="654.25919999999996" u="1"/>
        <n v="748.11519999999996" u="1"/>
        <n v="546" u="1"/>
        <n v="1061.5211999999999" u="1"/>
        <n v="2075.4499999999998" u="1"/>
        <n v="2152.4657999999999" u="1"/>
        <n v="332.01" u="1"/>
        <n v="1712.56" u="1"/>
        <n v="3950.8895000000002" u="1"/>
        <n v="331" u="1"/>
        <n v="568" u="1"/>
        <n v="13956.4692" u="1"/>
        <n v="1521.356" u="1"/>
        <n v="1988" u="1"/>
        <n v="302.2" u="1"/>
        <n v="607.41999999999996" u="1"/>
        <n v="1050.8735999999999" u="1"/>
        <n v="381.99" u="1"/>
        <n v="426.37" u="1"/>
        <n v="194.32" u="1"/>
        <n v="796.33" u="1"/>
        <n v="759.87" u="1"/>
        <n v="616.49279999999999" u="1"/>
        <n v="203.06" u="1"/>
        <n v="610.71" u="1"/>
        <n v="8041.0176000000001" u="1"/>
        <n v="273.81760000000003" u="1"/>
        <n v="1255.5" u="1"/>
        <n v="3750" u="1"/>
        <n v="2496" u="1"/>
        <n v="428.7" u="1"/>
        <n v="5400" u="1"/>
        <n v="209.5" u="1"/>
        <n v="68.45" u="1"/>
        <n v="366.04" u="1"/>
        <n v="370.4" u="1"/>
        <n v="886.26" u="1"/>
        <n v="371.04480000000001" u="1"/>
        <n v="163.352" u="1"/>
        <n v="1025.0239999999999" u="1"/>
        <n v="245.2576" u="1"/>
        <n v="218.45" u="1"/>
        <n v="382.815" u="1"/>
        <n v="574.66499999999996" u="1"/>
        <n v="532.26880000000006" u="1"/>
        <n v="1060.4799" u="1"/>
        <n v="660.97919999999999" u="1"/>
        <n v="306" u="1"/>
        <n v="572" u="1"/>
        <n v="235" u="1"/>
        <n v="227.41" u="1"/>
        <n v="1310" u="1"/>
        <n v="251.22" u="1"/>
        <n v="250.98" u="1"/>
        <n v="318.95359999999999" u="1"/>
        <n v="1000.5632000000001" u="1"/>
        <n v="683.87199999999996" u="1"/>
        <n v="634.81320000000005" u="1"/>
        <n v="1064.952" u="1"/>
        <n v="655.25599999999997" u="1"/>
        <n v="199.9872" u="1"/>
        <n v="84.17" u="1"/>
        <n v="199.4" u="1"/>
        <n v="1555.7" u="1"/>
        <n v="212.63" u="1"/>
        <n v="177.30500000000001" u="1"/>
        <n v="498.06990000000002" u="1"/>
        <n v="818.41" u="1"/>
        <n v="250.66499999999999" u="1"/>
        <n v="1615.92" u="1"/>
        <n v="278.3" u="1"/>
        <n v="219.13" u="1"/>
        <n v="272.6934" u="1"/>
        <n v="2486.04" u="1"/>
        <n v="2593.6875" u="1"/>
        <n v="284.07" u="1"/>
        <n v="248.67" u="1"/>
        <n v="225.07" u="1"/>
        <n v="213.27" u="1"/>
        <n v="157.41999999999999" u="1"/>
        <n v="108.53" u="1"/>
        <n v="4782.9799999999996" u="1"/>
        <n v="1366.2" u="1"/>
        <n v="261.88" u="1"/>
        <n v="354.7" u="1"/>
        <n v="950.79" u="1"/>
        <n v="1226.58" u="1"/>
        <n v="152.33000000000001" u="1"/>
        <n v="685.9" u="1"/>
        <n v="433.39" u="1"/>
        <n v="649.79999999999995" u="1"/>
        <n v="5838.76" u="1"/>
        <n v="753.18" u="1"/>
        <n v="1319.12" u="1"/>
        <n v="718.32" u="1"/>
        <n v="251.12" u="1"/>
        <n v="440.82" u="1"/>
        <n v="440.81" u="1"/>
        <n v="2652.26" u="1"/>
        <n v="437.52" u="1"/>
        <n v="2639.12" u="1"/>
        <n v="161.52000000000001" u="1"/>
        <n v="1253.7" u="1"/>
        <n v="912.86" u="1"/>
        <n v="959.84" u="1"/>
        <n v="3644.6" u="1"/>
        <n v="805.52" u="1"/>
        <n v="918.31" u="1"/>
        <n v="3884.32" u="1"/>
        <n v="1745.88" u="1"/>
        <n v="2483.6999999999998" u="1"/>
        <n v="2483.7084" u="1"/>
        <n v="2234.1588000000002" u="1"/>
        <n v="718.63" u="1"/>
        <n v="739.75019999999995" u="1"/>
        <n v="3601.3582000000001" u="1"/>
        <n v="477.17" u="1"/>
        <n v="502.82" u="1"/>
        <n v="1949.9503999999999" u="1"/>
        <n v="757.10680000000002" u="1"/>
        <n v="5037.62" u="1"/>
        <n v="1646.37" u="1"/>
        <n v="1667.28" u="1"/>
        <n v="1956.07" u="1"/>
        <n v="4240.45" u="1"/>
        <n v="1362.28" u="1"/>
        <n v="4301.75" u="1"/>
        <n v="1621.56" u="1"/>
        <n v="2562.41" u="1"/>
        <n v="23202.29" u="1"/>
        <n v="26248.11" u="1"/>
        <n v="1607.35" u="1"/>
        <n v="5431.74" u="1"/>
        <n v="50838.68" u="1"/>
        <n v="36429.120000000003" u="1"/>
        <n v="49419.61" u="1"/>
        <n v="1107" u="1"/>
        <n v="1691.5" u="1"/>
        <n v="922.34" u="1"/>
        <n v="562.34" u="1"/>
        <n v="4104.8999999999996" u="1"/>
        <n v="423.59" u="1"/>
        <n v="858.67" u="1"/>
        <n v="1457.84" u="1"/>
        <n v="2152.25" u="1"/>
        <n v="819.78" u="1"/>
        <n v="513.47" u="1"/>
        <n v="448.34" u="1"/>
        <n v="55" u="1"/>
        <n v="582.73" u="1"/>
        <n v="6609.1742000000004" u="1"/>
        <n v="24606.73" u="1"/>
        <n v="1897.77" u="1"/>
        <n v="596" u="1"/>
        <n v="388" u="1"/>
        <n v="1653.8" u="1"/>
        <n v="1175" u="1"/>
        <n v="516" u="1"/>
        <n v="7016.31" u="1"/>
        <n v="4717.96" u="1"/>
        <n v="6292.8" u="1"/>
        <n v="4542.24" u="1"/>
        <n v="5487" u="1"/>
        <n v="810.41099999999994" u="1"/>
        <n v="1248.4681" u="1"/>
        <n v="1028.2429999999999" u="1"/>
        <n v="374" u="1"/>
        <n v="854" u="1"/>
        <n v="1821.6792" u="1"/>
        <n v="456" u="1"/>
        <n v="330" u="1"/>
        <n v="2590" u="1"/>
        <n v="2938.4639999999999" u="1"/>
        <n v="684.87549999999999" u="1"/>
        <n v="629.28" u="1"/>
        <n v="678.96579999999994" u="1"/>
        <n v="233.94" u="1"/>
        <n v="213" u="1"/>
        <n v="18700" u="1"/>
        <n v="1776.8" u="1"/>
        <n v="2807.5889999999999" u="1"/>
        <n v="4655.8050000000003" u="1"/>
        <n v="848.17499999999995" u="1"/>
        <n v="119.47" u="1"/>
        <n v="110.62" u="1"/>
        <n v="131.68" u="1"/>
        <n v="551.28" u="1"/>
        <n v="294.99" u="1"/>
        <n v="274.99" u="1"/>
        <n v="393.99" u="1"/>
        <n v="14039.6" u="1"/>
        <n v="6687.66" u="1"/>
        <n v="6458.16" u="1"/>
        <n v="3975.72" u="1"/>
        <n v="3973.41" u="1"/>
        <n v="2665.18" u="1"/>
        <n v="11215.75" u="1"/>
        <n v="202.7" u="1"/>
        <n v="2276.1536000000001" u="1"/>
        <n v="1161.9100000000001" u="1"/>
        <n v="453.09" u="1"/>
        <n v="731.54" u="1"/>
        <n v="1199.8" u="1"/>
        <n v="638.9" u="1"/>
        <n v="2836.8006999999998" u="1"/>
        <n v="972.8" u="1"/>
        <n v="1844.6963000000001" u="1"/>
        <n v="986.32" u="1"/>
        <n v="784.32" u="1"/>
        <n v="2497.98" u="1"/>
        <n v="1079.7545" u="1"/>
        <n v="184.38550000000001" u="1"/>
        <n v="3280.64" u="1"/>
        <n v="384.64" u="1"/>
        <n v="271.92" u="1"/>
        <n v="701.06510000000003" u="1"/>
        <n v="1384.6104" u="1"/>
        <n v="1824.5648000000001" u="1"/>
        <n v="1105.3814" u="1"/>
        <n v="49561.99" u="1"/>
        <n v="1754.92" u="1"/>
        <n v="11121.92" u="1"/>
        <n v="358" u="1"/>
        <n v="1028" u="1"/>
        <n v="963.6" u="1"/>
        <n v="6664.45" u="1"/>
        <n v="487.35" u="1"/>
        <n v="676" u="1"/>
        <n v="3171" u="1"/>
        <n v="2091.9" u="1"/>
        <n v="276.75" u="1"/>
        <n v="834.57" u="1"/>
        <n v="3273.3" u="1"/>
        <n v="1081.8800000000001" u="1"/>
        <n v="1193.8" u="1"/>
        <n v="426.42" u="1"/>
        <n v="1135.24" u="1"/>
        <n v="563" u="1"/>
        <n v="226.44" u="1"/>
        <n v="1140" u="1"/>
        <n v="1083.95" u="1"/>
        <n v="9909.25" u="1"/>
        <n v="136.63999999999999" u="1"/>
        <n v="688" u="1"/>
        <n v="281" u="1"/>
        <n v="1157.0999999999999" u="1"/>
        <n v="745" u="1"/>
        <n v="258.38" u="1"/>
        <n v="1047.54" u="1"/>
        <n v="931.26" u="1"/>
        <n v="1013.32" u="1"/>
        <n v="1204.17" u="1"/>
        <n v="357" u="1"/>
        <n v="323.39999999999998" u="1"/>
        <n v="1110" u="1"/>
        <n v="506.68" u="1"/>
        <n v="253.98" u="1"/>
        <n v="216" u="1"/>
        <n v="2779.8" u="1"/>
        <n v="986" u="1"/>
        <n v="563.66" u="1"/>
        <n v="455" u="1"/>
        <n v="41.69" u="1"/>
        <n v="11449.094999999999" u="1"/>
        <n v="200.5" u="1"/>
        <n v="1518.07" u="1"/>
        <n v="2904.14" u="1"/>
        <n v="703.08" u="1"/>
        <n v="4216.45" u="1"/>
        <n v="6852.42" u="1"/>
        <n v="218.1" u="1"/>
        <n v="718.2" u="1"/>
        <n v="1665.67" u="1"/>
        <n v="2283.59" u="1"/>
        <n v="2378.91" u="1"/>
        <n v="1372.9" u="1"/>
        <n v="1265.6099999999999" u="1"/>
        <n v="1237.8" u="1"/>
        <n v="1302.01" u="1"/>
        <n v="330.23" u="1"/>
        <n v="1087.49" u="1"/>
        <n v="378.46" u="1"/>
        <n v="1499.58" u="1"/>
        <n v="151.91999999999999" u="1"/>
        <n v="393.42" u="1"/>
        <n v="3026.91" u="1"/>
        <n v="15550.76" u="1"/>
        <n v="524.16" u="1"/>
        <n v="2582.2157000000002" u="1"/>
        <n v="938.94" u="1"/>
        <n v="4808.41" u="1"/>
        <n v="1271.8399999999999" u="1"/>
        <n v="2502.0300000000002" u="1"/>
        <n v="1427.15" u="1"/>
        <n v="326.27" u="1"/>
        <n v="959.92" u="1"/>
        <n v="4807.7233999999999" u="1"/>
        <n v="326.32" u="1"/>
        <n v="627.64" u="1"/>
        <n v="2908.97" u="1"/>
        <n v="2610.64" u="1"/>
        <n v="2338.1799999999998" u="1"/>
        <n v="2389.2199999999998" u="1"/>
        <n v="2300.73" u="1"/>
        <n v="4177.3" u="1"/>
        <n v="471.51190000000003" u="1"/>
        <n v="328.19" u="1"/>
        <n v="557.09780000000001" u="1"/>
        <n v="1317.3604" u="1"/>
        <n v="2895.0154000000002" u="1"/>
        <n v="2019.02" u="1"/>
        <n v="1542.702" u="1"/>
        <n v="7266.77" u="1"/>
        <n v="2961.3948" u="1"/>
        <n v="10182.18" u="1"/>
        <n v="2735.91" u="1"/>
        <n v="5819.94" u="1"/>
        <n v="653.5" u="1"/>
        <n v="1056.9000000000001" u="1"/>
        <n v="559.98" u="1"/>
        <n v="831.4" u="1"/>
        <n v="1819.5" u="1"/>
        <n v="1655.84" u="1"/>
        <n v="1472.09" u="1"/>
        <n v="413.92" u="1"/>
        <n v="35" u="1"/>
        <n v="847.9" u="1"/>
        <n v="232.12" u="1"/>
        <n v="1343.84" u="1"/>
        <n v="1302.05" u="1"/>
        <n v="1462.42" u="1"/>
        <n v="1014.33" u="1"/>
        <n v="877.8" u="1"/>
        <n v="974" u="1"/>
        <n v="262" u="1"/>
        <n v="11290" u="1"/>
        <n v="2178.9899999999998" u="1"/>
        <n v="1472.0160000000001" u="1"/>
        <n v="8335" u="1"/>
        <n v="3252" u="1"/>
        <n v="375" u="1"/>
        <n v="865.6" u="1"/>
        <n v="534" u="1"/>
        <n v="195" u="1"/>
        <n v="850" u="1"/>
        <n v="278.99" u="1"/>
        <n v="1592" u="1"/>
        <n v="188.67519999999999" u="1"/>
        <n v="490.69439999999997" u="1"/>
        <n v="893.30799999999999" u="1"/>
        <n v="695.03719999999998" u="1"/>
        <n v="902.02319999999997" u="1"/>
        <n v="975.01300000000003" u="1"/>
        <n v="1183" u="1"/>
        <n v="12909.39" u="1"/>
        <n v="1331" u="1"/>
        <n v="857.85490000000004" u="1"/>
        <n v="1816.08" u="1"/>
        <n v="68671.56" u="1"/>
        <n v="3960" u="1"/>
        <n v="406.12" u="1"/>
        <n v="1128.81" u="1"/>
        <n v="506.36" u="1"/>
        <n v="1260" u="1"/>
        <n v="236.23" u="1"/>
        <n v="213.92" u="1"/>
        <n v="494.22239999999999" u="1"/>
        <n v="177.93" u="1"/>
        <n v="869.29600000000005" u="1"/>
        <n v="121.93" u="1"/>
        <n v="675.428" u="1"/>
        <n v="952.03700000000003" u="1"/>
        <n v="910.13580000000002" u="1"/>
        <n v="570.20000000000005" u="1"/>
        <n v="245.86" u="1"/>
        <n v="2640" u="1"/>
        <n v="297.04000000000002" u="1"/>
        <n v="1028.79" u="1"/>
        <n v="370" u="1"/>
        <n v="355.88659999999999" u="1"/>
        <n v="403.42" u="1"/>
        <n v="681.4" u="1"/>
        <n v="268" u="1"/>
        <n v="1274.2009" u="1"/>
        <n v="699" u="1"/>
        <n v="230.33" u="1"/>
        <n v="1544.4" u="1"/>
        <n v="151.87" u="1"/>
        <n v="148.66" u="1"/>
        <n v="233.06" u="1"/>
        <n v="13544.79" u="1"/>
        <n v="3600" u="1"/>
        <n v="162.66" u="1"/>
        <n v="716.82240000000002" u="1"/>
        <n v="1011.9415" u="1"/>
        <n v="203.04" u="1"/>
        <n v="175" u="1"/>
        <n v="56.05" u="1"/>
        <n v="1226.8704" u="1"/>
        <n v="847.97" u="1"/>
        <n v="302.51" u="1"/>
        <n v="698.47680000000003" u="1"/>
        <n v="627" u="1"/>
        <n v="927.97" u="1"/>
        <n v="919.63" u="1"/>
        <n v="950.67" u="1"/>
        <n v="1155.42" u="1"/>
        <n v="574.58240000000001" u="1"/>
        <n v="1930.2303999999999" u="1"/>
        <n v="817.82399999999996" u="1"/>
        <n v="189" u="1"/>
        <n v="279.72000000000003" u="1"/>
        <n v="679.39200000000005" u="1"/>
        <n v="917.21280000000002" u="1"/>
        <n v="610.27679999999998" u="1"/>
        <n v="536.83839999999998" u="1"/>
        <n v="1656" u="1"/>
        <n v="2716.52" u="1"/>
        <n v="223" u="1"/>
        <n v="4633.84" u="1"/>
        <n v="268.41919999999999" u="1"/>
        <n v="418.95" u="1"/>
        <n v="652.51199999999994" u="1"/>
        <n v="344.04160000000002" u="1"/>
        <n v="831.66719999999998" u="1"/>
        <n v="788.61440000000005" u="1"/>
        <n v="144.73759999999999" u="1"/>
        <n v="411.83519999999999" u="1"/>
        <n v="138.34" u="1"/>
        <n v="969.3" u="1"/>
        <n v="424.8" u="1"/>
        <n v="151.25" u="1"/>
        <n v="3578" u="1"/>
        <n v="400.87040000000002" u="1"/>
        <n v="707.89599999999996" u="1"/>
        <n v="4738.24" u="1"/>
        <n v="175.54" u="1"/>
        <n v="502" u="1"/>
        <n v="191.91499999999999" u="1"/>
        <n v="737.00800000000004" u="1"/>
        <n v="240.8" u="1"/>
        <n v="665.48800000000006" u="1"/>
        <n v="699.65" u="1"/>
        <n v="2545.19" u="1"/>
        <n v="1010" u="1"/>
        <n v="1301.2" u="1"/>
        <n v="240.14" u="1"/>
        <n v="1290.18" u="1"/>
        <n v="1037.8" u="1"/>
        <n v="738.8" u="1"/>
        <n v="2953.55" u="1"/>
        <n v="556.79999999999995" u="1"/>
        <n v="2227.34" u="1"/>
        <n v="1214.9100000000001" u="1"/>
        <n v="1220.57" u="1"/>
        <n v="611.77" u="1"/>
        <n v="588.41999999999996" u="1"/>
        <n v="5302.94" u="1"/>
        <n v="4197.4841999999999" u="1"/>
        <n v="1340.17" u="1"/>
        <n v="1532.92" u="1"/>
        <n v="1217.92" u="1"/>
        <n v="589.41999999999996" u="1"/>
        <n v="882.07" u="1"/>
        <n v="1550.26" u="1"/>
        <n v="2040.71" u="1"/>
        <n v="1084.42" u="1"/>
        <n v="1898.84" u="1"/>
        <n v="1553.17" u="1"/>
        <n v="2395.02" u="1"/>
        <n v="745.72" u="1"/>
        <n v="1094.74" u="1"/>
        <n v="2190" u="1"/>
        <n v="557" u="1"/>
        <n v="793.3184" u="1"/>
        <n v="2208" u="1"/>
        <n v="261.54000000000002" u="1"/>
        <n v="660.99" u="1"/>
        <n v="410.43" u="1"/>
        <n v="311.56" u="1"/>
        <n v="260.27679999999998" u="1"/>
        <n v="423.98719999999997" u="1"/>
        <n v="624" u="1"/>
        <n v="563.33759999999995" u="1"/>
        <n v="227.78559999999999" u="1"/>
        <n v="530.47680000000003" u="1"/>
        <n v="690.952" u="1"/>
        <n v="433.94400000000002" u="1"/>
        <n v="610.04549999999995" u="1"/>
        <n v="785.29920000000004" u="1"/>
        <n v="243.12960000000001" u="1"/>
        <n v="155.2544" u="1"/>
        <n v="172.1104" u="1"/>
        <n v="507.3152" u="1"/>
        <n v="652.55679999999995" u="1"/>
        <n v="750.7808" u="1"/>
        <n v="253.6576" u="1"/>
        <n v="206.8528" u="1"/>
        <n v="207.71520000000001" u="1"/>
        <n v="380.4864" u="1"/>
        <n v="1935.91" u="1"/>
        <n v="139.13999999999999" u="1"/>
        <n v="251.55" u="1"/>
        <n v="15358.48" u="1"/>
        <n v="714.56730000000005" u="1"/>
        <n v="1574.1" u="1"/>
        <n v="985.9" u="1"/>
        <n v="1031.8" u="1"/>
        <n v="2320.96" u="1"/>
        <n v="1194.2863" u="1"/>
        <n v="1938.17" u="1"/>
        <n v="1510.43" u="1"/>
        <n v="2161.67" u="1"/>
        <n v="1685.56" u="1"/>
        <n v="322.11" u="1"/>
        <n v="1302.67" u="1"/>
        <n v="326.89999999999998" u="1"/>
        <n v="598.89" u="1"/>
        <n v="3939.12" u="1"/>
        <n v="462.39" u="1"/>
        <n v="4661.0436" u="1"/>
        <n v="674.5" u="1"/>
        <n v="1360.39" u="1"/>
        <n v="736.53" u="1"/>
        <n v="2400" u="1"/>
        <n v="1858.5" u="1"/>
        <n v="644.38499999999999" u="1"/>
        <n v="83.63" u="1"/>
        <n v="85.8" u="1"/>
        <n v="571.08799999999997" u="1"/>
        <n v="400.8" u="1"/>
        <n v="1138.22" u="1"/>
        <n v="418.21" u="1"/>
        <n v="3206.44" u="1"/>
        <n v="1091.8" u="1"/>
        <n v="554" u="1"/>
        <n v="691.86990000000003" u="1"/>
        <n v="1890.94" u="1"/>
        <n v="1909.28" u="1"/>
        <n v="2024.55" u="1"/>
        <n v="669.33" u="1"/>
        <n v="1033.45" u="1"/>
        <n v="2256.84" u="1"/>
        <n v="217.68" u="1"/>
        <n v="600.54" u="1"/>
        <n v="600.53" u="1"/>
        <n v="805.57" u="1"/>
        <n v="805.58" u="1"/>
        <n v="601.85" u="1"/>
        <n v="5662.44" u="1"/>
        <n v="16015.37" u="1"/>
        <n v="13832.2" u="1"/>
        <n v="3030.8409999999999" u="1"/>
        <n v="607.69000000000005" u="1"/>
        <n v="1417.31" u="1"/>
        <n v="614.51" u="1"/>
        <n v="550.97" u="1"/>
        <n v="830.22" u="1"/>
        <n v="767.18" u="1"/>
        <n v="1608.67" u="1"/>
        <n v="328" u="1"/>
        <n v="1144.3499999999999" u="1"/>
        <n v="1805.39" u="1"/>
        <n v="580" u="1"/>
        <n v="453" u="1"/>
        <n v="1511" u="1"/>
        <n v="234" u="1"/>
        <n v="8530.0614000000005" u="1"/>
        <n v="248.81" u="1"/>
        <n v="18945" u="1"/>
        <n v="389" u="1"/>
        <n v="2858" u="1"/>
        <n v="2173.5" u="1"/>
        <n v="395.28" u="1"/>
        <n v="23153.58" u="1"/>
        <n v="492.3" u="1"/>
        <n v="1590.58" u="1"/>
        <n v="339.9" u="1"/>
        <n v="2336.3200000000002" u="1"/>
        <n v="2769.21" u="1"/>
        <n v="1503.84" u="1"/>
        <n v="1318.36" u="1"/>
        <n v="12852" u="1"/>
        <n v="1064.56" u="1"/>
        <n v="1069.3399999999999" u="1"/>
        <n v="686.92" u="1"/>
        <n v="283.5" u="1"/>
        <n v="1393.42" u="1"/>
        <n v="495.55" u="1"/>
        <n v="333.9" u="1"/>
        <n v="772.13" u="1"/>
        <n v="1406.17" u="1"/>
        <n v="13313.26" u="1"/>
        <n v="2913.1959999999999" u="1"/>
        <n v="376.08" u="1"/>
        <n v="873" u="1"/>
        <n v="351" u="1"/>
        <n v="3969.56" u="1"/>
        <n v="3807.9450000000002" u="1"/>
        <n v="5106.08" u="1"/>
        <n v="770" u="1"/>
        <n v="7971.5328" u="1"/>
        <n v="4054" u="1"/>
        <n v="308.7" u="1"/>
        <n v="433.66" u="1"/>
        <n v="87.02" u="1"/>
        <n v="319" u="1"/>
        <n v="40.4" u="1"/>
        <n v="257.83999999999997" u="1"/>
        <n v="1073.5999999999999" u="1"/>
        <n v="715.9" u="1"/>
        <n v="1586.03" u="1"/>
        <n v="848.83" u="1"/>
        <n v="499.49" u="1"/>
        <n v="325.89999999999998" u="1"/>
        <n v="1421.73" u="1"/>
        <n v="1674.76" u="1"/>
        <n v="1674.78" u="1"/>
        <n v="346.32" u="1"/>
        <n v="1570.49" u="1"/>
        <n v="4046.48" u="1"/>
        <n v="201.77" u="1"/>
        <n v="289.60000000000002" u="1"/>
        <n v="1769.44" u="1"/>
        <n v="640.72" u="1"/>
        <n v="2986.91" u="1"/>
        <n v="2986.89" u="1"/>
        <n v="389.98" u="1"/>
        <n v="106.19" u="1"/>
        <n v="4240.8284000000003" u="1"/>
        <n v="1894.35" u="1"/>
        <n v="2518.1999999999998" u="1"/>
        <n v="14658.902400000001" u="1"/>
        <n v="552.83000000000004" u="1"/>
        <n v="36890" u="1"/>
        <n v="773.17" u="1"/>
        <n v="436.34" u="1"/>
        <n v="848.92" u="1"/>
        <n v="2540" u="1"/>
        <n v="693.8" u="1"/>
        <n v="1520.42" u="1"/>
        <n v="1035.5899999999999" u="1"/>
        <n v="1226.9000000000001" u="1"/>
        <n v="176.32" u="1"/>
        <n v="518.16999999999996" u="1"/>
        <n v="887.65" u="1"/>
        <n v="584.91999999999996" u="1"/>
        <n v="880.21" u="1"/>
        <n v="2163.67" u="1"/>
        <n v="15116.018400000001" u="1"/>
        <n v="28838.0445" u="1"/>
        <n v="5751.26" u="1"/>
        <n v="282" u="1"/>
        <n v="371.8" u="1"/>
        <n v="231" u="1"/>
        <n v="487" u="1"/>
        <n v="7475" u="1"/>
        <n v="547.04" u="1"/>
        <n v="2350" u="1"/>
        <n v="50" u="1"/>
        <n v="679.14" u="1"/>
        <n v="251" u="1"/>
        <n v="1160" u="1"/>
        <n v="486" u="1"/>
        <n v="501.93" u="1"/>
        <n v="6433.36" u="1"/>
        <n v="40.46" u="1"/>
        <n v="715" u="1"/>
        <n v="547.54999999999995" u="1"/>
        <n v="285.99" u="1"/>
        <n v="1157.4749999999999" u="1"/>
        <n v="865" u="1"/>
        <n v="576" u="1"/>
        <n v="288" u="1"/>
        <n v="224.1" u="1"/>
        <n v="999.8" u="1"/>
        <n v="332.5" u="1"/>
        <n v="134.38" u="1"/>
        <n v="528" u="1"/>
        <n v="143.96" u="1"/>
        <n v="1377" u="1"/>
        <n v="178.5" u="1"/>
        <n v="2241.75" u="1"/>
        <n v="457.8" u="1"/>
        <n v="330.75" u="1"/>
        <n v="236" u="1"/>
        <n v="1230" u="1"/>
        <n v="1879.2149999999999" u="1"/>
        <n v="786.77" u="1"/>
        <n v="791.6" u="1"/>
        <n v="1237.5" u="1"/>
        <n v="1128.3" u="1"/>
        <n v="6254.18" u="1"/>
        <n v="2582.02" u="1"/>
        <n v="132" u="1"/>
        <n v="618.32000000000005" u="1"/>
        <n v="1671.84" u="1"/>
        <n v="359.12" u="1"/>
        <n v="800.9" u="1"/>
        <n v="674.95" u="1"/>
        <n v="193.08" u="1"/>
        <n v="1863.25" u="1"/>
        <n v="570.89009999999996" u="1"/>
        <n v="8864.4480000000003" u="1"/>
        <n v="238" u="1"/>
        <n v="1399.35" u="1"/>
        <n v="175.66" u="1"/>
        <n v="173.315" u="1"/>
        <n v="353.16" u="1"/>
        <n v="428.11900000000003" u="1"/>
        <n v="164.6848" u="1"/>
        <n v="2040" u="1"/>
        <n v="960" u="1"/>
        <n v="552.29999999999995" u="1"/>
        <n v="1582.4570000000001" u="1"/>
        <n v="97.94" u="1"/>
        <n v="2200" u="1"/>
        <n v="3553.4504999999999" u="1"/>
        <n v="675.29409999999996" u="1"/>
        <n v="789.60450000000003" u="1"/>
        <n v="1129.6778999999999" u="1"/>
        <n v="822" u="1"/>
        <n v="1559.82" u="1"/>
        <n v="305.37" u="1"/>
        <n v="11247" u="1"/>
        <n v="6756" u="1"/>
        <n v="3824.01" u="1"/>
        <n v="2786" u="1"/>
        <n v="274.83999999999997" u="1"/>
        <n v="96.03" u="1"/>
        <n v="472" u="1"/>
        <n v="1464" u="1"/>
        <n v="512" u="1"/>
        <n v="851.19" u="1"/>
        <n v="208" u="1"/>
        <n v="550.58000000000004" u="1"/>
        <n v="711" u="1"/>
        <n v="163.9" u="1"/>
        <n v="338.91199999999998" u="1"/>
        <n v="410.50240000000002" u="1"/>
        <n v="714.17" u="1"/>
        <n v="679.30240000000003" u="1"/>
        <n v="725.84960000000001" u="1"/>
        <n v="371" u="1"/>
        <n v="1276" u="1"/>
        <n v="573" u="1"/>
        <n v="1236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257.52" u="1"/>
        <n v="458.4" u="1"/>
        <n v="435.2" u="1"/>
        <n v="1007.84" u="1"/>
        <n v="364.72" u="1"/>
        <n v="377.74" u="1"/>
        <n v="2531.1" u="1"/>
        <n v="2531.0700000000002" u="1"/>
        <n v="3006.45" u="1"/>
        <n v="3006.44" u="1"/>
        <n v="584.13" u="1"/>
        <n v="4855.7299999999996" u="1"/>
        <n v="2645.87" u="1"/>
        <n v="28230.73" u="1"/>
        <n v="808.92" u="1"/>
        <n v="8428.94" u="1"/>
        <n v="1045.3399999999999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749.92" u="1"/>
        <n v="1052.6207999999999" u="1"/>
        <n v="173.44" u="1"/>
        <n v="654.69600000000003" u="1"/>
        <n v="645.45600000000002" u="1"/>
        <n v="380.59339999999997" u="1"/>
        <n v="812.05" u="1"/>
        <n v="1230.44" u="1"/>
        <n v="508.86079999999998" u="1"/>
        <n v="734.45119999999997" u="1"/>
        <n v="505.83" u="1"/>
        <n v="800.72" u="1"/>
        <n v="812.46" u="1"/>
        <n v="125" u="1"/>
        <n v="249.9" u="1"/>
        <n v="797.88" u="1"/>
        <n v="445.96" u="1"/>
        <n v="489" u="1"/>
        <n v="329.67" u="1"/>
        <n v="7951.68" u="1"/>
        <n v="7945.89" u="1"/>
        <n v="326" u="1"/>
        <n v="870" u="1"/>
        <n v="1639" u="1"/>
        <n v="522" u="1"/>
        <n v="978" u="1"/>
        <n v="4731" u="1"/>
        <n v="6071.31" u="1"/>
        <n v="9787.4" u="1"/>
        <n v="4297.75" u="1"/>
        <n v="923.36" u="1"/>
        <n v="185" u="1"/>
        <n v="185.02" u="1"/>
        <n v="826.5" u="1"/>
        <n v="824.1" u="1"/>
        <n v="232" u="1"/>
        <n v="8009.52" u="1"/>
        <n v="385.2" u="1"/>
        <n v="468" u="1"/>
        <n v="12775.8" u="1"/>
        <n v="313" u="1"/>
        <n v="2236.86" u="1"/>
        <n v="2066.3200000000002" u="1"/>
        <n v="3150" u="1"/>
        <n v="4492.32" u="1"/>
        <n v="1145" u="1"/>
        <n v="490" u="1"/>
        <n v="458.85" u="1"/>
        <n v="311.60000000000002" u="1"/>
        <n v="2987" u="1"/>
        <n v="7376" u="1"/>
        <n v="5937.48" u="1"/>
        <n v="935.24" u="1"/>
        <n v="4151.3999999999996" u="1"/>
        <n v="11053.1" u="1"/>
        <n v="743.75" u="1"/>
        <n v="658" u="1"/>
        <n v="1421.97" u="1"/>
        <n v="930.49599999999998" u="1"/>
        <n v="335.79840000000002" u="1"/>
        <n v="405.28320000000002" u="1"/>
        <n v="362.30040000000002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539.1" u="1"/>
        <n v="5215.1400000000003" u="1"/>
        <n v="507.72" u="1"/>
        <n v="253.88" u="1"/>
        <n v="3137.0976000000001" u="1"/>
        <n v="436.9" u="1"/>
        <n v="388.8" u="1"/>
        <n v="214.61" u="1"/>
        <n v="585.36749999999995" u="1"/>
        <n v="316" u="1"/>
        <n v="3752.4" u="1"/>
        <n v="690.45759999999996" u="1"/>
        <n v="519.63199999999995" u="1"/>
        <n v="875.73" u="1"/>
        <n v="2584.44" u="1"/>
        <n v="601.64160000000004" u="1"/>
        <n v="428.04160000000002" u="1"/>
        <n v="329.36959999999999" u="1"/>
        <n v="446.02" u="1"/>
        <n v="910.74" u="1"/>
        <n v="1916.5663999999999" u="1"/>
        <n v="308.58" u="1"/>
        <n v="5338.08" u="1"/>
        <n v="550.32000000000005" u="1"/>
        <n v="148.74" u="1"/>
        <n v="2384.9" u="1"/>
        <n v="171.59" u="1"/>
        <n v="483.54" u="1"/>
        <n v="517.75" u="1"/>
        <n v="1027.9023999999999" u="1"/>
        <n v="802.9" u="1"/>
        <n v="436.71039999999999" u="1"/>
        <n v="128.6" u="1"/>
        <n v="205.01" u="1"/>
        <n v="352" u="1"/>
        <n v="475.5" u="1"/>
        <n v="748" u="1"/>
        <n v="387.45" u="1"/>
        <n v="583.16160000000002" u="1"/>
        <n v="986.49" u="1"/>
        <n v="894.76800000000003" u="1"/>
        <n v="1064.9856" u="1"/>
        <n v="1309" u="1"/>
        <n v="1203.384" u="1"/>
        <n v="1097.6784" u="1"/>
        <n v="763.29" u="1"/>
        <n v="452.47500000000002" u="1"/>
        <n v="762.26" u="1"/>
        <n v="495.74250000000001" u="1"/>
        <n v="1446.3" u="1"/>
        <n v="119.97" u="1"/>
        <n v="606.24" u="1"/>
        <n v="2743.2" u="1"/>
        <n v="1116.32" u="1"/>
        <n v="1440.97" u="1"/>
        <n v="1119.92" u="1"/>
        <n v="1590.39" u="1"/>
        <n v="2590.4699999999998" u="1"/>
        <n v="202.9" u="1"/>
        <n v="1269.0899999999999" u="1"/>
        <n v="1262.17" u="1"/>
        <n v="1253.0899999999999" u="1"/>
        <n v="32565.19" u="1"/>
        <n v="1392.67" u="1"/>
        <n v="1130.5899999999999" u="1"/>
        <n v="570.59" u="1"/>
        <n v="1337.17" u="1"/>
        <n v="1133.17" u="1"/>
        <n v="929.09" u="1"/>
        <n v="30790.87" u="1"/>
        <n v="513.37440000000004" u="1"/>
        <n v="84.4" u="1"/>
        <n v="726" u="1"/>
        <n v="880" u="1"/>
        <n v="193.98" u="1"/>
        <n v="907.39" u="1"/>
        <n v="1276.6400000000001" u="1"/>
        <n v="464.88" u="1"/>
        <n v="479.92" u="1"/>
        <n v="1375.8" u="1"/>
        <n v="393.9" u="1"/>
        <n v="3191.6" u="1"/>
        <n v="980.88" u="1"/>
        <n v="1850.04" u="1"/>
        <n v="20400.96" u="1"/>
        <n v="1178.79" u="1"/>
        <n v="234.73" u="1"/>
        <n v="551.16999999999996" u="1"/>
        <n v="1160.8399999999999" u="1"/>
        <n v="1068.5899999999999" u="1"/>
        <n v="3374.05" u="1"/>
        <n v="142.41999999999999" u="1"/>
        <n v="627.66999999999996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353.08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94.43199999999999" u="1"/>
        <n v="494.05439999999999" u="1"/>
        <n v="376.82" u="1"/>
        <n v="340" u="1"/>
        <n v="6861.45" u="1"/>
        <n v="1116" u="1"/>
        <n v="933.50879999999995" u="1"/>
        <n v="750.98239999999998" u="1"/>
        <n v="374.05759999999998" u="1"/>
        <n v="506.65440000000001" u="1"/>
        <n v="901.84640000000002" u="1"/>
        <n v="107.96" u="1"/>
        <n v="2324.3200000000002" u="1"/>
        <n v="2188.16" u="1"/>
        <n v="524.20799999999997" u="1"/>
        <n v="726.64" u="1"/>
        <n v="2433.6" u="1"/>
        <n v="278.19" u="1"/>
        <n v="1051.0116" u="1"/>
        <n v="955.9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534.91999999999996" u="1"/>
        <n v="224.81" u="1"/>
        <n v="854.30529999999999" u="1"/>
        <n v="1565.3902" u="1"/>
        <n v="1406.8208" u="1"/>
        <n v="189.99" u="1"/>
        <n v="609" u="1"/>
        <n v="627.51" u="1"/>
        <n v="1088.96" u="1"/>
        <n v="2146.84" u="1"/>
        <n v="2572.8000000000002" u="1"/>
        <n v="3743.712" u="1"/>
        <n v="487.33440000000002" u="1"/>
        <n v="942.95" u="1"/>
        <n v="646" u="1"/>
        <n v="985" u="1"/>
        <n v="7719.2327999999998" u="1"/>
        <n v="1796.058" u="1"/>
        <n v="186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1144.5" u="1"/>
        <n v="179" u="1"/>
        <n v="344.2208" u="1"/>
        <n v="156.3184" u="1"/>
        <n v="621.23040000000003" u="1"/>
        <n v="218.33279999999999" u="1"/>
        <n v="524.20479999999998" u="1"/>
        <n v="241.49440000000001" u="1"/>
        <n v="239.16480000000001" u="1"/>
        <n v="486.25920000000002" u="1"/>
        <n v="482.71" u="1"/>
        <n v="253.27" u="1"/>
        <n v="227.95" u="1"/>
        <n v="182.79" u="1"/>
        <n v="44.4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40" u="1"/>
        <n v="1091.4000000000001" u="1"/>
        <n v="1606.2891" u="1"/>
        <n v="1985.6" u="1"/>
        <n v="916.32" u="1"/>
        <n v="21353.41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325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207.15" u="1"/>
        <n v="777.76" u="1"/>
        <n v="712.41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08" u="1"/>
        <n v="2497.9499999999998" u="1"/>
        <n v="1950" u="1"/>
        <n v="1800" u="1"/>
        <n v="961.8" u="1"/>
        <n v="761.3" u="1"/>
        <n v="169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259.99" u="1"/>
        <n v="935.14400000000001" u="1"/>
        <n v="666.6576" u="1"/>
        <n v="1433.7009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279" u="1"/>
        <n v="346" u="1"/>
        <n v="188.68" u="1"/>
        <n v="221.4" u="1"/>
        <n v="8605.48" u="1"/>
        <n v="796.22" u="1"/>
        <n v="489.69" u="1"/>
        <n v="4010.72" u="1"/>
        <n v="625.16999999999996" u="1"/>
        <n v="1180.77" u="1"/>
        <n v="496.12" u="1"/>
        <n v="1042.5" u="1"/>
        <n v="478.18" u="1"/>
        <n v="990.24" u="1"/>
        <n v="1184" u="1"/>
        <n v="487.5" u="1"/>
        <n v="223.75" u="1"/>
        <n v="698" u="1"/>
        <n v="458.6" u="1"/>
        <n v="205.71340000000001" u="1"/>
        <n v="171.08" u="1"/>
        <n v="2948.93" u="1"/>
        <n v="2475.6799999999998" u="1"/>
        <n v="594.98879999999997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325.92" u="1"/>
        <n v="537.69000000000005" u="1"/>
        <n v="805.11199999999997" u="1"/>
        <n v="255.78559999999999" u="1"/>
        <n v="168.952" u="1"/>
        <n v="494.72640000000001" u="1"/>
        <n v="511.21280000000002" u="1"/>
        <n v="489.38400000000001" u="1"/>
        <n v="79.738399999999999" u="1"/>
        <n v="644.08960000000002" u="1"/>
        <n v="468.45119999999997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1195.6400000000001" u="1"/>
        <n v="176.58" u="1"/>
        <n v="408.33" u="1"/>
        <n v="97.02" u="1"/>
        <n v="42.66" u="1"/>
        <n v="1052.72" u="1"/>
        <n v="889.44" u="1"/>
        <n v="863.92" u="1"/>
        <n v="1813.04" u="1"/>
        <n v="1026" u="1"/>
        <n v="174.9" u="1"/>
        <n v="322.05" u="1"/>
        <n v="551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6" u="1"/>
        <n v="61.77" u="1"/>
        <n v="522.51" u="1"/>
        <n v="1395.83" u="1"/>
        <n v="1139.8399999999999" u="1"/>
        <n v="307.82" u="1"/>
        <n v="774" u="1"/>
        <n v="519.91999999999996" u="1"/>
        <n v="1330.42" u="1"/>
        <n v="1168.42" u="1"/>
        <n v="698.83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154" u="1"/>
        <n v="2522.4" u="1"/>
        <n v="467.88" u="1"/>
        <n v="5247.06" u="1"/>
        <n v="574" u="1"/>
        <n v="187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318" u="1"/>
        <n v="288.14" u="1"/>
        <n v="699.82" u="1"/>
        <n v="1312.1901" u="1"/>
        <n v="5916.9395999999997" u="1"/>
        <n v="395" u="1"/>
        <n v="617.66999999999996" u="1"/>
        <n v="867" u="1"/>
        <n v="1908.2203" u="1"/>
        <n v="1522.86" u="1"/>
        <n v="1196" u="1"/>
        <n v="1170" u="1"/>
        <n v="429.07" u="1"/>
        <n v="8388.1985999999997" u="1"/>
        <n v="286.88" u="1"/>
        <n v="1229.0001" u="1"/>
        <n v="263.75" u="1"/>
        <n v="296.39999999999998" u="1"/>
        <n v="603.99990000000003" u="1"/>
        <n v="1428.32" u="1"/>
        <n v="8285.52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659" u="1"/>
        <n v="596.58000000000004" u="1"/>
        <n v="646.24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409.98719999999997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72" u="1"/>
        <n v="203.05600000000001" u="1"/>
        <n v="128.65" u="1"/>
        <n v="771.54" u="1"/>
        <n v="1388.7719999999999" u="1"/>
        <n v="392.49279999999999" u="1"/>
        <n v="559.26990000000001" u="1"/>
        <n v="3547.9584" u="1"/>
        <n v="498.46" u="1"/>
        <n v="455.4144" u="1"/>
        <n v="459.7824" u="1"/>
        <n v="2295.1999999999998" u="1"/>
        <n v="2150" u="1"/>
        <n v="595.20000000000005" u="1"/>
        <n v="278.25" u="1"/>
        <n v="217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1001" u="1"/>
        <n v="86" u="1"/>
        <n v="675" u="1"/>
        <n v="188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5435.5" u="1"/>
        <n v="21809.13" u="1"/>
        <n v="1258.5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1385.54" u="1"/>
        <n v="799.1" u="1"/>
        <n v="589.79999999999995" u="1"/>
        <n v="1330.32" u="1"/>
        <n v="1217.8499999999999" u="1"/>
        <n v="1023.29" u="1"/>
        <n v="555" u="1"/>
        <n v="818.5" u="1"/>
        <n v="1336.02" u="1"/>
        <n v="824.34" u="1"/>
        <n v="668.02" u="1"/>
        <n v="738.65" u="1"/>
        <n v="1983.7" u="1"/>
        <n v="700.72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61.27" u="1"/>
        <n v="752.86" u="1"/>
        <n v="740.94" u="1"/>
        <n v="2716.3348999999998" u="1"/>
        <n v="579.29999999999995" u="1"/>
        <n v="223.61" u="1"/>
        <n v="793.8" u="1"/>
        <n v="2072.5913" u="1"/>
        <n v="1415.0749000000001" u="1"/>
        <n v="422" u="1"/>
        <n v="784.476" u="1"/>
        <n v="314.14999999999998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864" u="1"/>
        <n v="2033.32" u="1"/>
        <n v="579.19680000000005" u="1"/>
        <n v="761.30880000000002" u="1"/>
        <n v="714.57119999999998" u="1"/>
        <n v="770.33600000000001" u="1"/>
        <n v="455.91" u="1"/>
        <n v="391.92" u="1"/>
        <n v="489.97" u="1"/>
        <n v="1134.9000000000001" u="1"/>
        <n v="765.72" u="1"/>
        <n v="587.97" u="1"/>
        <n v="1941.68" u="1"/>
        <n v="1595.12" u="1"/>
        <n v="479.62" u="1"/>
        <n v="649.9" u="1"/>
        <n v="734.35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678" u="1"/>
        <n v="5515.08" u="1"/>
        <n v="1101.5999999999999" u="1"/>
        <n v="19219.66" u="1"/>
        <n v="337.1" u="1"/>
        <n v="428" u="1"/>
        <n v="2000" u="1"/>
        <n v="875.6" u="1"/>
        <n v="1175.8" u="1"/>
        <n v="248.56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251.75" u="1"/>
        <n v="514.14" u="1"/>
        <n v="1967.55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35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1874.22" u="1"/>
        <n v="481.5" u="1"/>
        <n v="101.52" u="1"/>
        <n v="106.31" u="1"/>
        <n v="92.96" u="1"/>
        <n v="109.57" u="1"/>
        <n v="2781.96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464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7" u="1"/>
        <n v="804.16" u="1"/>
        <n v="207.1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691.9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818" u="1"/>
        <n v="307.45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46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26.75" u="1"/>
        <n v="27.2" u="1"/>
        <n v="65.77" u="1"/>
        <n v="60.52" u="1"/>
        <n v="543.9" u="1"/>
        <n v="970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726.8" u="1"/>
        <n v="456.3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438.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451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995.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646.79999999999995" u="1"/>
        <n v="261.81119999999999" u="1"/>
        <n v="1107.5619999999999" u="1"/>
        <n v="762.80960000000005" u="1"/>
        <n v="1077.3" u="1"/>
        <n v="209.15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221.7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484.42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885" u="1"/>
        <n v="292.8" u="1"/>
        <n v="632.6" u="1"/>
        <n v="3640" u="1"/>
        <n v="49.94" u="1"/>
        <n v="274.75" u="1"/>
        <n v="957.58" u="1"/>
        <n v="291.42" u="1"/>
        <n v="383" u="1"/>
        <n v="1480.08" u="1"/>
        <n v="458" u="1"/>
        <n v="684.96" u="1"/>
        <n v="1604" u="1"/>
        <n v="2006" u="1"/>
        <n v="871.44" u="1"/>
        <n v="1760" u="1"/>
        <n v="1309.0999999999999" u="1"/>
        <n v="166" u="1"/>
        <n v="2278.518" u="1"/>
        <n v="546.29999999999995" u="1"/>
        <n v="95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903.2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758.84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44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86.07360000000006" u="1"/>
        <n v="505.12" u="1"/>
        <n v="293.03680000000003" u="1"/>
        <n v="1319.9480000000001" u="1"/>
        <n v="111.15" u="1"/>
        <n v="650" u="1"/>
        <n v="5911" u="1"/>
        <n v="18016.18" u="1"/>
        <n v="1841" u="1"/>
        <n v="73.11" u="1"/>
        <n v="334.79039999999998" u="1"/>
        <n v="313.33" u="1"/>
        <n v="731.31" u="1"/>
        <n v="1665" u="1"/>
        <n v="1755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601.32000000000005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1066.24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2250" u="1"/>
        <n v="3476.25" u="1"/>
        <n v="1632" u="1"/>
        <n v="1302" u="1"/>
        <n v="2495.7399999999998" u="1"/>
        <n v="523.62" u="1"/>
        <n v="2352.96" u="1"/>
        <n v="890" u="1"/>
        <n v="424" u="1"/>
        <n v="1764" u="1"/>
        <n v="341.25" u="1"/>
        <n v="3098.5832" u="1"/>
        <n v="156.21" u="1"/>
        <n v="139.32" u="1"/>
        <n v="1135" u="1"/>
        <n v="185.85" u="1"/>
        <n v="90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526.16999999999996" u="1"/>
        <n v="406" u="1"/>
        <n v="477.52" u="1"/>
        <n v="424.44" u="1"/>
        <n v="237" u="1"/>
        <n v="437.7" u="1"/>
        <n v="404" u="1"/>
        <n v="168.88480000000001" u="1"/>
        <n v="169.84800000000001" u="1"/>
        <n v="1449" u="1"/>
        <n v="1387.65" u="1"/>
        <n v="2103.39" u="1"/>
        <n v="370.33" u="1"/>
        <n v="1259.4480000000001" u="1"/>
        <n v="1134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351.9" u="1"/>
        <n v="1629.6" u="1"/>
        <n v="1417.5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998.38" u="1"/>
        <n v="1411.29" u="1"/>
        <n v="1532.34" u="1"/>
        <n v="1685.9" u="1"/>
        <n v="876.28" u="1"/>
        <n v="612.58000000000004" u="1"/>
        <n v="610.26" u="1"/>
        <n v="2118.2399999999998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56.23" u="1"/>
        <n v="734.32" u="1"/>
        <n v="493.52" u="1"/>
        <n v="1536.7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88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354" u="1"/>
        <n v="9365.6839999999993" u="1"/>
        <n v="4492.3999999999996" u="1"/>
        <n v="536" u="1"/>
        <n v="517.5" u="1"/>
        <n v="8611.36" u="1"/>
        <n v="595" u="1"/>
        <n v="1719" u="1"/>
        <n v="889.11" u="1"/>
        <n v="1000" u="1"/>
        <n v="127.38" u="1"/>
        <n v="686" u="1"/>
        <n v="933" u="1"/>
        <n v="338.64359999999999" u="1"/>
        <n v="999.78" u="1"/>
        <n v="1034" u="1"/>
        <n v="10340.83" u="1"/>
        <n v="744" u="1"/>
        <n v="2073.42" u="1"/>
        <n v="169.9" u="1"/>
        <n v="1262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65.37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975" u="1"/>
        <n v="8685.4894000000004" u="1"/>
        <n v="106.2" u="1"/>
        <n v="5725.5" u="1"/>
        <n v="159.28" u="1"/>
        <n v="1198" u="1"/>
        <n v="832" u="1"/>
        <n v="730.4" u="1"/>
        <n v="1064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23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1146" u="1"/>
        <n v="94.24" u="1"/>
        <n v="582" u="1"/>
        <n v="242.88" u="1"/>
        <n v="346.5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229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278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363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760" u="1"/>
        <n v="1715" u="1"/>
        <n v="11339.16" u="1"/>
        <n v="172.99" u="1"/>
        <n v="3644.73" u="1"/>
        <n v="2325.29" u="1"/>
        <n v="1847.1" u="1"/>
        <n v="503.98" u="1"/>
        <n v="929.72" u="1"/>
        <n v="1752.68" u="1"/>
        <n v="1038" u="1"/>
        <n v="22729" u="1"/>
        <n v="9091.6" u="1"/>
        <n v="381.69" u="1"/>
        <n v="104.99" u="1"/>
        <n v="916.47" u="1"/>
        <n v="3877" u="1"/>
        <n v="5385" u="1"/>
        <n v="7754.01" u="1"/>
        <n v="320.39999999999998" u="1"/>
        <n v="735" u="1"/>
        <n v="242.55" u="1"/>
        <n v="714" u="1"/>
        <n v="4424.9639999999999" u="1"/>
        <n v="788.82" u="1"/>
        <n v="772.12800000000004" u="1"/>
        <n v="185.08" u="1"/>
        <n v="552.94399999999996" u="1"/>
        <n v="285.04000000000002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1106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1024" u="1"/>
        <n v="129.44" u="1"/>
        <n v="136.09" u="1"/>
        <n v="605" u="1"/>
        <n v="1000.68" u="1"/>
        <n v="182.55" u="1"/>
        <n v="1360" u="1"/>
        <n v="173.33" u="1"/>
        <n v="1415.82" u="1"/>
        <n v="744.81" u="1"/>
        <n v="221.24" u="1"/>
        <n v="674.01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367" u="1"/>
        <n v="2180.9" u="1"/>
        <n v="2335.04" u="1"/>
        <n v="3622.25" u="1"/>
        <n v="10318.43" u="1"/>
        <n v="8045.68" u="1"/>
        <n v="1278.68" u="1"/>
        <n v="1667.85" u="1"/>
        <n v="992" u="1"/>
        <n v="355" u="1"/>
        <n v="1036" u="1"/>
        <n v="1283.01" u="1"/>
        <n v="766" u="1"/>
        <n v="1540" u="1"/>
        <n v="830" u="1"/>
        <n v="898" u="1"/>
        <n v="399" u="1"/>
        <n v="284" u="1"/>
        <n v="533" u="1"/>
        <n v="484.5" u="1"/>
        <n v="412" u="1"/>
        <n v="5870.83" u="1"/>
        <n v="6175.22" u="1"/>
        <n v="652.77" u="1"/>
        <n v="895.94" u="1"/>
        <n v="490.94" u="1"/>
        <n v="307" u="1"/>
        <n v="369" u="1"/>
        <n v="858" u="1"/>
        <n v="330.6" u="1"/>
        <n v="429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508" u="1"/>
        <n v="807.34" u="1"/>
        <n v="803.01" u="1"/>
        <n v="944.01" u="1"/>
        <n v="402" u="1"/>
        <n v="1287" u="1"/>
        <n v="603" u="1"/>
        <n v="901.84609999999998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3770" u="1"/>
        <n v="98.01" u="1"/>
        <n v="987" u="1"/>
        <n v="439.38749999999999" u="1"/>
        <n v="609.99" u="1"/>
        <n v="568.35" u="1"/>
        <n v="378.28" u="1"/>
        <n v="567.41999999999996" u="1"/>
        <n v="492" u="1"/>
        <n v="1671.9472000000001" u="1"/>
        <n v="1561.74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597.42999999999995" u="1"/>
        <n v="1780.2" u="1"/>
        <n v="960.4" u="1"/>
        <n v="1222.9952000000001" u="1"/>
        <n v="1579.424" u="1"/>
        <n v="337.23200000000003" u="1"/>
        <n v="374.99" u="1"/>
        <n v="373.29599999999999" u="1"/>
        <n v="936" u="1"/>
        <n v="250.62" u="1"/>
        <n v="843.85" u="1"/>
        <n v="239.53" u="1"/>
        <n v="252.51" u="1"/>
        <n v="446.67" u="1"/>
        <n v="700.49279999999999" u="1"/>
        <n v="274.35000000000002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461.7" u="1"/>
        <n v="668.1" u="1"/>
        <n v="508.2" u="1"/>
        <n v="407.4" u="1"/>
        <n v="202.8" u="1"/>
        <n v="470.4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556.41999999999996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69.44" u="1"/>
        <n v="66.67" u="1"/>
        <n v="1242" u="1"/>
        <n v="84.5" u="1"/>
        <n v="688.8" u="1"/>
        <n v="347" u="1"/>
        <n v="1910" u="1"/>
        <n v="1470" u="1"/>
        <n v="562" u="1"/>
        <n v="325.5" u="1"/>
        <n v="328.9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228" u="1"/>
        <n v="214.5" u="1"/>
        <n v="4154.1120000000001" u="1"/>
        <n v="558" u="1"/>
        <n v="1486.74" u="1"/>
        <n v="562.62" u="1"/>
        <n v="1230.23" u="1"/>
        <n v="0.11" u="1"/>
        <n v="900.9" u="1"/>
        <n v="1680" u="1"/>
        <n v="345" u="1"/>
        <n v="1209.3800000000001" u="1"/>
        <n v="306.76799999999997" u="1"/>
        <n v="1136.1500000000001" u="1"/>
        <n v="376" u="1"/>
        <n v="651.65" u="1"/>
        <n v="436" u="1"/>
        <n v="877.94" u="1"/>
        <n v="1755.18" u="1"/>
        <n v="658.73919999999998" u="1"/>
        <n v="202.0256" u="1"/>
        <n v="337.76960000000003" u="1"/>
        <n v="9960.2999999999993" u="1"/>
        <n v="4521.9768000000004" u="1"/>
        <n v="279.2" u="1"/>
        <n v="5607.47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479.63" u="1"/>
        <n v="176.85" u="1"/>
        <n v="1249.8" u="1"/>
        <n v="454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716.99" u="1"/>
        <n v="2535" u="1"/>
        <n v="11160" u="1"/>
        <n v="848.73" u="1"/>
        <n v="2908.63" u="1"/>
        <n v="3352.42" u="1"/>
        <n v="1068" u="1"/>
        <n v="1193.06" u="1"/>
        <n v="485.91" u="1"/>
        <n v="3222.59" u="1"/>
        <n v="1908" u="1"/>
        <n v="1254.1500000000001" u="1"/>
        <n v="1168.3399999999999" u="1"/>
        <n v="413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323" u="1"/>
        <n v="147.31360000000001" u="1"/>
        <n v="172.30080000000001" u="1"/>
        <n v="3426.1296000000002" u="1"/>
        <n v="584.16" u="1"/>
        <n v="755" u="1"/>
        <n v="514.28" u="1"/>
        <n v="272.8" u="1"/>
        <n v="812.22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984.76980000000003" u="1"/>
        <n v="730.91200000000003" u="1"/>
        <n v="441.22500000000002" u="1"/>
        <n v="446.11559999999997" u="1"/>
        <n v="861.03359999999998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972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1071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78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491" u="1"/>
        <n v="1694.01" u="1"/>
        <n v="1824" u="1"/>
        <n v="10884.57" u="1"/>
        <n v="366" u="1"/>
        <n v="1122" u="1"/>
        <n v="937.3338" u="1"/>
        <n v="1226.848" u="1"/>
        <n v="710" u="1"/>
        <n v="2140.27" u="1"/>
        <n v="2600" u="1"/>
        <n v="288.79000000000002" u="1"/>
        <n v="6654.48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  <n v="992.27520000000004" u="1"/>
        <n v="1286.6559999999999" u="1"/>
        <n v="1809.64" u="1"/>
        <n v="2040.4608000000001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194.67" u="1"/>
        <n v="36683.4" u="1"/>
        <n v="887" u="1"/>
        <n v="7910" u="1"/>
        <n v="6025.88" u="1"/>
        <n v="1218.8800000000001" u="1"/>
        <n v="1370.3424" u="1"/>
        <n v="429.72" u="1"/>
        <n v="411.63740000000001" u="1"/>
        <n v="592.83000000000004" u="1"/>
        <n v="818.1" u="1"/>
        <n v="3886.95" u="1"/>
        <n v="469.19040000000001" u="1"/>
        <n v="396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2217.4497000000001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4431.16" u="1"/>
        <n v="194.5" u="1"/>
        <n v="259.24259999999998" u="1"/>
        <n v="4462.92" u="1"/>
        <n v="1701" u="1"/>
        <n v="3784.4351999999999" u="1"/>
        <n v="2977.0944" u="1"/>
        <n v="1379.9" u="1"/>
        <n v="728.76" u="1"/>
        <n v="1112.76" u="1"/>
        <n v="1776.96" u="1"/>
        <n v="1480.85" u="1"/>
        <n v="829.32" u="1"/>
        <n v="340.1" u="1"/>
        <n v="236.81" u="1"/>
        <n v="1242.2828999999999" u="1"/>
        <n v="374.32" u="1"/>
        <n v="1284.05" u="1"/>
        <n v="4098" u="1"/>
        <n v="4593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80.790000000000006" u="1"/>
        <n v="4866.6527999999998" u="1"/>
        <n v="842.35199999999998" u="1"/>
        <n v="285.11" u="1"/>
        <n v="569.84249999999997" u="1"/>
        <n v="586.20000000000005" u="1"/>
        <n v="1154" u="1"/>
        <n v="3677.8" u="1"/>
        <n v="1319.75" u="1"/>
        <n v="651.61" u="1"/>
        <n v="33598.11" u="1"/>
        <n v="16837" u="1"/>
        <n v="439.52" u="1"/>
        <n v="506.33" u="1"/>
        <n v="327.07" u="1"/>
        <n v="4065.07" u="1"/>
        <n v="2717.34" u="1"/>
        <n v="26896.19" u="1"/>
        <n v="1626.24" u="1"/>
        <n v="14169.97" u="1"/>
        <n v="25211.87" u="1"/>
        <n v="376.27" u="1"/>
        <n v="14543.01" u="1"/>
        <n v="150.77000000000001" u="1"/>
        <n v="1560.05" u="1"/>
        <n v="228.23" u="1"/>
        <n v="567.65" u="1"/>
        <n v="529.46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446.5" u="1"/>
        <n v="1813.92" u="1"/>
        <n v="506.52" u="1"/>
        <n v="272.04000000000002" u="1"/>
        <n v="178.23" u="1"/>
        <n v="8164" u="1"/>
        <n v="9390" u="1"/>
        <n v="225.5" u="1"/>
        <n v="289.8" u="1"/>
        <n v="425.6" u="1"/>
        <n v="572.91999999999996" u="1"/>
        <n v="286.45999999999998" u="1"/>
        <n v="602.08000000000004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404.5" u="1"/>
        <n v="1017.8" u="1"/>
        <n v="226.64" u="1"/>
        <n v="885.39" u="1"/>
        <n v="47.21" u="1"/>
        <n v="648" u="1"/>
        <n v="1178.5999999999999" u="1"/>
        <n v="918" u="1"/>
        <n v="4410.3419999999996" u="1"/>
        <n v="3528.2736" u="1"/>
        <n v="5710.32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8011.02" u="1"/>
        <n v="1437.13" u="1"/>
        <n v="373.47" u="1"/>
        <n v="373.46" u="1"/>
        <n v="999.46" u="1"/>
        <n v="291.60000000000002" u="1"/>
        <n v="423.8" u="1"/>
        <n v="1619.12" u="1"/>
        <n v="1389.44" u="1"/>
        <n v="1237.83" u="1"/>
        <n v="4883.9393" u="1"/>
        <n v="602.98" u="1"/>
        <n v="741.15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1428.42" u="1"/>
        <n v="534.25" u="1"/>
        <n v="502.52" u="1"/>
        <n v="714.54" u="1"/>
        <n v="884.31" u="1"/>
        <n v="1004" u="1"/>
        <n v="736" u="1"/>
        <n v="643.75" u="1"/>
        <n v="102.27" u="1"/>
        <n v="254.94" u="1"/>
        <n v="1164" u="1"/>
        <n v="1369" u="1"/>
        <n v="1205.0999999999999" u="1"/>
        <n v="152.44" u="1"/>
        <n v="656.55" u="1"/>
        <n v="644.37" u="1"/>
        <n v="780.3" u="1"/>
        <n v="1313" u="1"/>
        <n v="3601.68" u="1"/>
        <n v="212.45" u="1"/>
        <n v="328.13" u="1"/>
        <n v="4046" u="1"/>
        <n v="1214" u="1"/>
        <n v="435.94" u="1"/>
        <n v="1439.52" u="1"/>
        <n v="310.91000000000003" u="1"/>
        <n v="2041.16" u="1"/>
        <n v="591.9" u="1"/>
        <n v="742.5" u="1"/>
        <n v="343.8" u="1"/>
        <n v="800.8" u="1"/>
        <n v="247.41" u="1"/>
        <n v="449.1" u="1"/>
        <n v="958.23" u="1"/>
        <n v="958.25" u="1"/>
        <n v="441.52" u="1"/>
        <n v="1393.52" u="1"/>
        <n v="33326.5" u="1"/>
        <n v="404.77" u="1"/>
        <n v="1151.44" u="1"/>
        <n v="81" u="1"/>
        <n v="40.5" u="1"/>
        <n v="18314.02" u="1"/>
        <n v="9587.66" u="1"/>
        <n v="784.48" u="1"/>
        <n v="1099.8900000000001" u="1"/>
        <n v="457.51" u="1"/>
        <n v="1172.29" u="1"/>
        <n v="644.66" u="1"/>
        <n v="195.43" u="1"/>
        <n v="1951.86" u="1"/>
        <n v="388.87" u="1"/>
        <n v="465.52" u="1"/>
        <n v="444.31" u="1"/>
        <n v="736.9" u="1"/>
        <n v="621.33119999999997" u="1"/>
        <n v="178.42" u="1"/>
        <n v="634" u="1"/>
        <n v="1153.376" u="1"/>
        <n v="4702.88" u="1"/>
        <n v="171.58" u="1"/>
        <n v="177.94" u="1"/>
        <n v="82.52" u="1"/>
        <n v="839.97" u="1"/>
        <n v="401.48" u="1"/>
        <n v="923.8" u="1"/>
        <n v="11676.96" u="1"/>
        <n v="238.91" u="1"/>
        <n v="187.2" u="1"/>
        <n v="1422.85" u="1"/>
        <n v="14050.1196" u="1"/>
        <n v="1263.9000000000001" u="1"/>
        <n v="95.59" u="1"/>
        <n v="192.76320000000001" u="1"/>
        <n v="638" u="1"/>
        <n v="800.66560000000004" u="1"/>
        <n v="16805.39" u="1"/>
        <n v="2617.23" u="1"/>
        <n v="127.92" u="1"/>
        <n v="254.8" u="1"/>
        <n v="184.54" u="1"/>
        <n v="2484.558" u="1"/>
        <n v="947.28449999999998" u="1"/>
        <n v="2521.6" u="1"/>
        <n v="1626" u="1"/>
        <n v="570.91999999999996" u="1"/>
        <n v="2898.56" u="1"/>
        <n v="663" u="1"/>
        <n v="679" u="1"/>
        <n v="6381" u="1"/>
        <n v="3450" u="1"/>
        <n v="272.98" u="1"/>
        <n v="11751.48" u="1"/>
        <n v="265.33999999999997" u="1"/>
        <n v="22.1" u="1"/>
        <n v="69.680000000000007" u="1"/>
        <n v="98.58" u="1"/>
        <n v="1886.1" u="1"/>
        <n v="348.86" u="1"/>
        <n v="1376.7597000000001" u="1"/>
        <n v="554.76" u="1"/>
        <n v="291.67" u="1"/>
        <n v="1508.4" u="1"/>
        <n v="93.5" u="1"/>
        <n v="1178.28" u="1"/>
        <n v="416.02" u="1"/>
        <n v="255.28" u="1"/>
        <n v="501.32" u="1"/>
        <n v="836.79" u="1"/>
        <n v="649.82000000000005" u="1"/>
        <n v="847.28" u="1"/>
        <n v="84.9" u="1"/>
        <n v="1025" u="1"/>
        <n v="4863" u="1"/>
        <n v="2920" u="1"/>
        <n v="775" u="1"/>
        <n v="595.83000000000004" u="1"/>
        <n v="1729.7280000000001" u="1"/>
        <n v="491.56" u="1"/>
        <n v="1798.5" u="1"/>
        <n v="2966.1" u="1"/>
        <n v="679.73969999999997" u="1"/>
        <n v="435.97120000000001" u="1"/>
        <n v="695.072" u="1"/>
        <n v="153.47" u="1"/>
        <n v="2387.84" u="1"/>
        <n v="2595.15" u="1"/>
        <n v="1806.72" u="1"/>
        <n v="340.01" u="1"/>
        <n v="1343.34" u="1"/>
        <n v="692.25" u="1"/>
        <n v="5301" u="1"/>
        <n v="1214.9000000000001" u="1"/>
        <n v="1388.5500999999999" u="1"/>
        <n v="291.55" u="1"/>
        <n v="473.13" u="1"/>
        <n v="790.10400000000004" u="1"/>
        <n v="629.74" u="1"/>
        <n v="170.184" u="1"/>
        <n v="352.464" u="1"/>
        <n v="421.17599999999999" u="1"/>
        <n v="79.239999999999995" u="1"/>
        <n v="1015.616" u="1"/>
        <n v="561.29920000000004" u="1"/>
        <n v="731.71839999999997" u="1"/>
        <n v="328.54079999999999" u="1"/>
        <n v="339.37119999999999" u="1"/>
        <n v="683.04319999999996" u="1"/>
        <n v="592.61599999999999" u="1"/>
        <n v="535.49440000000004" u="1"/>
        <n v="375.81599999999997" u="1"/>
        <n v="301.6266" u="1"/>
        <n v="372.21" u="1"/>
        <n v="584.33600000000001" u="1"/>
        <n v="612.41010000000006" u="1"/>
        <n v="992.51" u="1"/>
        <n v="1435.09" u="1"/>
        <n v="1097.8800000000001" u="1"/>
        <n v="754.65599999999995" u="1"/>
        <n v="686.56" u="1"/>
        <n v="1497.4960000000001" u="1"/>
        <n v="160.608" u="1"/>
        <n v="339.36" u="1"/>
        <n v="1119.7760000000001" u="1"/>
        <n v="606.20000000000005" u="1"/>
        <n v="615.88800000000003" u="1"/>
        <n v="575.904" u="1"/>
        <n v="641.53599999999994" u="1"/>
        <n v="184.01599999999999" u="1"/>
        <n v="611.29600000000005" u="1"/>
        <n v="493.06880000000001" u="1"/>
        <n v="508.14400000000001" u="1"/>
        <n v="90.944000000000003" u="1"/>
        <n v="286.3134" u="1"/>
        <n v="822.13019999999995" u="1"/>
        <n v="388.32659999999998" u="1"/>
        <n v="278.16660000000002" u="1"/>
        <n v="2210.6513" u="1"/>
        <n v="718.15200000000004" u="1"/>
        <n v="407.26659999999998" u="1"/>
        <n v="533.29600000000005" u="1"/>
        <n v="158.5" u="1"/>
        <n v="844.37" u="1"/>
        <n v="166.57" u="1"/>
        <n v="195.39" u="1"/>
        <n v="1402.68" u="1"/>
        <n v="146.69" u="1"/>
        <n v="592.52" u="1"/>
        <n v="696.94" u="1"/>
        <n v="615.67999999999995" u="1"/>
        <n v="473.79989999999998" u="1"/>
        <n v="662.76800000000003" u="1"/>
        <n v="6089.02" u="1"/>
        <n v="183.9" u="1"/>
        <n v="753.8" u="1"/>
        <n v="1943.8" u="1"/>
        <n v="1401.8" u="1"/>
        <n v="1505.53" u="1"/>
        <n v="756.25" u="1"/>
        <n v="1302.24" u="1"/>
        <n v="18290.91" u="1"/>
        <n v="39928.28" u="1"/>
        <n v="4528.5600000000004" u="1"/>
        <n v="435.3" u="1"/>
        <n v="348.56" u="1"/>
        <n v="1764.56" u="1"/>
        <n v="13426.96" u="1"/>
        <n v="38798.9" u="1"/>
        <n v="1435.59" u="1"/>
        <n v="3910.3" u="1"/>
        <n v="1562.76" u="1"/>
        <n v="852.35" u="1"/>
        <n v="1213.06" u="1"/>
        <n v="2906.93" u="1"/>
        <n v="13080.772000000001" u="1"/>
        <n v="14244.954" u="1"/>
        <n v="1715.01" u="1"/>
        <n v="309" u="1"/>
        <n v="895" u="1"/>
        <n v="322" u="1"/>
        <n v="258.88" u="1"/>
        <n v="257" u="1"/>
        <n v="580.04999999999995" u="1"/>
        <n v="1551.96" u="1"/>
        <n v="3384.8" u="1"/>
        <n v="2007.36" u="1"/>
        <n v="412.64" u="1"/>
        <n v="97.215999999999994" u="1"/>
        <n v="434.69" u="1"/>
        <n v="1600.0319999999999" u="1"/>
        <n v="778.62400000000002" u="1"/>
        <n v="806.13120000000004" u="1"/>
        <n v="1043.616" u="1"/>
        <n v="1382.64" u="1"/>
        <n v="1428.4480000000001" u="1"/>
        <n v="2746" u="1"/>
        <n v="1139.9199000000001" u="1"/>
        <n v="21235.8" u="1"/>
        <n v="268.64999999999998" u="1"/>
        <n v="261.2" u="1"/>
        <n v="401.85" u="1"/>
        <n v="1096.6500000000001" u="1"/>
        <n v="3220.2240000000002" u="1"/>
        <n v="2516.5111999999999" u="1"/>
        <n v="875.63599999999997" u="1"/>
        <n v="236.5" u="1"/>
        <n v="831.93600000000004" u="1"/>
        <n v="431.928" u="1"/>
        <n v="782.88" u="1"/>
        <n v="436.875" u="1"/>
        <n v="356.72" u="1"/>
        <n v="254.09" u="1"/>
        <n v="479.48" u="1"/>
        <n v="531.62" u="1"/>
        <n v="245.81" u="1"/>
        <n v="545.22" u="1"/>
        <n v="277.2" u="1"/>
        <n v="1536" u="1"/>
        <n v="3826" u="1"/>
        <n v="660.76" u="1"/>
        <n v="153.33000000000001" u="1"/>
        <n v="226.66" u="1"/>
        <n v="295.16480000000001" u="1"/>
        <n v="1766.6880000000001" u="1"/>
        <n v="5211.5616" u="1"/>
        <n v="3985.9" u="1"/>
        <n v="1148.8499999999999" u="1"/>
        <n v="1124.1300000000001" u="1"/>
        <n v="1107.52" u="1"/>
        <n v="552.24" u="1"/>
        <n v="359.47" u="1"/>
        <n v="256.47000000000003" u="1"/>
        <n v="769.78" u="1"/>
        <n v="1124" u="1"/>
        <n v="1474.9" u="1"/>
        <n v="183.85" u="1"/>
        <n v="174.92" u="1"/>
        <n v="655" u="1"/>
        <n v="784" u="1"/>
        <n v="1505" u="1"/>
        <n v="3600.96" u="1"/>
        <n v="863.16" u="1"/>
        <n v="553.86" u="1"/>
        <n v="4478.5015999999996" u="1"/>
        <n v="407.13" u="1"/>
        <n v="937.8" u="1"/>
        <n v="826.11980000000005" u="1"/>
        <n v="1476.3351" u="1"/>
        <n v="2060.2946999999999" u="1"/>
        <n v="2093.7399999999998" u="1"/>
        <n v="1851.912" u="1"/>
        <n v="1047.75" u="1"/>
        <n v="10389.31" u="1"/>
        <n v="3786.53" u="1"/>
        <n v="13527.98" u="1"/>
        <n v="1363.44" u="1"/>
        <n v="1363.46" u="1"/>
        <n v="1725.6" u="1"/>
        <n v="22124.17" u="1"/>
        <n v="3191.6217000000001" u="1"/>
        <n v="3287.4591" u="1"/>
        <n v="5334.66" u="1"/>
        <n v="1439.46" u="1"/>
        <n v="4761.2700000000004" u="1"/>
        <n v="431.78" u="1"/>
        <n v="182.03280000000001" u="1"/>
        <n v="2977.4151000000002" u="1"/>
        <n v="1521" u="1"/>
        <n v="816.22400000000005" u="1"/>
        <n v="8510.8799999999992" u="1"/>
        <n v="477.75" u="1"/>
        <n v="2132.3200000000002" u="1"/>
        <n v="793.63499999999999" u="1"/>
        <n v="2012" u="1"/>
        <n v="431.8" u="1"/>
        <n v="2745.24" u="1"/>
        <n v="2818.7" u="1"/>
        <n v="1159.808" u="1"/>
        <n v="1078" u="1"/>
        <n v="1074" u="1"/>
        <n v="189.9" u="1"/>
        <n v="1172.76" u="1"/>
        <n v="421.86239999999998" u="1"/>
        <n v="4013.1860000000001" u="1"/>
        <n v="1253.3399999999999" u="1"/>
        <n v="3725.5680000000002" u="1"/>
        <n v="12566.4" u="1"/>
        <n v="1097.3688" u="1"/>
        <n v="3845.4749999999999" u="1"/>
        <n v="51.14" u="1"/>
        <n v="267.58" u="1"/>
        <n v="5503.9859999999999" u="1"/>
        <n v="2831.2919999999999" u="1"/>
        <n v="2892" u="1"/>
        <n v="804.38" u="1"/>
        <n v="645.04999999999995" u="1"/>
        <n v="257.25" u="1"/>
        <n v="1785" u="1"/>
        <n v="371.5" u="1"/>
        <n v="511.8" u="1"/>
        <n v="505.8" u="1"/>
        <n v="767.66" u="1"/>
        <n v="542.44000000000005" u="1"/>
        <n v="1191.9000000000001" u="1"/>
        <n v="122.93" u="1"/>
        <n v="19450.29" u="1"/>
        <n v="1331.84" u="1"/>
        <n v="4081.89" u="1"/>
        <n v="1785.44" u="1"/>
        <n v="1199.69" u="1"/>
        <n v="1608.04" u="1"/>
        <n v="7279.33" u="1"/>
        <n v="1329.99" u="1"/>
        <n v="742" u="1"/>
        <n v="1751.51" u="1"/>
        <n v="2089.19" u="1"/>
        <n v="1574.88" u="1"/>
        <n v="227.84" u="1"/>
        <n v="232.34" u="1"/>
        <n v="1479" u="1"/>
        <n v="2166.0812999999998" u="1"/>
        <n v="4773.6899999999996" u="1"/>
        <n v="1142" u="1"/>
        <n v="2506.6799999999998" u="1"/>
        <n v="6.39" u="1"/>
        <n v="3312.78" u="1"/>
        <n v="2492.4720000000002" u="1"/>
        <n v="118.04" u="1"/>
        <n v="1446.606" u="1"/>
        <n v="193.75" u="1"/>
        <n v="258.08" u="1"/>
        <n v="1300" u="1"/>
        <n v="1750" u="1"/>
        <n v="8699" u="1"/>
        <n v="1350" u="1"/>
        <n v="3265.8" u="1"/>
        <n v="1900" u="1"/>
        <n v="201.33" u="1"/>
        <n v="3188.9" u="1"/>
        <n v="863.9" u="1"/>
        <n v="1128.8" u="1"/>
        <n v="1318.14" u="1"/>
        <n v="220.9" u="1"/>
        <n v="1173.33" u="1"/>
        <n v="4440" u="1"/>
        <n v="1280.05" u="1"/>
        <n v="384.17" u="1"/>
        <n v="817.15" u="1"/>
        <n v="1231.24" u="1"/>
        <n v="3780.8" u="1"/>
        <n v="3582.99" u="1"/>
        <n v="2730.7563" u="1"/>
        <n v="563.14" u="1"/>
        <n v="921.09" u="1"/>
        <n v="786.85" u="1"/>
        <n v="1077.3794" u="1"/>
        <n v="1752.277" u="1"/>
        <n v="1027.44" u="1"/>
        <n v="1017.44" u="1"/>
        <n v="6094.73" u="1"/>
        <n v="8314.0300000000007" u="1"/>
        <n v="1144.3" u="1"/>
        <n v="2037.35" u="1"/>
        <n v="3080.88" u="1"/>
        <n v="4121.7700000000004" u="1"/>
        <n v="2065.2600000000002" u="1"/>
        <n v="519" u="1"/>
        <n v="1799.94" u="1"/>
        <n v="7232.34" u="1"/>
        <n v="3374.35" u="1"/>
        <n v="209.86" u="1"/>
        <n v="18535.29" u="1"/>
        <n v="31866.84" u="1"/>
        <n v="27140.12" u="1"/>
        <n v="9139.35" u="1"/>
        <n v="3476.46" u="1"/>
        <n v="2375.63" u="1"/>
        <n v="8007.23" u="1"/>
        <n v="8367.77" u="1"/>
        <n v="23295.89" u="1"/>
        <n v="2749.4580000000001" u="1"/>
        <n v="2570.7800000000002" u="1"/>
        <n v="942.35" u="1"/>
        <n v="990.89" u="1"/>
        <n v="442.9" u="1"/>
        <n v="1157.0899999999999" u="1"/>
        <n v="6246.64" u="1"/>
        <n v="329.62" u="1"/>
        <n v="27309.48" u="1"/>
        <n v="852.11279999999999" u="1"/>
        <n v="157.69999999999999" u="1"/>
        <n v="2263.89" u="1"/>
        <n v="301.76" u="1"/>
        <n v="3074" u="1"/>
        <n v="644.58000000000004" u="1"/>
        <n v="126.81" u="1"/>
        <n v="1005.1" u="1"/>
        <n v="1224" u="1"/>
        <n v="339.3" u="1"/>
        <n v="5838.6239999999998" u="1"/>
        <n v="1126.356" u="1"/>
        <n v="1938.3678" u="1"/>
        <n v="6228.6" u="1"/>
        <n v="413.48" u="1"/>
        <n v="163.464" u="1"/>
        <n v="211.232" u="1"/>
        <n v="2333.1260000000002" u="1"/>
        <n v="2424.114" u="1"/>
        <n v="542.38409999999999" u="1"/>
        <n v="1808" u="1"/>
        <n v="2643.8719999999998" u="1"/>
        <n v="936.22500000000002" u="1"/>
        <n v="1583.48" u="1"/>
        <n v="247.36" u="1"/>
        <n v="518.45000000000005" u="1"/>
        <n v="706.9" u="1"/>
        <n v="5466.6108000000004" u="1"/>
        <n v="2583.36" u="1"/>
        <n v="578.28959999999995" u="1"/>
        <n v="637.56920000000002" u="1"/>
        <n v="254" u="1"/>
        <n v="843.35" u="1"/>
        <n v="227.24" u="1"/>
        <n v="344.42" u="1"/>
        <n v="402.22" u="1"/>
        <n v="113.72" u="1"/>
        <n v="318.54000000000002" u="1"/>
        <n v="109.54" u="1"/>
        <n v="159.04" u="1"/>
        <n v="669.9" u="1"/>
        <n v="426.04" u="1"/>
        <n v="1125.3" u="1"/>
        <n v="316.11" u="1"/>
        <n v="767.72" u="1"/>
        <n v="304.25" u="1"/>
        <n v="5516.08" u="1"/>
        <n v="169.98" u="1"/>
        <n v="95.88" u="1"/>
        <n v="163.85" u="1"/>
        <n v="519.57000000000005" u="1"/>
        <n v="698.67" u="1"/>
        <n v="307.74" u="1"/>
        <n v="159.6" u="1"/>
        <n v="4860.3847999999998" u="1"/>
        <n v="201.06" u="1"/>
        <n v="484.16" u="1"/>
        <n v="726.06" u="1"/>
        <n v="2419.1999999999998" u="1"/>
        <n v="585.6" u="1"/>
        <n v="621.6" u="1"/>
        <n v="20355" u="1"/>
        <n v="747.22" u="1"/>
        <n v="958.68799999999999" u="1"/>
        <n v="115.76" u="1"/>
        <n v="1244.04" u="1"/>
        <n v="491.84" u="1"/>
        <n v="240.17" u="1"/>
        <n v="1285.99" u="1"/>
        <n v="290.89999999999998" u="1"/>
        <n v="233.96799999999999" u="1"/>
        <n v="302.84800000000001" u="1"/>
        <n v="717.024" u="1"/>
        <n v="596.73599999999999" u="1"/>
        <n v="759.36" u="1"/>
        <n v="291.48" u="1"/>
        <n v="610.62400000000002" u="1"/>
        <n v="574.33600000000001" u="1"/>
        <n v="336.11200000000002" u="1"/>
        <n v="786.68799999999999" u="1"/>
        <n v="1346.24" u="1"/>
        <n v="192.01" u="1"/>
        <n v="1398.92" u="1"/>
        <n v="1333.56" u="1"/>
        <n v="947.5" u="1"/>
        <n v="2906.7" u="1"/>
        <n v="1438.71" u="1"/>
        <n v="659.48" u="1"/>
        <n v="1337.8" u="1"/>
        <n v="3381.21" u="1"/>
        <n v="895.61" u="1"/>
        <n v="1539.23" u="1"/>
        <n v="1539.24" u="1"/>
        <n v="884.39" u="1"/>
        <n v="1406.3" u="1"/>
        <n v="683.12" u="1"/>
        <n v="1477.22" u="1"/>
        <n v="921.12" u="1"/>
        <n v="376.62" u="1"/>
        <n v="417.7" u="1"/>
        <n v="215.99930000000001" u="1"/>
        <n v="5806.35" u="1"/>
        <n v="1118.05" u="1"/>
        <n v="715757.60340000002" u="1"/>
        <n v="2230" u="1"/>
        <n v="12637.35" u="1"/>
        <n v="1122.1600000000001" u="1"/>
        <n v="1851.75" u="1"/>
        <n v="3770.41" u="1"/>
        <n v="3492.5201999999999" u="1"/>
        <n v="1016.7" u="1"/>
        <n v="1073.5" u="1"/>
        <n v="1786.7212999999999" u="1"/>
        <n v="22285.32" u="1"/>
        <n v="1725.7238" u="1"/>
        <n v="1992.3" u="1"/>
        <n v="1897.94" u="1"/>
        <n v="1180" u="1"/>
        <n v="457.72" u="1"/>
        <n v="284.62" u="1"/>
        <n v="2171.37" u="1"/>
        <n v="387.85" u="1"/>
        <n v="2097.6999999999998" u="1"/>
        <n v="584.07000000000005" u="1"/>
        <n v="1235.1686999999999" u="1"/>
        <n v="3447.4670000000001" u="1"/>
        <n v="931.73" u="1"/>
        <n v="19370.669999999998" u="1"/>
        <n v="1908.9503" u="1"/>
        <n v="2024.2717" u="1"/>
        <n v="999.14020000000005" u="1"/>
        <n v="1142.6774" u="1"/>
        <n v="561.97" u="1"/>
        <n v="4240.72" u="1"/>
        <n v="1296.7515000000001" u="1"/>
        <n v="421.59640000000002" u="1"/>
        <n v="547.98170000000005" u="1"/>
        <n v="3183.12" u="1"/>
        <n v="2282.9546999999998" u="1"/>
        <n v="1203.9090000000001" u="1"/>
        <n v="688.88" u="1"/>
        <n v="1259.5208" u="1"/>
        <n v="680.80619999999999" u="1"/>
        <n v="2283.4814999999999" u="1"/>
        <n v="1219.44" u="1"/>
        <n v="4867.68" u="1"/>
        <n v="2322.54" u="1"/>
        <n v="693.5" u="1"/>
        <n v="1008.8775000000001" u="1"/>
        <n v="8967.41" u="1"/>
        <n v="791.4479" u="1"/>
        <n v="2247.48" u="1"/>
        <n v="813.08109999999999" u="1"/>
        <n v="1591.9627" u="1"/>
        <n v="2306.5457999999999" u="1"/>
        <n v="1008.1552" u="1"/>
        <n v="960.44309999999996" u="1"/>
        <n v="3564.1934000000001" u="1"/>
        <n v="595.30330000000004" u="1"/>
        <n v="1086.5459000000001" u="1"/>
        <n v="1236.0468000000001" u="1"/>
        <n v="2296.7800000000002" u="1"/>
        <n v="1779.96" u="1"/>
        <n v="2409.92" u="1"/>
        <n v="1094.9096999999999" u="1"/>
        <n v="1259.8399999999999" u="1"/>
        <n v="2301.5700000000002" u="1"/>
        <n v="511.92" u="1"/>
        <n v="418.9" u="1"/>
        <n v="603.72" u="1"/>
        <n v="3950.76" u="1"/>
        <n v="5443.42" u="1"/>
        <n v="1010.09" u="1"/>
        <n v="2390.04" u="1"/>
        <n v="6283.03" u="1"/>
        <n v="5477.12" u="1"/>
        <n v="2619.96" u="1"/>
        <n v="1778.15" u="1"/>
        <n v="450.06" u="1"/>
        <n v="3625" u="1"/>
        <n v="1169.28" u="1"/>
        <n v="6139.75" u="1"/>
        <n v="57749.61" u="1"/>
        <n v="1095.46" u="1"/>
        <n v="22431.94" u="1"/>
        <n v="33597.129999999997" u="1"/>
        <n v="29754.69" u="1"/>
        <n v="7725.43" u="1"/>
        <n v="1387.19" u="1"/>
        <n v="4031.12" u="1"/>
        <n v="11638.89" u="1"/>
        <n v="4439.17" u="1"/>
        <n v="1837.52" u="1"/>
        <n v="1850.34" u="1"/>
        <n v="4390.1509999999998" u="1"/>
        <n v="19778.13" u="1"/>
        <n v="7003.89" u="1"/>
        <n v="29407.38" u="1"/>
        <n v="6755.72" u="1"/>
        <n v="5266.17" u="1"/>
        <n v="643" u="1"/>
        <n v="369.45" u="1"/>
        <n v="2577" u="1"/>
        <n v="1669.32" u="1"/>
        <n v="23738" u="1"/>
        <n v="6339.08" u="1"/>
        <n v="1681.49" u="1"/>
        <n v="13024.07" u="1"/>
        <n v="971.85" u="1"/>
        <n v="1337.36" u="1"/>
        <n v="607.94000000000005" u="1"/>
        <n v="861.5" u="1"/>
        <n v="8928.8700000000008" u="1"/>
        <n v="493.24540000000002" u="1"/>
        <n v="6893.3127000000004" u="1"/>
        <n v="4162.2" u="1"/>
        <n v="7029.73" u="1"/>
        <n v="18338.02" u="1"/>
        <n v="1653.69" u="1"/>
        <n v="800.82" u="1"/>
        <n v="440.1" u="1"/>
        <n v="4416.4009999999998" u="1"/>
        <n v="813.4" u="1"/>
        <n v="2138.7600000000002" u="1"/>
        <n v="2125.1799999999998" u="1"/>
        <n v="2810" u="1"/>
        <n v="868.89" u="1"/>
        <n v="640.29999999999995" u="1"/>
        <n v="946.4" u="1"/>
        <n v="4050" u="1"/>
        <n v="5655.0479999999998" u="1"/>
        <n v="2420.64" u="1"/>
        <n v="3330" u="1"/>
        <n v="848" u="1"/>
        <n v="2299.9018000000001" u="1"/>
        <n v="1958" u="1"/>
        <n v="2703.692" u="1"/>
        <n v="1323.44" u="1"/>
        <n v="470.38" u="1"/>
        <n v="172.5" u="1"/>
        <n v="328.64" u="1"/>
        <n v="301.91000000000003" u="1"/>
        <n v="492.56" u="1"/>
        <n v="1072.75" u="1"/>
        <n v="27.88" u="1"/>
        <n v="28.6" u="1"/>
        <n v="596.73" u="1"/>
        <n v="499" u="1"/>
        <n v="48.98" u="1"/>
        <n v="115.98" u="1"/>
        <n v="227.97" u="1"/>
        <n v="202.4" u="1"/>
        <n v="136.4" u="1"/>
        <n v="738" u="1"/>
        <n v="234.37" u="1"/>
        <n v="2039.16" u="1"/>
        <n v="893.34" u="1"/>
        <n v="252.74" u="1"/>
        <n v="99.71" u="1"/>
        <n v="63.7" u="1"/>
        <n v="232.74" u="1"/>
        <n v="223.92" u="1"/>
        <n v="194" u="1"/>
        <n v="438.84" u="1"/>
        <n v="1594.88" u="1"/>
        <n v="1495.2" u="1"/>
        <n v="1368.5" u="1"/>
        <n v="951.3" u="1"/>
        <n v="333.12" u="1"/>
        <n v="666.67" u="1"/>
        <n v="2690.1" u="1"/>
        <n v="1001.9" u="1"/>
        <n v="1540.9" u="1"/>
        <n v="1695.9" u="1"/>
        <n v="2015.77" u="1"/>
        <n v="198.7" u="1"/>
        <n v="928.1" u="1"/>
        <n v="783.14" u="1"/>
        <n v="10516.41" u="1"/>
        <n v="760.54" u="1"/>
        <n v="919.11" u="1"/>
        <n v="1749.94" u="1"/>
        <n v="5603.1459000000004" u="1"/>
        <n v="924.3374" u="1"/>
        <n v="2498.21" u="1"/>
        <n v="1161.19" u="1"/>
        <n v="1161.22" u="1"/>
        <n v="419.02" u="1"/>
        <n v="8561.01" u="1"/>
        <n v="1239.75" u="1"/>
        <n v="1366.62" u="1"/>
        <n v="11169" u="1"/>
        <n v="1337.46" u="1"/>
        <n v="1597.8" u="1"/>
        <n v="612.54" u="1"/>
        <n v="593.91" u="1"/>
        <n v="2051.34" u="1"/>
        <n v="737.1" u="1"/>
        <n v="1580.75" u="1"/>
        <n v="3087.6" u="1"/>
        <n v="1152.364" u="1"/>
        <n v="1574.34" u="1"/>
        <n v="222.28" u="1"/>
        <n v="1454.88" u="1"/>
        <n v="486.6" u="1"/>
        <n v="429.63200000000001" u="1"/>
        <n v="672" u="1"/>
        <n v="225.06" u="1"/>
        <n v="768.76800000000003" u="1"/>
        <n v="16496.64" u="1"/>
        <n v="736.56799999999998" u="1"/>
        <n v="2211.8231999999998" u="1"/>
        <n v="1042.1600000000001" u="1"/>
        <n v="135.87" u="1"/>
        <n v="322.14" u="1"/>
        <n v="211.6" u="1"/>
        <n v="381.584" u="1"/>
        <n v="600.49919999999997" u="1"/>
        <n v="119.2" u="1"/>
        <n v="204.54" u="1"/>
        <n v="409.08" u="1"/>
        <n v="829.26" u="1"/>
        <n v="73.75" u="1"/>
        <n v="72.62" u="1"/>
        <n v="4620" u="1"/>
        <n v="8218" u="1"/>
        <n v="3351" u="1"/>
        <n v="24865.919999999998" u="1"/>
        <n v="573.1" u="1"/>
        <n v="1206.24" u="1"/>
        <n v="521.745" u="1"/>
        <n v="956.87339999999995" u="1"/>
        <n v="1353.94" u="1"/>
        <n v="1924.2696000000001" u="1"/>
        <n v="1440.5897" u="1"/>
        <n v="669.76" u="1"/>
        <n v="851.4" u="1"/>
        <n v="502.32" u="1"/>
        <n v="619.55999999999995" u="1"/>
        <n v="873.28" u="1"/>
        <n v="496.44" u="1"/>
        <n v="310.8" u="1"/>
        <n v="1666.65" u="1"/>
        <n v="1023.3" u="1"/>
        <n v="766.2" u="1"/>
        <n v="592.6" u="1"/>
        <n v="573.34" u="1"/>
        <n v="1099.5" u="1"/>
        <n v="742.47" u="1"/>
        <n v="2487" u="1"/>
        <n v="3307.72" u="1"/>
        <n v="415.8" u="1"/>
        <n v="1196.08" u="1"/>
        <n v="772.47" u="1"/>
        <n v="688.47" u="1"/>
        <n v="208.2" u="1"/>
        <n v="617.25" u="1"/>
        <n v="450.4" u="1"/>
        <n v="845.37599999999998" u="1"/>
        <n v="836.92" u="1"/>
        <n v="134.65" u="1"/>
        <n v="894.9" u="1"/>
        <n v="291.01339999999999" u="1"/>
        <n v="821.08" u="1"/>
        <n v="237.49" u="1"/>
        <n v="121.96" u="1"/>
        <n v="1820.88" u="1"/>
        <n v="2718.2260000000001" u="1"/>
        <n v="797.02560000000005" u="1"/>
        <n v="1346.52" u="1"/>
        <n v="637.05600000000004" u="1"/>
        <n v="471.85" u="1"/>
        <n v="182.92959999999999" u="1"/>
        <n v="673.71990000000005" u="1"/>
        <n v="788.42399999999998" u="1"/>
        <n v="1662" u="1"/>
        <n v="1828.2" u="1"/>
        <n v="669.14400000000001" u="1"/>
        <n v="578.70399999999995" u="1"/>
        <n v="1051.008" u="1"/>
        <n v="612.69600000000003" u="1"/>
        <n v="1252.6079999999999" u="1"/>
        <n v="1001.952" u="1"/>
        <n v="472.30399999999997" u="1"/>
        <n v="565.82399999999996" u="1"/>
        <n v="944.60799999999995" u="1"/>
        <n v="166.99199999999999" u="1"/>
        <n v="430.52800000000002" u="1"/>
        <n v="820.17600000000004" u="1"/>
        <n v="539.72799999999995" u="1"/>
        <n v="540.96" u="1"/>
        <n v="192.55600000000001" u="1"/>
        <n v="111.85" u="1"/>
        <n v="4764.2190000000001" u="1"/>
        <n v="1411.664" u="1"/>
        <n v="455.84" u="1"/>
        <n v="1530.075" u="1"/>
        <n v="2593.2800000000002" u="1"/>
        <n v="1749.13" u="1"/>
        <n v="730.32" u="1"/>
        <n v="2500.41" u="1"/>
        <n v="1015.26" u="1"/>
        <n v="1953.88" u="1"/>
        <n v="1588.9412" u="1"/>
        <n v="435.12" u="1"/>
        <n v="1724.8352" u="1"/>
        <n v="2527.88" u="1"/>
        <n v="10280.89" u="1"/>
        <n v="495.31" u="1"/>
        <n v="2057.8000000000002" u="1"/>
        <n v="1427.03" u="1"/>
        <n v="568.89" u="1"/>
        <n v="1372.57" u="1"/>
        <n v="570.49" u="1"/>
        <n v="736.98" u="1"/>
        <n v="886.35" u="1"/>
        <n v="5178.99" u="1"/>
        <n v="6677.634" u="1"/>
        <n v="79.260000000000005" u="1"/>
        <n v="316.39999999999998" u="1"/>
        <n v="414.2208" u="1"/>
        <n v="477.48" u="1"/>
        <n v="38.64" u="1"/>
        <n v="419.04" u="1"/>
        <n v="19200.09" u="1"/>
        <n v="1398" u="1"/>
        <n v="127.47" u="1"/>
        <n v="136.36000000000001" u="1"/>
        <n v="281.24" u="1"/>
        <n v="213.96" u="1"/>
        <n v="237.34" u="1"/>
        <n v="1537.86" u="1"/>
        <n v="771.8" u="1"/>
        <n v="226.33" u="1"/>
        <n v="223.14" u="1"/>
        <n v="127.94" u="1"/>
        <n v="4499.01" u="1"/>
        <n v="2700.88" u="1"/>
        <n v="278.44" u="1"/>
        <n v="209.54" u="1"/>
        <n v="1112.56" u="1"/>
        <n v="2721.96" u="1"/>
        <n v="2746.16" u="1"/>
        <n v="1600.54" u="1"/>
        <n v="922.16" u="1"/>
        <n v="1753.98" u="1"/>
        <n v="973.52" u="1"/>
        <n v="657.12" u="1"/>
        <n v="1223.664" u="1"/>
        <n v="448.17" u="1"/>
        <n v="127.22" u="1"/>
        <n v="3079.491" u="1"/>
        <n v="602" u="1"/>
        <n v="812.01" u="1"/>
        <n v="108.94" u="1"/>
        <n v="4971" u="1"/>
        <n v="2725" u="1"/>
        <n v="1735.98" u="1"/>
        <n v="980" u="1"/>
        <n v="8091.56" u="1"/>
        <n v="4284" u="1"/>
        <n v="1026.8" u="1"/>
        <n v="2001.6501000000001" u="1"/>
        <n v="1258" u="1"/>
        <n v="267.3" u="1"/>
        <n v="1279.1600000000001" u="1"/>
        <n v="2892.01" u="1"/>
        <n v="2022.24" u="1"/>
        <n v="38.4" u="1"/>
        <n v="83.12" u="1"/>
        <n v="1626.4" u="1"/>
        <n v="2121.41" u="1"/>
        <n v="27359.11" u="1"/>
        <n v="3750.39" u="1"/>
        <n v="1587" u="1"/>
        <n v="1485" u="1"/>
        <n v="1284.51" u="1"/>
        <n v="916.2" u="1"/>
        <n v="934.84" u="1"/>
        <n v="10625.71" u="1"/>
        <n v="1718.24" u="1"/>
        <n v="917.32" u="1"/>
        <n v="704.7" u="1"/>
        <n v="714.96" u="1"/>
        <n v="1053.94" u="1"/>
        <n v="881.59" u="1"/>
        <n v="2819.1" u="1"/>
        <n v="749.86400000000003" u="1"/>
        <n v="136.99" u="1"/>
        <n v="1228" u="1"/>
        <n v="439.3" u="1"/>
        <n v="1647" u="1"/>
        <n v="210.6" u="1"/>
        <n v="6403.56" u="1"/>
        <n v="2778.0715" u="1"/>
        <n v="6029.9564" u="1"/>
        <n v="818.49" u="1"/>
        <n v="6837.96" u="1"/>
        <n v="87.56" u="1"/>
        <n v="80.86" u="1"/>
        <n v="101.73" u="1"/>
        <n v="96.38" u="1"/>
        <n v="541.17999999999995" u="1"/>
        <n v="1275" u="1"/>
        <n v="1182.96" u="1"/>
        <n v="11669.084000000001" u="1"/>
        <n v="2988.2898" u="1"/>
        <n v="7646.4160000000002" u="1"/>
        <n v="575.01" u="1"/>
        <n v="1588.48" u="1"/>
        <n v="1181.25" u="1"/>
        <n v="4978.4531999999999" u="1"/>
        <n v="167.48" u="1"/>
        <n v="5712" u="1"/>
        <n v="4851" u="1"/>
        <n v="676.2" u="1"/>
        <n v="294.58" u="1"/>
        <n v="637.41" u="1"/>
        <n v="241.9" u="1"/>
        <n v="1910.65" u="1"/>
        <n v="1342" u="1"/>
        <n v="718" u="1"/>
        <n v="1925" u="1"/>
        <n v="1354.9" u="1"/>
        <n v="2134.12" u="1"/>
        <n v="412.23" u="1"/>
        <n v="347.8" u="1"/>
        <n v="662.1" u="1"/>
        <n v="2830.32" u="1"/>
        <n v="2660" u="1"/>
        <n v="2086.4306000000001" u="1"/>
        <n v="981.28" u="1"/>
        <n v="1086.288" u="1"/>
        <n v="8845.5674999999992" u="1"/>
        <n v="320.42" u="1"/>
        <n v="756.84" u="1"/>
        <n v="2525.9704000000002" u="1"/>
        <n v="851.45" u="1"/>
        <n v="567.52" u="1"/>
        <n v="411.96" u="1"/>
        <n v="486.4" u="1"/>
        <n v="272.08999999999997" u="1"/>
        <n v="789.75" u="1"/>
        <n v="514.5" u="1"/>
        <n v="1500" u="1"/>
        <n v="1257.8" u="1"/>
        <n v="1368.12" u="1"/>
        <n v="1966.04" u="1"/>
        <n v="311" u="1"/>
        <n v="4477.17" u="1"/>
        <n v="4063.41" u="1"/>
        <n v="426.28" u="1"/>
        <n v="601.11" u="1"/>
        <n v="553.75" u="1"/>
        <n v="6759.4" u="1"/>
        <n v="683.1" u="1"/>
        <n v="1431.32" u="1"/>
        <n v="1178.2736" u="1"/>
        <n v="996" u="1"/>
        <n v="463.17599999999999" u="1"/>
        <n v="1311.8" u="1"/>
        <n v="975.42" u="1"/>
        <n v="1286" u="1"/>
        <n v="934.36" u="1"/>
        <n v="2046.8" u="1"/>
        <n v="349.78" u="1"/>
        <n v="272.27339999999998" u="1"/>
        <n v="447.7" u="1"/>
        <n v="13259.1" u="1"/>
        <n v="299.94" u="1"/>
        <n v="3792" u="1"/>
        <n v="381.41320000000002" u="1"/>
        <n v="587.1" u="1"/>
        <n v="260.92" u="1"/>
        <n v="2473.2600000000002" u="1"/>
        <n v="3472.0097999999998" u="1"/>
        <n v="255.21" u="1"/>
        <n v="1997.856" u="1"/>
        <n v="248.75" u="1"/>
        <n v="518.05999999999995" u="1"/>
        <n v="514.67999999999995" u="1"/>
        <n v="1345.3" u="1"/>
        <n v="270.94" u="1"/>
        <n v="544.65599999999995" u="1"/>
        <n v="221.34" u="1"/>
        <n v="1800.13" u="1"/>
        <n v="595.65" u="1"/>
        <n v="554.55999999999995" u="1"/>
        <n v="291.22239999999999" u="1"/>
        <n v="1014.83" u="1"/>
        <n v="3294.9" u="1"/>
        <n v="1266.9000000000001" u="1"/>
        <n v="3444.51" u="1"/>
        <n v="2807.85" u="1"/>
        <n v="1145.96" u="1"/>
        <n v="891" u="1"/>
        <n v="2215.6" u="1"/>
        <n v="352.93" u="1"/>
        <n v="73.656800000000004" u="1"/>
        <n v="802.08579999999995" u="1"/>
        <n v="289.52999999999997" u="1"/>
        <n v="176.82" u="1"/>
        <n v="1107.75" u="1"/>
        <n v="769.02" u="1"/>
        <n v="307.58999999999997" u="1"/>
        <n v="196.17" u="1"/>
        <n v="121.64" u="1"/>
        <n v="934.92" u="1"/>
        <n v="170.58" u="1"/>
        <n v="52.72" u="1"/>
        <n v="49.19" u="1"/>
        <n v="44.68" u="1"/>
        <n v="8191.8" u="1"/>
        <n v="1325.835" u="1"/>
        <n v="432.03" u="1"/>
        <n v="790.44" u="1"/>
        <n v="700.94010000000003" u="1"/>
        <n v="416.27" u="1"/>
        <n v="623.85" u="1"/>
        <n v="825.55200000000002" u="1"/>
        <n v="3434.7040000000002" u="1"/>
        <n v="1048.74" u="1"/>
        <n v="167.44" u="1"/>
        <n v="78.25" u="1"/>
        <n v="808.5" u="1"/>
        <n v="753.88" u="1"/>
        <n v="954.2" u="1"/>
        <n v="450.15" u="1"/>
        <n v="496.62" u="1"/>
        <n v="274.85000000000002" u="1"/>
        <n v="243.6" u="1"/>
        <n v="1186.6400000000001" u="1"/>
        <n v="436.51" u="1"/>
        <n v="834.96" u="1"/>
        <n v="698.6" u="1"/>
        <n v="263.29000000000002" u="1"/>
        <n v="1512" u="1"/>
        <n v="744.57600000000002" u="1"/>
        <n v="1127.56" u="1"/>
        <n v="599.31200000000001" u="1"/>
        <n v="1109.92" u="1"/>
        <n v="665.41" u="1"/>
        <n v="1745.44" u="1"/>
        <n v="2024.35" u="1"/>
        <n v="650.79999999999995" u="1"/>
        <n v="189.69" u="1"/>
        <n v="3622.94" u="1"/>
        <n v="1899.46" u="1"/>
        <n v="647.5992" u="1"/>
        <n v="4420.6899999999996" u="1"/>
        <n v="9720.94" u="1"/>
        <n v="1296.1199999999999" u="1"/>
        <n v="417.39" u="1"/>
        <n v="817.89" u="1"/>
        <n v="1652.8050000000001" u="1"/>
        <n v="432.4" u="1"/>
        <n v="653.22" u="1"/>
        <n v="1599" u="1"/>
        <n v="262.32" u="1"/>
        <n v="495.12" u="1"/>
        <n v="441.14" u="1"/>
        <n v="445.9" u="1"/>
        <n v="335.2" u="1"/>
        <n v="1323.04" u="1"/>
        <n v="201.9" u="1"/>
        <n v="358.32" u="1"/>
        <n v="262.56" u="1"/>
        <n v="453.9" u="1"/>
        <n v="893.73" u="1"/>
        <n v="519.29999999999995" u="1"/>
        <n v="611.12" u="1"/>
        <n v="461.6" u="1"/>
        <n v="774.32" u="1"/>
        <n v="257.77" u="1"/>
        <n v="472.27" u="1"/>
        <n v="552.9" u="1"/>
        <n v="621.26" u="1"/>
        <n v="735.84" u="1"/>
        <n v="748.8" u="1"/>
        <n v="384" u="1"/>
        <n v="660.64" u="1"/>
        <n v="411.04" u="1"/>
        <n v="6041.52" u="1"/>
        <n v="2003.3679999999999" u="1"/>
        <n v="235.53" u="1"/>
        <n v="15.68" u="1"/>
        <n v="1281.52" u="1"/>
        <n v="487.71" u="1"/>
        <n v="444.51" u="1"/>
        <n v="640.79999999999995" u="1"/>
        <n v="16773.900000000001" u="1"/>
        <n v="4974.0200000000004" u="1"/>
        <n v="928.95" u="1"/>
        <n v="1126.6400000000001" u="1"/>
        <n v="207.77" u="1"/>
        <n v="513.32000000000005" u="1"/>
        <n v="363.12" u="1"/>
        <n v="785.79" u="1"/>
        <n v="1694.24" u="1"/>
        <n v="303.83999999999997" u="1"/>
        <n v="392.09" u="1"/>
        <n v="643.37009999999998" u="1"/>
        <n v="2801.42" u="1"/>
        <n v="2036" u="1"/>
        <n v="2821.46" u="1"/>
        <n v="6059.55" u="1"/>
        <n v="598.20000000000005" u="1"/>
        <n v="1133.33" u="1"/>
        <n v="1066" u="1"/>
        <n v="238.8" u="1"/>
        <n v="190.8" u="1"/>
        <n v="1352.92" u="1"/>
        <n v="1272" u="1"/>
        <n v="2677.09" u="1"/>
        <n v="262.67" u="1"/>
        <n v="288.54000000000002" u="1"/>
        <n v="1166" u="1"/>
        <n v="1619.22" u="1"/>
        <n v="1398.67" u="1"/>
        <n v="434.8" u="1"/>
        <n v="223.12" u="1"/>
        <n v="3342.86" u="1"/>
        <n v="1910.15" u="1"/>
        <n v="295.92" u="1"/>
        <n v="24797.200000000001" u="1"/>
        <n v="7593.96" u="1"/>
        <n v="2157.17" u="1"/>
        <n v="1215.58" u="1"/>
        <n v="361.7" u="1"/>
        <n v="648.67999999999995" u="1"/>
        <n v="578.79999999999995" u="1"/>
        <n v="237.94" u="1"/>
        <n v="377.21" u="1"/>
        <n v="386.29" u="1"/>
        <n v="3854.5" u="1"/>
        <n v="588.70000000000005" u="1"/>
        <n v="387.84" u="1"/>
        <n v="183.7" u="1"/>
        <n v="180.32" u="1"/>
        <n v="622.96" u="1"/>
        <n v="2157.8200000000002" u="1"/>
        <n v="491.83" u="1"/>
        <n v="354.61" u="1"/>
        <n v="11428.22" u="1"/>
        <n v="1127.8" u="1"/>
        <n v="22887.9" u="1"/>
        <n v="204.34" u="1"/>
        <n v="408.32" u="1"/>
        <n v="1960.4480000000001" u="1"/>
        <n v="384.06" u="1"/>
        <n v="247.5872" u="1"/>
        <n v="760.25599999999997" u="1"/>
        <n v="746.8" u="1"/>
        <n v="239.43" u="1"/>
        <n v="434.26" u="1"/>
        <n v="330.09480000000002" u="1"/>
        <n v="460.35359999999997" u="1"/>
        <n v="549.25919999999996" u="1"/>
        <n v="293.66399999999999" u="1"/>
        <n v="427.32479999999998" u="1"/>
        <n v="546.67200000000003" u="1"/>
        <n v="1360.66" u="1"/>
        <n v="397.82400000000001" u="1"/>
        <n v="407.28" u="1"/>
        <n v="268.3" u="1"/>
        <n v="178.51" u="1"/>
        <n v="9474.16" u="1"/>
        <n v="191.73" u="1"/>
        <n v="780.63" u="1"/>
        <n v="1994.91" u="1"/>
        <n v="653.9" u="1"/>
        <n v="594.59" u="1"/>
        <n v="149" u="1"/>
        <n v="169.86" u="1"/>
        <n v="204.42" u="1"/>
        <n v="27113" u="1"/>
        <n v="3092.32" u="1"/>
        <n v="743.38" u="1"/>
        <n v="778.78" u="1"/>
        <n v="671.4" u="1"/>
        <n v="630.09" u="1"/>
        <n v="763.91" u="1"/>
        <n v="207.96" u="1"/>
        <n v="195.7" u="1"/>
        <n v="1081.5840000000001" u="1"/>
        <n v="1350.72" u="1"/>
        <n v="50.4" u="1"/>
        <n v="46.18" u="1"/>
        <n v="498.51" u="1"/>
        <n v="1054.8800000000001" u="1"/>
        <n v="213.33" u="1"/>
        <n v="224.68" u="1"/>
        <n v="303.072" u="1"/>
        <n v="1124.76" u="1"/>
        <n v="4037.0239999999999" u="1"/>
        <n v="643.91039999999998" u="1"/>
        <n v="542.93119999999999" u="1"/>
        <n v="777.63199999999995" u="1"/>
        <n v="705.37599999999998" u="1"/>
        <n v="450.47519999999997" u="1"/>
        <n v="479.64" u="1"/>
        <n v="1520" u="1"/>
        <n v="525.50400000000002" u="1"/>
        <n v="152.096" u="1"/>
        <n v="1218" u="1"/>
        <n v="341.57760000000002" u="1"/>
        <n v="162.86000000000001" u="1"/>
        <n v="1033.76" u="1"/>
        <n v="70.400000000000006" u="1"/>
        <n v="88" u="1"/>
        <n v="1473.07" u="1"/>
        <n v="1473.09" u="1"/>
        <n v="1415.36" u="1"/>
        <n v="1415.38" u="1"/>
        <n v="660.87" u="1"/>
        <n v="3805.29" u="1"/>
        <n v="21247.599999999999" u="1"/>
        <n v="1494.24" u="1"/>
        <n v="2248.31" u="1"/>
        <n v="958.45" u="1"/>
        <n v="553.9" u="1"/>
        <n v="1475.85" u="1"/>
        <n v="457.68" u="1"/>
        <n v="455.73" u="1"/>
        <n v="2542.0095000000001" u="1"/>
        <n v="450.43" u="1"/>
        <n v="1554.89" u="1"/>
        <n v="2777.5" u="1"/>
        <n v="363.83199999999999" u="1"/>
        <n v="582.28800000000001" u="1"/>
        <n v="827.00800000000004" u="1"/>
        <n v="3254" u="1"/>
        <n v="8442.82" u="1"/>
        <n v="4652.2604000000001" u="1"/>
        <n v="578.82000000000005" u="1"/>
        <n v="69.430000000000007" u="1"/>
        <n v="73.06" u="1"/>
        <n v="6138" u="1"/>
        <n v="9995.58" u="1"/>
        <n v="121.98" u="1"/>
        <n v="909.12" u="1"/>
        <n v="3690.72" u="1"/>
        <n v="697.33" u="1"/>
        <n v="522.96159999999998" u="1"/>
        <n v="2929.84" u="1"/>
        <n v="272.95" u="1"/>
        <n v="1354" u="1"/>
        <n v="745.8" u="1"/>
        <n v="350.9" u="1"/>
        <n v="687.51" u="1"/>
        <n v="1290.51" u="1"/>
        <n v="730.41" u="1"/>
        <n v="818.82" u="1"/>
        <n v="634.72" u="1"/>
        <n v="3109.61" u="1"/>
        <n v="589.6" u="1"/>
        <n v="1220.4000000000001" u="1"/>
        <n v="698.07" u="1"/>
        <n v="379.05" u="1"/>
        <n v="1012" u="1"/>
        <n v="723" u="1"/>
        <n v="580.32000000000005" u="1"/>
        <n v="1546" u="1"/>
        <n v="613.20000000000005" u="1"/>
        <n v="1215" u="1"/>
        <n v="392.7" u="1"/>
        <n v="1518.08" u="1"/>
        <n v="294.62720000000002" u="1"/>
        <n v="190.12" u="1"/>
        <n v="2298.96" u="1"/>
        <n v="440.31" u="1"/>
        <n v="616.67999999999995" u="1"/>
        <n v="878" u="1"/>
        <n v="1002" u="1"/>
        <n v="649" u="1"/>
        <n v="1694.11" u="1"/>
        <n v="1702.7" u="1"/>
        <n v="676.66" u="1"/>
        <n v="1926.23" u="1"/>
        <n v="807.05" u="1"/>
        <n v="175.26" u="1"/>
        <n v="257.5" u="1"/>
        <n v="6408" u="1"/>
        <n v="1390.4" u="1"/>
        <n v="1829.71" u="1"/>
        <n v="1196.43" u="1"/>
        <n v="1588.04" u="1"/>
        <n v="1005.41" u="1"/>
        <n v="1417.89" u="1"/>
        <n v="1115.2" u="1"/>
        <n v="536.85" u="1"/>
        <n v="378.81" u="1"/>
        <n v="1613.4" u="1"/>
        <n v="749.21" u="1"/>
        <n v="1506.23" u="1"/>
        <n v="1303" u="1"/>
        <n v="577.66" u="1"/>
        <n v="744.52" u="1"/>
        <n v="438.8" u="1"/>
        <n v="6688.41" u="1"/>
        <n v="6519.99" u="1"/>
        <n v="61.95" u="1"/>
        <n v="829.68" u="1"/>
        <n v="229.9" u="1"/>
        <n v="397.47" u="1"/>
        <n v="331.47" u="1"/>
        <n v="1161.92" u="1"/>
        <n v="4357.08" u="1"/>
        <n v="839.53499999999997" u="1"/>
        <n v="2501.8143" u="1"/>
        <n v="1623.52" u="1"/>
        <n v="340.33" u="1"/>
        <n v="1569.77" u="1"/>
        <n v="1569.76" u="1"/>
        <n v="965.08" u="1"/>
        <n v="1944.54" u="1"/>
        <n v="2041.12" u="1"/>
        <n v="235.28" u="1"/>
        <n v="3782.86" u="1"/>
        <n v="32538" u="1"/>
        <n v="24070.2" u="1"/>
        <n v="723.63" u="1"/>
        <n v="855.6" u="1"/>
        <n v="2573.56" u="1"/>
        <n v="268.44" u="1"/>
        <n v="1296" u="1"/>
        <n v="231.62" u="1"/>
        <n v="753.3" u="1"/>
        <n v="54.55" u="1"/>
        <n v="299.99" u="1"/>
        <n v="651.70000000000005" u="1"/>
        <n v="4073.74" u="1"/>
        <n v="2097.75" u="1"/>
        <n v="416.44" u="1"/>
        <n v="614.33000000000004" u="1"/>
        <n v="254.72" u="1"/>
        <n v="671.5" u="1"/>
        <n v="774.49" u="1"/>
        <n v="449.3" u="1"/>
        <n v="500.11" u="1"/>
        <n v="490.17" u="1"/>
        <n v="9942" u="1"/>
        <n v="8715.2800000000007" u="1"/>
        <n v="1023.84" u="1"/>
        <n v="826.42" u="1"/>
        <n v="149.91999999999999" u="1"/>
        <n v="3872.57" u="1"/>
        <n v="1358.5" u="1"/>
        <n v="338.96" u="1"/>
        <n v="837.88" u="1"/>
        <n v="1391.23" u="1"/>
        <n v="394.45" u="1"/>
        <n v="4270.5" u="1"/>
        <n v="963.81" u="1"/>
        <n v="235.19" u="1"/>
        <n v="1481.45" u="1"/>
        <n v="81.782399999999996" u="1"/>
        <n v="898.72" u="1"/>
        <n v="940.26" u="1"/>
        <n v="2470.6336000000001" u="1"/>
        <n v="4840.0379999999996" u="1"/>
        <n v="4091.2478999999998" u="1"/>
        <n v="25570" u="1"/>
        <n v="2593.8276000000001" u="1"/>
        <n v="7054.11" u="1"/>
        <n v="1295" u="1"/>
        <n v="286.35000000000002" u="1"/>
        <n v="354.1" u="1"/>
        <n v="785.9" u="1"/>
        <n v="1433.9" u="1"/>
        <n v="1174.3599999999999" u="1"/>
        <n v="1058.01" u="1"/>
        <n v="780.93" u="1"/>
        <n v="558.71" u="1"/>
        <n v="896.52" u="1"/>
        <n v="2849.33" u="1"/>
        <n v="936.8" u="1"/>
        <n v="338.5" u="1"/>
        <n v="2312" u="1"/>
        <n v="1912.8164999999999" u="1"/>
        <n v="3903.93" u="1"/>
        <n v="2495.7600000000002" u="1"/>
        <n v="1443.33" u="1"/>
        <n v="857.76" u="1"/>
        <n v="720.38" u="1"/>
        <n v="1271.3399999999999" u="1"/>
        <n v="3936.95" u="1"/>
        <n v="960.21" u="1"/>
        <n v="2838.04" u="1"/>
        <n v="1116.56" u="1"/>
        <n v="1165.5" u="1"/>
        <n v="284.76" u="1"/>
        <n v="1484" u="1"/>
        <n v="687" u="1"/>
        <n v="777" u="1"/>
        <n v="5698" u="1"/>
        <n v="4530" u="1"/>
        <n v="244.99" u="1"/>
        <n v="205.63200000000001" u="1"/>
        <n v="399.48" u="1"/>
        <n v="533.54560000000004" u="1"/>
        <n v="2363.1999999999998" u="1"/>
        <n v="143.46" u="1"/>
        <n v="1334.84" u="1"/>
        <n v="1177.8900000000001" u="1"/>
        <n v="1256.32" u="1"/>
        <n v="539.27" u="1"/>
        <n v="2228" u="1"/>
        <n v="870.56" u="1"/>
        <n v="5505.18" u="1"/>
        <n v="469.68" u="1"/>
        <n v="449.36" u="1"/>
        <n v="2347.1799999999998" u="1"/>
        <n v="981.08" u="1"/>
        <n v="25.83" u="1"/>
        <n v="28.5" u="1"/>
        <n v="549" u="1"/>
        <n v="2087" u="1"/>
        <n v="529.26" u="1"/>
        <n v="2074.8000000000002" u="1"/>
        <n v="451.80799999999999" u="1"/>
        <n v="1258.8800000000001" u="1"/>
        <n v="1044" u="1"/>
        <n v="112.34" u="1"/>
        <n v="1389.9" u="1"/>
        <n v="268.70999999999998" u="1"/>
        <n v="570.19200000000001" u="1"/>
        <n v="616.84" u="1"/>
        <n v="231.17" u="1"/>
        <n v="3085.5" u="1"/>
        <n v="424.14400000000001" u="1"/>
        <n v="504.80799999999999" u="1"/>
        <n v="554.96" u="1"/>
        <n v="333.26" u="1"/>
        <n v="283.12" u="1"/>
        <n v="782.8" u="1"/>
        <n v="146.63999999999999" u="1"/>
        <n v="2123.81" u="1"/>
        <n v="336.24" u="1"/>
        <n v="154.27500000000001" u="1"/>
        <n v="154.745" u="1"/>
        <n v="625.17999999999995" u="1"/>
        <n v="293.95999999999998" u="1"/>
        <n v="333.16" u="1"/>
        <n v="1208.29" u="1"/>
        <n v="569" u="1"/>
        <n v="3428.64" u="1"/>
        <n v="404.61" u="1"/>
        <n v="856.04" u="1"/>
        <n v="5.5899999999999998E-2" u="1"/>
        <n v="515.89" u="1"/>
        <n v="1354.27" u="1"/>
        <n v="702.52" u="1"/>
        <n v="1734.78" u="1"/>
        <n v="2323.2600000000002" u="1"/>
        <n v="1000.0001999999999" u="1"/>
        <n v="11786.34" u="1"/>
        <n v="18910.8" u="1"/>
        <n v="7248.8051999999998" u="1"/>
        <n v="450.16" u="1"/>
        <n v="37332.413999999997" u="1"/>
        <n v="1002.674" u="1"/>
        <n v="1320.816" u="1"/>
        <n v="259.61" u="1"/>
        <n v="233.69" u="1"/>
        <n v="380.52" u="1"/>
        <n v="1334.82" u="1"/>
        <n v="734.68" u="1"/>
        <n v="75" u="1"/>
        <n v="17476.080000000002" u="1"/>
        <n v="9207.35" u="1"/>
        <n v="648.91999999999996" u="1"/>
        <n v="12329.4" u="1"/>
        <n v="2884.42" u="1"/>
        <n v="144.06" u="1"/>
        <n v="536.98" u="1"/>
        <n v="1803.51" u="1"/>
        <n v="1219.9000000000001" u="1"/>
        <n v="402.11" u="1"/>
        <n v="402.12" u="1"/>
        <n v="719.75" u="1"/>
        <n v="305.8" u="1"/>
        <n v="12391.53" u="1"/>
        <n v="650.16999999999996" u="1"/>
        <n v="802.42" u="1"/>
        <n v="475.34" u="1"/>
        <n v="547.37" u="1"/>
        <n v="981.98" u="1"/>
        <n v="922.6" u="1"/>
        <n v="1134.3649" u="1"/>
        <n v="406.51" u="1"/>
        <n v="15529.6" u="1"/>
        <n v="3188.11" u="1"/>
        <n v="9076.5300000000007" u="1"/>
        <n v="7511.5304999999998" u="1"/>
        <n v="44091.13" u="1"/>
        <n v="25526.080000000002" u="1"/>
        <n v="19179.900000000001" u="1"/>
        <n v="4134.6499999999996" u="1"/>
        <n v="581.29999999999995" u="1"/>
        <n v="8237.23" u="1"/>
        <n v="351.28" u="1"/>
        <n v="492.96" u="1"/>
        <n v="1675.2408" u="1"/>
        <n v="2374.2600000000002" u="1"/>
        <n v="871.52570000000003" u="1"/>
        <n v="538.96" u="1"/>
        <n v="499.43" u="1"/>
        <n v="815.73820000000001" u="1"/>
        <n v="1380.2864" u="1"/>
        <n v="292.98" u="1"/>
        <n v="52616.03" u="1"/>
        <n v="35480.22" u="1"/>
        <n v="29598.223999999998" u="1"/>
        <n v="1890" u="1"/>
        <n v="3667.9663999999998" u="1"/>
        <n v="980.44979999999998" u="1"/>
        <n v="1135.2" u="1"/>
        <n v="7127.6" u="1"/>
        <n v="2739.94" u="1"/>
        <n v="1193.18" u="1"/>
        <n v="556.6" u="1"/>
        <n v="242.08" u="1"/>
        <n v="940.76" u="1"/>
        <n v="685.98" u="1"/>
        <n v="551.45429999999999" u="1"/>
        <n v="30684" u="1"/>
        <n v="94.29" u="1"/>
        <n v="103.6" u="1"/>
        <n v="537" u="1"/>
        <n v="4220.28" u="1"/>
        <n v="452.96" u="1"/>
        <n v="537.75" u="1"/>
        <n v="1134.57" u="1"/>
        <n v="280.31" u="1"/>
        <n v="2745.4" u="1"/>
        <n v="3027" u="1"/>
        <n v="1823.04" u="1"/>
        <n v="13789.2" u="1"/>
        <n v="777.28" u="1"/>
        <n v="671.58" u="1"/>
        <n v="489.4" u="1"/>
        <n v="367.5" u="1"/>
        <n v="88.33" u="1"/>
        <n v="153.69999999999999" u="1"/>
        <n v="165.15" u="1"/>
        <n v="2897.88" u="1"/>
        <n v="422.84010000000001" u="1"/>
        <n v="1661.3742" u="1"/>
        <n v="1059.01" u="1"/>
        <n v="118.74" u="1"/>
        <n v="3847.47" u="1"/>
        <n v="489.42" u="1"/>
        <n v="27692.8112" u="1"/>
        <n v="1994.1528000000001" u="1"/>
        <n v="1097" u="1"/>
        <n v="1315.12" u="1"/>
        <n v="303.98" u="1"/>
        <n v="247.5" u="1"/>
        <n v="1104.77" u="1"/>
        <n v="1138.68" u="1"/>
        <n v="791.24" u="1"/>
        <n v="791.23" u="1"/>
        <n v="1776.2" u="1"/>
        <n v="494.8" u="1"/>
        <n v="801" u="1"/>
        <n v="240.79" u="1"/>
        <n v="302.89999999999998" u="1"/>
        <n v="432.72" u="1"/>
        <n v="1748.96" u="1"/>
        <n v="21532.84" u="1"/>
        <n v="22328.46" u="1"/>
        <n v="2499.84" u="1"/>
        <n v="9503.8019999999997" u="1"/>
        <n v="1842.5963999999999" u="1"/>
        <n v="2476.4549999999999" u="1"/>
        <n v="1898.88" u="1"/>
        <n v="525.80999999999995" u="1"/>
        <n v="353" u="1"/>
        <n v="1652.5802000000001" u="1"/>
        <n v="1312.84" u="1"/>
        <n v="4105.05" u="1"/>
        <n v="15446.13" u="1"/>
        <n v="1144" u="1"/>
        <n v="895.83" u="1"/>
        <n v="1574.86" u="1"/>
        <n v="3388.6" u="1"/>
        <n v="1570.63" u="1"/>
        <n v="392" u="1"/>
        <n v="201.59" u="1"/>
        <n v="305.10000000000002" u="1"/>
        <n v="6601" u="1"/>
        <n v="275.48" u="1"/>
        <n v="2050.4176000000002" u="1"/>
        <n v="834.4" u="1"/>
        <n v="539.952" u="1"/>
        <n v="488.76799999999997" u="1"/>
        <n v="420.84" u="1"/>
        <n v="935.64800000000002" u="1"/>
        <n v="1534.26" u="1"/>
        <n v="660.01" u="1"/>
        <n v="1234.8900000000001" u="1"/>
        <n v="747.03" u="1"/>
        <n v="724.2" u="1"/>
        <n v="345.63" u="1"/>
        <n v="688.9" u="1"/>
        <n v="391.4" u="1"/>
        <n v="111.93" u="1"/>
        <n v="2533.6080000000002" u="1"/>
        <n v="445.26" u="1"/>
        <n v="329.52" u="1"/>
        <n v="12413.7" u="1"/>
        <n v="2511.84" u="1"/>
        <n v="709" u="1"/>
        <n v="2054.88" u="1"/>
        <n v="983.53920000000005" u="1"/>
        <n v="819.97439999999995" u="1"/>
        <n v="1911.99" u="1"/>
        <n v="4151.01" u="1"/>
        <n v="5311.02" u="1"/>
        <n v="2989" u="1"/>
        <n v="7310" u="1"/>
        <n v="6939" u="1"/>
        <n v="5620" u="1"/>
        <n v="3624" u="1"/>
        <n v="5167" u="1"/>
        <n v="2987.37" u="1"/>
        <n v="8156" u="1"/>
        <n v="497.76" u="1"/>
        <n v="513.92010000000005" u="1"/>
        <n v="398.49599999999998" u="1"/>
        <n v="739.87199999999996" u="1"/>
        <n v="546.67999999999995" u="1"/>
        <n v="11970" u="1"/>
        <n v="14216" u="1"/>
        <n v="210.29" u="1"/>
        <n v="977.22" u="1"/>
        <n v="1056.56" u="1"/>
        <n v="472.96" u="1"/>
        <n v="865.62" u="1"/>
        <n v="284.81599999999997" u="1"/>
        <n v="556.75199999999995" u="1"/>
        <n v="378.00659999999999" u="1"/>
        <n v="475.44" u="1"/>
        <n v="261.43040000000002" u="1"/>
        <n v="165.47" u="1"/>
        <n v="157.66" u="1"/>
        <n v="158.36799999999999" u="1"/>
        <n v="394.01600000000002" u="1"/>
        <n v="409.12" u="1"/>
        <n v="411.6" u="1"/>
      </sharedItems>
    </cacheField>
    <cacheField name="Taxa" numFmtId="0">
      <sharedItems containsString="0" containsBlank="1" containsNumber="1" minValue="0" maxValue="3418.27"/>
    </cacheField>
    <cacheField name="Outras Taxas" numFmtId="0">
      <sharedItems containsString="0" containsBlank="1" containsNumber="1" minValue="0" maxValue="4416"/>
    </cacheField>
    <cacheField name="Taxa DU" numFmtId="0">
      <sharedItems containsString="0" containsBlank="1" containsNumber="1" minValue="0" maxValue="189.43"/>
    </cacheField>
    <cacheField name="Taxa BR" numFmtId="0">
      <sharedItems containsString="0" containsBlank="1" containsNumber="1" minValue="0" maxValue="149.19999999999999"/>
    </cacheField>
    <cacheField name="Taxa Extra" numFmtId="0">
      <sharedItems containsString="0" containsBlank="1" containsNumber="1" minValue="0" maxValue="831.32"/>
    </cacheField>
    <cacheField name="Fee" numFmtId="0">
      <sharedItems containsString="0" containsBlank="1" containsNumber="1" minValue="0" maxValue="250.05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GOVER"/>
        <s v="SABRE"/>
        <s v="ARGO(TMS)"/>
        <s v="LEMONTECH"/>
        <s v="KONTRIP"/>
        <s v="MANUAL"/>
        <m/>
        <s v="ZUPPER" u="1"/>
        <s v="EBOOKING" u="1"/>
        <s v="WOOBA" u="1"/>
      </sharedItems>
    </cacheField>
    <cacheField name="CAMPO" numFmtId="0">
      <sharedItems containsBlank="1" count="38">
        <s v="Falta de Fornecedor"/>
        <s v="Pagamento não permitido para cobrança"/>
        <s v="Mais de um campo não preenchido"/>
        <s v="Tarifa mínima"/>
        <s v="Duplicidade de RLOC"/>
        <s v="Bilhete duplicado"/>
        <s v="Não identificado"/>
        <s v="Centro de custo"/>
        <s v="Tarifa máxima"/>
        <s v="Contrato de fornecedor"/>
        <s v="Falta informação nos trechos"/>
        <s v="Forma de Pagamento indevida"/>
        <s v="Conciliação de Cartão"/>
        <s v="Empenho/departamento"/>
        <s v="Falta de informação Gerencial"/>
        <s v="Matrícula"/>
        <s v="Informação de controle"/>
        <m/>
        <s v="Solicitante" u="1"/>
        <s v="Finalidade" u="1"/>
        <s v="Departamento" u="1"/>
        <s v="Canal de venda" u="1"/>
        <s v="Bilhete conciliado" u="1"/>
        <s v="Autorização do cartão da forma de pagamento" u="1"/>
        <s v="Caractere inválido" u="1"/>
        <s v="Projeto" u="1"/>
        <s v="Administradora Cartão Fee incorreta" u="1"/>
        <s v="OS" u="1"/>
        <s v="Nível funcionário" u="1"/>
        <s v="Cliente" u="1"/>
        <s v="Cadastro enviado errado no Benner" u="1"/>
        <s v="Controle de comissão pós paga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uplicidade de Contabilização"/>
        <s v="Sistema"/>
        <s v="Edição não Permitida"/>
        <s v="Dados Gerenciais"/>
        <m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Suporte Benner"/>
        <s v="Suporte KCS"/>
        <s v="Operações - FCM"/>
        <s v="Operações - CORP"/>
        <s v="Central de Emissão"/>
        <s v="Conciliação aérea"/>
        <s v="Operações - KONTRIP"/>
        <m/>
        <s v="Operações - ZUPPER" u="1"/>
        <s v="INOVENTS" u="1"/>
        <s v="Operações CORP" u="1"/>
      </sharedItems>
    </cacheField>
    <cacheField name="Dias (Data Inclusão)" numFmtId="0" databaseField="0">
      <fieldGroup base="3">
        <rangePr groupBy="days" startDate="2025-08-21T15:16:29" endDate="2025-09-12T06:49:42"/>
        <groupItems count="368">
          <s v="&lt;21/08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2/09/2025"/>
        </groupItems>
      </fieldGroup>
    </cacheField>
    <cacheField name="Meses (Data Inclusão)" numFmtId="0" databaseField="0">
      <fieldGroup base="3">
        <rangePr groupBy="months" startDate="2025-08-21T15:16:29" endDate="2025-09-12T06:49:42"/>
        <groupItems count="14">
          <s v="&lt;21/08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2/0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4">
  <r>
    <n v="22887960"/>
    <n v="23663383"/>
    <s v="ACC01"/>
    <x v="0"/>
    <d v="2025-09-08T10:50:44"/>
    <s v="03 a 05 dias"/>
    <s v="03 a 05 dias"/>
    <s v="BB26886123-28997829-A(BB)"/>
    <s v="GOVER"/>
    <s v="Leonardo De Oliveira Lima"/>
    <s v="WAGNER PAULINO"/>
    <s v="WAGNER PAULINO"/>
    <x v="0"/>
    <n v="4592134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0"/>
    <n v="0"/>
    <n v="0"/>
    <n v="0"/>
    <n v="0"/>
    <n v="0"/>
    <n v="0"/>
    <s v="Reserva importada do sistema Gover. Id: 4592134"/>
    <s v="Fornecedor não preenchido! (ACC01)"/>
    <s v="GOVER"/>
    <s v="Falta de Fornecedor"/>
    <s v="Campo Fornecedor"/>
    <s v="Dados do Fornecedor"/>
    <s v="Sistêmico"/>
    <s v="GRUPO KONTIK"/>
  </r>
  <r>
    <n v="22870211"/>
    <n v="23649476"/>
    <s v="ACC01"/>
    <x v="1"/>
    <d v="2025-09-04T18:32:25"/>
    <s v="06 a 08 dias"/>
    <s v="06 a 08 dias"/>
    <s v="BB26955760-29073524-A(BB)"/>
    <s v="GOVER"/>
    <s v="Suelen Alves Azevedo"/>
    <s v="WAGNER PAULINO"/>
    <s v="WAGNER PAULINO"/>
    <x v="1"/>
    <n v="4581282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"/>
    <n v="0"/>
    <n v="0"/>
    <n v="0"/>
    <n v="0"/>
    <n v="0"/>
    <n v="0"/>
    <s v="Reserva importada do sistema Gover. Id: 4581282"/>
    <s v="Fornecedor não preenchido! (ACC01)"/>
    <s v="GOVER"/>
    <s v="Falta de Fornecedor"/>
    <s v="Campo Fornecedor"/>
    <s v="Dados do Fornecedor"/>
    <s v="Sistêmico"/>
    <s v="GRUPO KONTIK"/>
  </r>
  <r>
    <n v="22869716"/>
    <n v="23649009"/>
    <s v="ACC01"/>
    <x v="2"/>
    <d v="2025-09-04T17:50:47"/>
    <s v="06 a 08 dias"/>
    <s v="06 a 08 dias"/>
    <s v="cotacao"/>
    <s v="GOVER"/>
    <s v="Anne Caroline Coutinho Furiati"/>
    <s v="Leticia Jesus Vital"/>
    <s v="Leticia Jesus Vital"/>
    <x v="2"/>
    <n v="4592452"/>
    <s v="Movida - Br - Es - Vitoria - Aeroporto Endereço: Avenida Roza Helena Schorling Albuquerque, 856 Ao L"/>
    <s v="OFF LINE"/>
    <s v="Invoice"/>
    <s v="Faturado"/>
    <s v="Carro"/>
    <s v="N"/>
    <s v="Grupo Hypera"/>
    <s v="Hypera S.a."/>
    <s v="-"/>
    <s v="-"/>
    <s v="-"/>
    <s v="KON-OPE-SAO-PVI-HYPERA"/>
    <s v="-"/>
    <x v="2"/>
    <n v="0"/>
    <n v="0"/>
    <n v="0"/>
    <n v="0"/>
    <n v="0"/>
    <n v="0"/>
    <s v="Reserva importada do sistema Gover. Id: 4592452"/>
    <s v="Fornecedor não preenchido! (ACC01)"/>
    <s v="GOVER"/>
    <s v="Falta de Fornecedor"/>
    <s v="Campo Fornecedor"/>
    <s v="Dados do Fornecedor"/>
    <s v="Qualidade dos dados"/>
    <s v="KONTIK BUSINESS TRAVEL"/>
  </r>
  <r>
    <n v="22857819"/>
    <n v="23638427"/>
    <s v="ACC01"/>
    <x v="3"/>
    <d v="2025-09-02T22:20:40"/>
    <s v="09 a 15 dias"/>
    <s v="09 a 15 dias"/>
    <n v="19824600"/>
    <s v="GOVER"/>
    <s v="THIAGO CEZA ROSA"/>
    <s v="Gover"/>
    <s v="Gover"/>
    <x v="3"/>
    <n v="4591476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3"/>
    <n v="0"/>
    <n v="0"/>
    <n v="0"/>
    <n v="0"/>
    <n v="0"/>
    <n v="0"/>
    <s v="Reserva importada do sistema Gover. Id: 4591476"/>
    <s v="Fornecedor não preenchido! (ACC01)"/>
    <s v="GOVER"/>
    <s v="Falta de Fornecedor"/>
    <s v="Campo Fornecedor"/>
    <s v="Dados do Fornecedor"/>
    <s v="Sistêmico"/>
    <s v="GRUPO KONTIK"/>
  </r>
  <r>
    <n v="22826752"/>
    <n v="23612021"/>
    <s v="ACC01"/>
    <x v="4"/>
    <d v="2025-08-28T11:31:35"/>
    <s v="09 a 15 dias"/>
    <s v="09 a 15 dias"/>
    <n v="19744454"/>
    <s v="GOVER"/>
    <s v="Debora Malandrin Antão "/>
    <s v="Gover"/>
    <s v="Gover"/>
    <x v="4"/>
    <n v="4588818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4"/>
    <n v="0"/>
    <n v="0"/>
    <n v="0"/>
    <n v="0"/>
    <n v="0"/>
    <n v="0"/>
    <s v="Reserva importada do sistema Gover. Id: 4588818"/>
    <s v="Fornecedor não preenchido! (ACC01)"/>
    <s v="GOVER"/>
    <s v="Falta de Fornecedor"/>
    <s v="Campo Fornecedor"/>
    <s v="Dados do Fornecedor"/>
    <s v="Sistêmico"/>
    <s v="GRUPO KONTIK"/>
  </r>
  <r>
    <n v="22866453"/>
    <n v="23645608"/>
    <s v="ACC01"/>
    <x v="5"/>
    <d v="2025-09-04T08:10:23"/>
    <s v="06 a 08 dias"/>
    <s v="06 a 08 dias"/>
    <n v="19845072"/>
    <s v="GOVER"/>
    <s v="Julio Henrique Festucci"/>
    <s v="Gover"/>
    <s v="Gover"/>
    <x v="5"/>
    <n v="4592145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5"/>
    <n v="0"/>
    <n v="0"/>
    <n v="0"/>
    <n v="0"/>
    <n v="0"/>
    <n v="0"/>
    <s v="Reserva importada do sistema Gover. Id: 4592145"/>
    <s v="Fornecedor não preenchido! (ACC01)"/>
    <s v="GOVER"/>
    <s v="Falta de Fornecedor"/>
    <s v="Campo Fornecedor"/>
    <s v="Dados do Fornecedor"/>
    <s v="Sistêmico"/>
    <s v="GRUPO KONTIK"/>
  </r>
  <r>
    <n v="22855560"/>
    <n v="23636322"/>
    <s v="ACC01"/>
    <x v="6"/>
    <d v="2025-09-02T16:54:27"/>
    <s v="09 a 15 dias"/>
    <s v="09 a 15 dias"/>
    <s v="NQOLTXC"/>
    <s v="SABRE"/>
    <s v="APARECIDA DE FARIAS/JESSICA"/>
    <s v="Ernani Afranio dos Santos"/>
    <s v="Ernani Afranio dos Santos"/>
    <x v="6"/>
    <s v="NQOLTX"/>
    <s v="QOC"/>
    <s v="ON LINE"/>
    <s v="Invoice"/>
    <s v="Faturado"/>
    <s v="Carro"/>
    <s v="N"/>
    <s v="Grupo Bosch"/>
    <s v="Johnson Controls Hitachi Ar Condicionado do Brasil Ltda"/>
    <s v="-"/>
    <s v="-"/>
    <s v="-"/>
    <s v="FCM-OPE-SAO-PVI-BOSCH"/>
    <s v="-"/>
    <x v="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734"/>
    <n v="23682970"/>
    <s v="ACC01"/>
    <x v="7"/>
    <d v="2025-09-11T16:19:50"/>
    <s v="0 a 02 dias"/>
    <s v="0 a 02 dias"/>
    <s v="GKFPVXT"/>
    <s v="SABRE"/>
    <s v="BARREIRO JOVIDI/ANDRE RICARDO"/>
    <s v="Valeria Domingues Cavalcante"/>
    <s v="Valeria Domingues Cavalcante"/>
    <x v="7"/>
    <s v="EMAIL"/>
    <s v="-"/>
    <s v="ON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739"/>
    <n v="23682977"/>
    <s v="ACC01"/>
    <x v="8"/>
    <d v="2025-09-11T16:19:50"/>
    <s v="0 a 02 dias"/>
    <s v="0 a 02 dias"/>
    <s v="HEJPXAT"/>
    <s v="SABRE"/>
    <s v="XAVIER BITTENCOURT/FABIO"/>
    <s v="Valeria Domingues Cavalcante"/>
    <s v="Valeria Domingues Cavalcante"/>
    <x v="8"/>
    <s v="EMAIL"/>
    <s v="-"/>
    <s v="ON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743"/>
    <n v="23682982"/>
    <s v="ACC01"/>
    <x v="9"/>
    <d v="2025-09-11T16:19:50"/>
    <s v="0 a 02 dias"/>
    <s v="0 a 02 dias"/>
    <s v="DLWGGGT"/>
    <s v="SABRE"/>
    <s v="LAGUNA CUNHA/FERNANDO LUIZ"/>
    <s v="Valeria Domingues Cavalcante"/>
    <s v="Valeria Domingues Cavalcante"/>
    <x v="9"/>
    <s v="EMAIL"/>
    <s v="-"/>
    <s v="ON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748"/>
    <n v="23682990"/>
    <s v="ACC01"/>
    <x v="10"/>
    <d v="2025-09-11T16:24:18"/>
    <s v="0 a 02 dias"/>
    <s v="0 a 02 dias"/>
    <s v="DMICDST"/>
    <s v="SABRE"/>
    <s v="PESSOA/FELIPE ROCHA"/>
    <s v="Valeria Domingues Cavalcante"/>
    <s v="Valeria Domingues Cavalcante"/>
    <x v="10"/>
    <s v="EMAIL"/>
    <s v="-"/>
    <s v="ON LINE"/>
    <s v="Invoice"/>
    <s v="Faturado"/>
    <s v="Hotel"/>
    <s v="N"/>
    <s v="Grupo Bosch"/>
    <s v="Johnson Controls Hitachi Ar Condicionado do Brasil Ltda"/>
    <s v="-"/>
    <s v="-"/>
    <s v="-"/>
    <s v="FCM-OPE-SAO-PVI-BOSCH"/>
    <s v="-"/>
    <x v="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26491"/>
    <n v="23611729"/>
    <s v="ACC01"/>
    <x v="11"/>
    <d v="2025-08-28T10:41:09"/>
    <s v="09 a 15 dias"/>
    <s v="09 a 15 dias"/>
    <n v="19759826"/>
    <s v="GOVER"/>
    <s v="Henrique Zanini Micheli"/>
    <s v="Marcos de Oliveira Miklos"/>
    <s v="Marcos de Oliveira Miklos"/>
    <x v="11"/>
    <n v="4588558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8"/>
    <n v="27.6"/>
    <n v="0"/>
    <n v="0"/>
    <n v="0"/>
    <n v="0"/>
    <n v="0"/>
    <s v="Reserva importada do sistema Gover. Id: 4588558"/>
    <s v="Fornecedor não preenchido! (ACC01)"/>
    <s v="GOVER"/>
    <s v="Falta de Fornecedor"/>
    <s v="Campo Fornecedor"/>
    <s v="Dados do Fornecedor"/>
    <s v="Sistêmico"/>
    <s v="GRUPO KONTIK"/>
  </r>
  <r>
    <n v="22900840"/>
    <n v="23675031"/>
    <s v="ACC01"/>
    <x v="12"/>
    <d v="2025-09-10T10:02:00"/>
    <s v="0 a 02 dias"/>
    <s v="0 a 02 dias"/>
    <s v="MV2XSC04BNBR"/>
    <s v="GOVER"/>
    <s v="Vinicius Emanoel de Souza Ferreira"/>
    <s v="Marcos de Oliveira Miklos"/>
    <s v="Marcos de Oliveira Miklos"/>
    <x v="12"/>
    <n v="4595261"/>
    <s v="Movida - Br - Mg - Mvd - Ipatinga Endereço: Avenida Pedro Linhares Gomes, 3900"/>
    <s v="OFF LINE"/>
    <s v="Invoice"/>
    <s v="Faturado"/>
    <s v="Carro"/>
    <s v="N"/>
    <s v="Grupo Intercement"/>
    <s v="Intercement Nacoes Unidas"/>
    <s v="-"/>
    <s v="-"/>
    <s v="-"/>
    <s v="KON-OPE-SAO-PVI-MOVER"/>
    <s v="-"/>
    <x v="9"/>
    <n v="0"/>
    <n v="0"/>
    <n v="0"/>
    <n v="0"/>
    <n v="0"/>
    <n v="0"/>
    <s v="Reserva importada do sistema Gover. Id: 4595261"/>
    <s v="Fornecedor não preenchido! (ACC01)"/>
    <s v="GOVER"/>
    <s v="Falta de Fornecedor"/>
    <s v="Campo Fornecedor"/>
    <s v="Dados do Fornecedor"/>
    <s v="Qualidade dos dados"/>
    <s v="KONTIK BUSINESS TRAVEL"/>
  </r>
  <r>
    <n v="22847982"/>
    <n v="23629529"/>
    <s v="ACC01"/>
    <x v="13"/>
    <d v="2025-09-01T13:20:29"/>
    <s v="09 a 15 dias"/>
    <s v="09 a 15 dias"/>
    <n v="19803803"/>
    <s v="GOVER"/>
    <s v="Henrique Zanini Micheli"/>
    <s v="Marcos de Oliveira Miklos"/>
    <s v="Marcos de Oliveira Miklos"/>
    <x v="13"/>
    <n v="4590452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8"/>
    <n v="27.6"/>
    <n v="0"/>
    <n v="0"/>
    <n v="0"/>
    <n v="0"/>
    <n v="0"/>
    <s v="Reserva importada do sistema Gover. Id: 4590452"/>
    <s v="Fornecedor não preenchido! (ACC01)"/>
    <s v="GOVER"/>
    <s v="Falta de Fornecedor"/>
    <s v="Campo Fornecedor"/>
    <s v="Dados do Fornecedor"/>
    <s v="Sistêmico"/>
    <s v="GRUPO KONTIK"/>
  </r>
  <r>
    <n v="22793709"/>
    <n v="23584510"/>
    <s v="ACC01"/>
    <x v="14"/>
    <d v="2025-08-22T16:10:55"/>
    <s v="16 a 23 dias"/>
    <s v="16 a 23 dias"/>
    <n v="19688872"/>
    <s v="GOVER"/>
    <s v="Jason Albuquerque Netto"/>
    <s v="Gover"/>
    <s v="Gover"/>
    <x v="14"/>
    <n v="4586749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0"/>
    <n v="0"/>
    <n v="0"/>
    <n v="0"/>
    <n v="0"/>
    <n v="0"/>
    <n v="0"/>
    <s v="Reserva importada do sistema Gover. Id: 4586749"/>
    <s v="Fornecedor não preenchido! (ACC01)"/>
    <s v="GOVER"/>
    <s v="Falta de Fornecedor"/>
    <s v="Campo Fornecedor"/>
    <s v="Dados do Fornecedor"/>
    <s v="Sistêmico"/>
    <s v="GRUPO KONTIK"/>
  </r>
  <r>
    <n v="22814724"/>
    <n v="23601488"/>
    <s v="ACC01"/>
    <x v="15"/>
    <d v="2025-08-26T15:31:25"/>
    <s v="16 a 23 dias"/>
    <s v="16 a 23 dias"/>
    <n v="1174169057179"/>
    <s v="GOVER"/>
    <s v="Adriano Gamallo Gondim"/>
    <s v="Gover"/>
    <s v="Gover"/>
    <x v="15"/>
    <n v="4588255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11"/>
    <n v="33"/>
    <n v="0"/>
    <n v="0"/>
    <n v="0"/>
    <n v="0"/>
    <n v="0"/>
    <s v="Reserva importada do sistema Gover. Id: 4588255"/>
    <s v="Fornecedor não preenchido! (ACC01)"/>
    <s v="GOVER"/>
    <s v="Falta de Fornecedor"/>
    <s v="Campo Fornecedor"/>
    <s v="Dados do Fornecedor"/>
    <s v="Sistêmico"/>
    <s v="GRUPO KONTIK"/>
  </r>
  <r>
    <n v="22875885"/>
    <n v="23654426"/>
    <s v="ACC01"/>
    <x v="16"/>
    <d v="2025-09-05T15:51:05"/>
    <s v="06 a 08 dias"/>
    <s v="06 a 08 dias"/>
    <n v="19881389"/>
    <s v="GOVER"/>
    <s v="Renato Labadia"/>
    <s v="Gover"/>
    <s v="Gover"/>
    <x v="16"/>
    <n v="4593452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2"/>
    <n v="32.200000000000003"/>
    <n v="0"/>
    <n v="0"/>
    <n v="0"/>
    <n v="0"/>
    <n v="0"/>
    <s v="Reserva importada do sistema Gover. Id: 4593452"/>
    <s v="Fornecedor não preenchido! (ACC01)"/>
    <s v="GOVER"/>
    <s v="Falta de Fornecedor"/>
    <s v="Campo Fornecedor"/>
    <s v="Dados do Fornecedor"/>
    <s v="Sistêmico"/>
    <s v="GRUPO KONTIK"/>
  </r>
  <r>
    <n v="22787117"/>
    <n v="23578675"/>
    <s v="ACC01"/>
    <x v="17"/>
    <d v="2025-09-02T13:15:46"/>
    <s v="09 a 15 dias"/>
    <s v="16 a 23 dias"/>
    <s v="CFC927"/>
    <s v="GOVER"/>
    <s v="Bruno de Oliveira e Silva"/>
    <s v="Wilson Jose Araujo de Gusmao Junior"/>
    <s v="Wilson Jose Araujo de Gusmao Junior"/>
    <x v="17"/>
    <n v="4585211"/>
    <s v="National Car - Ar - Ex - Buenos Aires - Aeroparque Endereço: Av. Costanera Rafael Obligado S N"/>
    <s v="OFF LINE"/>
    <s v="Pagamento direto"/>
    <s v="Pagamento direto"/>
    <s v="Carro"/>
    <s v="N"/>
    <s v="Grupo Zf"/>
    <s v="Zf do Brasil - Divisao Ma"/>
    <s v="-"/>
    <s v="-"/>
    <s v="-"/>
    <s v="KON-OPE-RIO-PVI-BTC"/>
    <s v="-"/>
    <x v="13"/>
    <n v="0"/>
    <n v="0"/>
    <n v="0"/>
    <n v="0"/>
    <n v="0"/>
    <n v="0"/>
    <s v="Reserva importada do sistema Gover. Id: 4585211"/>
    <s v="Fornecedor não preenchido! (ACC01)"/>
    <s v="GOVER"/>
    <s v="Falta de Fornecedor"/>
    <s v="Campo Fornecedor"/>
    <s v="Dados do Fornecedor"/>
    <s v="Qualidade dos dados"/>
    <s v="KONTIK BUSINESS TRAVEL"/>
  </r>
  <r>
    <n v="22909385"/>
    <n v="23682586"/>
    <s v="ACC01"/>
    <x v="18"/>
    <d v="2025-09-11T15:22:01"/>
    <s v="0 a 02 dias"/>
    <s v="0 a 02 dias"/>
    <s v="BPRQLI"/>
    <s v="GOVER"/>
    <s v="Luis Augusto de Camargo Sotilo"/>
    <s v="Wilson Jose Araujo de Gusmao Junior"/>
    <s v="Wilson Jose Araujo de Gusmao Junior"/>
    <x v="18"/>
    <n v="4595912"/>
    <s v="National Car - Ar - Ex - Buenos Aires - Aeroparque Endereço: Av. Costanera Rafael Obligado S N"/>
    <s v="OFF LINE"/>
    <s v="Pagamento direto"/>
    <s v="Pagamento direto"/>
    <s v="Carro"/>
    <s v="N"/>
    <s v="Grupo Zf"/>
    <s v="Zf do Brasil - Lemforder"/>
    <s v="-"/>
    <s v="-"/>
    <s v="-"/>
    <s v="KON-OPE-RIO-PVI-BTC"/>
    <s v="-"/>
    <x v="14"/>
    <n v="0"/>
    <n v="0"/>
    <n v="0"/>
    <n v="0"/>
    <n v="0"/>
    <n v="0"/>
    <s v="Reserva importada do sistema Gover. Id: 4595912"/>
    <s v="Fornecedor não preenchido! (ACC01)"/>
    <s v="GOVER"/>
    <s v="Falta de Fornecedor"/>
    <s v="Campo Fornecedor"/>
    <s v="Dados do Fornecedor"/>
    <s v="Qualidade dos dados"/>
    <s v="KONTIK BUSINESS TRAVEL"/>
  </r>
  <r>
    <n v="22869440"/>
    <n v="23648741"/>
    <s v="ACC01"/>
    <x v="19"/>
    <d v="2025-09-04T17:23:30"/>
    <s v="06 a 08 dias"/>
    <s v="06 a 08 dias"/>
    <s v="CXTGZ8"/>
    <s v="GOVER"/>
    <s v="Marcel Santarosa Porteiro"/>
    <s v="Wilson Jose Araujo de Gusmao Junior"/>
    <s v="Wilson Jose Araujo de Gusmao Junior"/>
    <x v="19"/>
    <n v="4592707"/>
    <s v="National Car - Ar - Ex - Buenos Aires - Aeroparque Endereço: Av. Costanera Rafael Obligado S N"/>
    <s v="OFF LINE"/>
    <s v="Pagamento direto"/>
    <s v="Pagamento direto"/>
    <s v="Carro"/>
    <s v="N"/>
    <s v="Grupo Zf"/>
    <s v="Zf do Brasil - Cvs-sumare"/>
    <s v="-"/>
    <s v="-"/>
    <s v="-"/>
    <s v="KON-OPE-RIO-PVI-BTC"/>
    <s v="-"/>
    <x v="15"/>
    <n v="0"/>
    <n v="0"/>
    <n v="0"/>
    <n v="0"/>
    <n v="0"/>
    <n v="0"/>
    <s v="Reserva importada do sistema Gover. Id: 4592707"/>
    <s v="Fornecedor não preenchido! (ACC01)"/>
    <s v="GOVER"/>
    <s v="Falta de Fornecedor"/>
    <s v="Campo Fornecedor"/>
    <s v="Dados do Fornecedor"/>
    <s v="Qualidade dos dados"/>
    <s v="KONTIK BUSINESS TRAVEL"/>
  </r>
  <r>
    <n v="22897011"/>
    <n v="23671897"/>
    <s v="ACC01"/>
    <x v="20"/>
    <d v="2025-09-09T18:12:06"/>
    <s v="03 a 05 dias"/>
    <s v="03 a 05 dias"/>
    <n v="19930861"/>
    <s v="GOVER"/>
    <s v="Allan Guilherme de Castro Netto"/>
    <s v="Marcos de Oliveira Miklos"/>
    <s v="Marcos de Oliveira Miklos"/>
    <x v="20"/>
    <n v="4594901"/>
    <s v="-"/>
    <s v="OFF LINE"/>
    <s v="Pagamento direto"/>
    <s v="Pagamento direto"/>
    <s v="Hotel"/>
    <s v="N"/>
    <s v="Grupo Zf"/>
    <s v="Zf do Brasil - Cvs-sumare"/>
    <s v="-"/>
    <s v="-"/>
    <s v="-"/>
    <s v="KON-OPE-RIO-PVI-BTC"/>
    <s v="-"/>
    <x v="16"/>
    <n v="0"/>
    <n v="0"/>
    <n v="0"/>
    <n v="0"/>
    <n v="0"/>
    <n v="0"/>
    <s v="Reserva importada do sistema Gover. Id: 4594901"/>
    <s v="Fornecedor não preenchido! (ACC01)"/>
    <s v="GOVER"/>
    <s v="Falta de Fornecedor"/>
    <s v="Campo Fornecedor"/>
    <s v="Dados do Fornecedor"/>
    <s v="Sistêmico"/>
    <s v="GRUPO KONTIK"/>
  </r>
  <r>
    <n v="22848359"/>
    <n v="23629915"/>
    <s v="ACC01"/>
    <x v="21"/>
    <d v="2025-09-01T14:53:15"/>
    <s v="09 a 15 dias"/>
    <s v="09 a 15 dias"/>
    <n v="19802990"/>
    <s v="GOVER"/>
    <s v="Osmar da Silva Lopes"/>
    <s v="Gover"/>
    <s v="Gover"/>
    <x v="21"/>
    <n v="4590802"/>
    <s v="-"/>
    <s v="ON LINE"/>
    <s v="Pagamento direto"/>
    <s v="Pagamento direto"/>
    <s v="Hotel"/>
    <s v="N"/>
    <s v="Grupo Zf"/>
    <s v="Zf do Brasil - Cvs-campinas"/>
    <s v="-"/>
    <s v="-"/>
    <s v="-"/>
    <s v="KON-OPE-RIO-PVI-BTC"/>
    <s v="-"/>
    <x v="17"/>
    <n v="26.3"/>
    <n v="0"/>
    <n v="0"/>
    <n v="0"/>
    <n v="0"/>
    <n v="0"/>
    <s v="Reserva importada do sistema Gover. Id: 4590802"/>
    <s v="Fornecedor não preenchido! (ACC01)"/>
    <s v="GOVER"/>
    <s v="Falta de Fornecedor"/>
    <s v="Campo Fornecedor"/>
    <s v="Dados do Fornecedor"/>
    <s v="Sistêmico"/>
    <s v="GRUPO KONTIK"/>
  </r>
  <r>
    <n v="22880476"/>
    <n v="23658339"/>
    <s v="ACC01"/>
    <x v="22"/>
    <d v="2025-09-06T08:25:16"/>
    <s v="06 a 08 dias"/>
    <s v="06 a 08 dias"/>
    <s v="MV24KVTYAFBR"/>
    <s v="GOVER"/>
    <s v="Osmar da Silva Lopes"/>
    <s v="Gover"/>
    <s v="Gover"/>
    <x v="22"/>
    <n v="4590799"/>
    <s v="Movida - Br - Es - Vitoria - Aeroporto Endereço: Avenida Roza Helena Schorling Albuquerque, 856 Ao L"/>
    <s v="OFF LINE"/>
    <s v="Pagamento direto"/>
    <s v="Pagamento direto"/>
    <s v="Carro"/>
    <s v="N"/>
    <s v="Grupo Zf"/>
    <s v="Zf do Brasil - Cvs-campinas"/>
    <s v="-"/>
    <s v="-"/>
    <s v="-"/>
    <s v="KON-OPE-RIO-PVI-BTC"/>
    <s v="-"/>
    <x v="18"/>
    <n v="0"/>
    <n v="0"/>
    <n v="0"/>
    <n v="0"/>
    <n v="0"/>
    <n v="0"/>
    <s v="Reserva importada do sistema Gover. Id: 4590799"/>
    <s v="Fornecedor não preenchido! (ACC01)"/>
    <s v="GOVER"/>
    <s v="Falta de Fornecedor"/>
    <s v="Campo Fornecedor"/>
    <s v="Dados do Fornecedor"/>
    <s v="Qualidade dos dados"/>
    <s v="KONTIK BUSINESS TRAVEL"/>
  </r>
  <r>
    <n v="22911577"/>
    <n v="23684733"/>
    <s v="ACC01"/>
    <x v="23"/>
    <d v="2025-09-11T21:16:04"/>
    <s v="0 a 02 dias"/>
    <s v="0 a 02 dias"/>
    <s v="5K693U"/>
    <s v="TMS"/>
    <s v="JULIANA MOLARI"/>
    <s v="ADRIANA MIRANDA COUTINHO"/>
    <s v="ADRIANA MIRANDA COUTINHO"/>
    <x v="23"/>
    <n v="11654"/>
    <s v="-"/>
    <s v="OFF LINE"/>
    <s v="Cartão de crédito"/>
    <s v="Cartão de crédito"/>
    <s v="Hotel"/>
    <s v="N"/>
    <s v="Grupo Braskem"/>
    <s v="Braskem - Camacari"/>
    <s v="-"/>
    <s v="-"/>
    <s v="-"/>
    <s v="KON-OPE-SAO-PVI-BRASKEM"/>
    <s v="-"/>
    <x v="19"/>
    <n v="0"/>
    <n v="0"/>
    <n v="0"/>
    <n v="0"/>
    <n v="0"/>
    <n v="0"/>
    <s v="Reserva importada do Sistema TMS. OS: 11654"/>
    <s v="Fornecedor não preenchido! (ACC01)"/>
    <s v="ARGO(TMS)"/>
    <s v="Falta de Fornecedor"/>
    <s v="Campo Fornecedor"/>
    <s v="Dados do Fornecedor"/>
    <s v="Qualidade dos dados"/>
    <s v="KONTIK BUSINESS TRAVEL"/>
  </r>
  <r>
    <n v="22854486"/>
    <n v="23635292"/>
    <s v="ACC01"/>
    <x v="24"/>
    <d v="2025-09-11T13:37:14"/>
    <s v="0 a 02 dias"/>
    <s v="09 a 15 dias"/>
    <s v="5J9HVD"/>
    <s v="TMS"/>
    <s v="ADEMILTON SANTOS"/>
    <s v="Tms"/>
    <s v="Tms"/>
    <x v="24"/>
    <n v="11407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0"/>
    <n v="0"/>
    <n v="0"/>
    <n v="0"/>
    <n v="0"/>
    <n v="0"/>
    <n v="0"/>
    <s v="Reserva importada do Sistema TMS. OS: 11407"/>
    <s v="Fornecedor não preenchido! (ACC01)"/>
    <s v="ARGO(TMS)"/>
    <s v="Falta de Fornecedor"/>
    <s v="Campo Fornecedor"/>
    <s v="Dados do Fornecedor"/>
    <s v="Sistêmico"/>
    <s v="GRUPO KONTIK"/>
  </r>
  <r>
    <n v="22847888"/>
    <n v="23629439"/>
    <s v="ACC01"/>
    <x v="25"/>
    <d v="2025-09-11T13:37:08"/>
    <s v="0 a 02 dias"/>
    <s v="09 a 15 dias"/>
    <s v="5J6OKQ"/>
    <s v="TMS"/>
    <s v="MARCELO DOMINGUEZ"/>
    <s v="Tms"/>
    <s v="Tms"/>
    <x v="25"/>
    <n v="11372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1"/>
    <n v="0"/>
    <n v="0"/>
    <n v="0"/>
    <n v="0"/>
    <n v="9.64"/>
    <n v="0"/>
    <s v="Reserva importada do Sistema TMS. OS: 11372"/>
    <s v="Fornecedor não preenchido! (ACC01)"/>
    <s v="ARGO(TMS)"/>
    <s v="Falta de Fornecedor"/>
    <s v="Campo Fornecedor"/>
    <s v="Dados do Fornecedor"/>
    <s v="Sistêmico"/>
    <s v="GRUPO KONTIK"/>
  </r>
  <r>
    <n v="22850804"/>
    <n v="23632240"/>
    <s v="ACC01"/>
    <x v="26"/>
    <d v="2025-09-11T13:37:10"/>
    <s v="0 a 02 dias"/>
    <s v="09 a 15 dias"/>
    <s v="5JGX7S"/>
    <s v="TMS"/>
    <s v="FABIO SANTOS"/>
    <s v="Tms"/>
    <s v="Tms"/>
    <x v="26"/>
    <n v="11406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0"/>
    <n v="0"/>
    <n v="0"/>
    <n v="0"/>
    <n v="0"/>
    <n v="0"/>
    <n v="0"/>
    <s v="Reserva importada do Sistema TMS. OS: 11406"/>
    <s v="Fornecedor não preenchido! (ACC01)"/>
    <s v="ARGO(TMS)"/>
    <s v="Falta de Fornecedor"/>
    <s v="Campo Fornecedor"/>
    <s v="Dados do Fornecedor"/>
    <s v="Sistêmico"/>
    <s v="GRUPO KONTIK"/>
  </r>
  <r>
    <n v="22850806"/>
    <n v="23632241"/>
    <s v="ACC01"/>
    <x v="27"/>
    <d v="2025-09-11T13:37:11"/>
    <s v="0 a 02 dias"/>
    <s v="09 a 15 dias"/>
    <s v="5J6SUX"/>
    <s v="TMS"/>
    <s v="BRUNO GODINHO"/>
    <s v="Tms"/>
    <s v="Tms"/>
    <x v="27"/>
    <n v="11405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0"/>
    <n v="0"/>
    <n v="0"/>
    <n v="0"/>
    <n v="0"/>
    <n v="0"/>
    <n v="0"/>
    <s v="Reserva importada do Sistema TMS. OS: 11405"/>
    <s v="Fornecedor não preenchido! (ACC01)"/>
    <s v="ARGO(TMS)"/>
    <s v="Falta de Fornecedor"/>
    <s v="Campo Fornecedor"/>
    <s v="Dados do Fornecedor"/>
    <s v="Sistêmico"/>
    <s v="GRUPO KONTIK"/>
  </r>
  <r>
    <n v="22911560"/>
    <n v="23684716"/>
    <s v="ACC01"/>
    <x v="28"/>
    <d v="2025-09-11T21:11:18"/>
    <s v="0 a 02 dias"/>
    <s v="0 a 02 dias"/>
    <s v="5KJ8E7"/>
    <s v="TMS"/>
    <s v="LUCAS SCHMIDT"/>
    <s v="Tms"/>
    <s v="Tms"/>
    <x v="28"/>
    <n v="11864"/>
    <s v="Passo Fundo / PFB"/>
    <s v="ON LINE"/>
    <s v="Invoice"/>
    <s v="Faturado"/>
    <s v="Carro"/>
    <s v="N"/>
    <s v="Grupo Braskem"/>
    <s v="Braskem - Camacari"/>
    <s v="-"/>
    <s v="-"/>
    <s v="-"/>
    <s v="KON-OPE-SAO-PVI-BRASKEM"/>
    <s v="-"/>
    <x v="22"/>
    <n v="0"/>
    <n v="0"/>
    <n v="0"/>
    <n v="0"/>
    <n v="0"/>
    <n v="0"/>
    <s v="Reserva importada do Sistema TMS. OS: 11864"/>
    <s v="Fornecedor não preenchido! (ACC01)"/>
    <s v="ARGO(TMS)"/>
    <s v="Falta de Fornecedor"/>
    <s v="Campo Fornecedor"/>
    <s v="Dados do Fornecedor"/>
    <s v="Qualidade dos dados"/>
    <s v="KONTIK BUSINESS TRAVEL"/>
  </r>
  <r>
    <n v="22912828"/>
    <n v="23685776"/>
    <s v="ACC01"/>
    <x v="29"/>
    <d v="2025-09-12T01:11:08"/>
    <s v="0 a 02 dias"/>
    <s v="0 a 02 dias"/>
    <s v="5KKG67"/>
    <s v="TMS"/>
    <s v="ANTONIO BARBOSA"/>
    <s v="Tms"/>
    <s v="Tms"/>
    <x v="29"/>
    <n v="11883"/>
    <s v="Brasília / BSB"/>
    <s v="ON LINE"/>
    <s v="Invoice"/>
    <s v="Faturado"/>
    <s v="Carro"/>
    <s v="N"/>
    <s v="Grupo Braskem"/>
    <s v="Braskem - Camacari"/>
    <s v="-"/>
    <s v="-"/>
    <s v="-"/>
    <s v="KON-OPE-SAO-PVI-BRASKEM"/>
    <s v="-"/>
    <x v="23"/>
    <n v="0"/>
    <n v="0"/>
    <n v="0"/>
    <n v="0"/>
    <n v="0"/>
    <n v="0"/>
    <s v="Reserva importada do Sistema TMS. OS: 11883"/>
    <s v="Fornecedor não preenchido! (ACC01)"/>
    <s v="ARGO(TMS)"/>
    <s v="Falta de Fornecedor"/>
    <s v="Campo Fornecedor"/>
    <s v="Dados do Fornecedor"/>
    <s v="Qualidade dos dados"/>
    <s v="KONTIK BUSINESS TRAVEL"/>
  </r>
  <r>
    <n v="22857168"/>
    <n v="23637907"/>
    <s v="ACC01"/>
    <x v="30"/>
    <d v="2025-09-11T13:38:09"/>
    <s v="0 a 02 dias"/>
    <s v="09 a 15 dias"/>
    <s v="5JYTDV"/>
    <s v="TMS"/>
    <s v="LUCIANA PAULA"/>
    <s v="Tms"/>
    <s v="Tms"/>
    <x v="30"/>
    <n v="1078"/>
    <s v="-"/>
    <s v="ON LINE"/>
    <s v="Cartão de crédito"/>
    <s v="Cartão de crédito"/>
    <s v="Hotel"/>
    <s v="N"/>
    <s v="Grupo Amadeus"/>
    <s v="Argo It"/>
    <s v="-"/>
    <s v="-"/>
    <s v="-"/>
    <s v="HOT LINE - SAO PAULO"/>
    <s v="-"/>
    <x v="24"/>
    <n v="0"/>
    <n v="0"/>
    <n v="0"/>
    <n v="0"/>
    <n v="66.75"/>
    <n v="0"/>
    <s v="Reserva importada do Sistema TMS. OS: 1078"/>
    <s v="Fornecedor não preenchido! (ACC01)"/>
    <s v="ARGO(TMS)"/>
    <s v="Falta de Fornecedor"/>
    <s v="Campo Fornecedor"/>
    <s v="Dados do Fornecedor"/>
    <s v="Sistêmico"/>
    <s v="GRUPO KONTIK"/>
  </r>
  <r>
    <n v="22812117"/>
    <n v="23598986"/>
    <s v="ACC01"/>
    <x v="31"/>
    <d v="2025-08-26T08:06:19"/>
    <s v="16 a 23 dias"/>
    <s v="16 a 23 dias"/>
    <s v="GEZSZNT"/>
    <s v="SABRE"/>
    <s v="BARREIRA/ARTHUR BRAMBILLA"/>
    <s v="WS"/>
    <s v="WS"/>
    <x v="31"/>
    <s v="GEZSZN"/>
    <s v="-"/>
    <s v="ON LINE"/>
    <s v="Cartão de crédito"/>
    <s v="Cartão de crédito"/>
    <s v="Hotel"/>
    <s v="N"/>
    <s v="Grupo Wallenius"/>
    <s v="Wallenius"/>
    <s v="-"/>
    <s v="-"/>
    <s v="-"/>
    <s v="FCM-OPE-SAO-PVI-BTC"/>
    <s v="-"/>
    <x v="25"/>
    <n v="154.6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132"/>
    <n v="23679100"/>
    <s v="ACC01"/>
    <x v="32"/>
    <d v="2025-09-10T21:19:01"/>
    <s v="0 a 02 dias"/>
    <s v="0 a 02 dias"/>
    <s v="HXRZIAT"/>
    <s v="SABRE"/>
    <s v="MACIEL SILVA/IRIS"/>
    <s v="Paulo Roberto Mendes da Silva"/>
    <s v="Paulo Roberto Mendes da Silva"/>
    <x v="32"/>
    <s v="HXRZIA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109"/>
    <n v="23679084"/>
    <s v="ACC01"/>
    <x v="33"/>
    <d v="2025-09-10T21:19:00"/>
    <s v="0 a 02 dias"/>
    <s v="0 a 02 dias"/>
    <s v="EIUWMST"/>
    <s v="SABRE"/>
    <s v="DA LUZ/DIEGO"/>
    <s v="Paulo Roberto Mendes da Silva"/>
    <s v="Paulo Roberto Mendes da Silva"/>
    <x v="33"/>
    <s v="EIUWMS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112"/>
    <n v="23679086"/>
    <s v="ACC01"/>
    <x v="34"/>
    <d v="2025-09-10T21:19:00"/>
    <s v="0 a 02 dias"/>
    <s v="0 a 02 dias"/>
    <s v="OUENHUT"/>
    <s v="SABRE"/>
    <s v="SOUTO/MARCIO"/>
    <s v="Paulo Roberto Mendes da Silva"/>
    <s v="Paulo Roberto Mendes da Silva"/>
    <x v="34"/>
    <s v="OUENHU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171"/>
    <n v="23684347"/>
    <s v="ACC01"/>
    <x v="35"/>
    <d v="2025-09-11T20:32:20"/>
    <s v="0 a 02 dias"/>
    <s v="0 a 02 dias"/>
    <s v="5KJ1SJ"/>
    <s v="TMS"/>
    <s v="STUART HOULE"/>
    <s v="Tms"/>
    <s v="Tms"/>
    <x v="35"/>
    <n v="17678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28"/>
    <n v="0"/>
    <n v="0"/>
    <n v="0"/>
    <n v="0"/>
    <n v="0"/>
    <n v="0"/>
    <s v="Reserva importada do Sistema TMS. OS: 17678"/>
    <s v="Fornecedor não preenchido! (ACC01)"/>
    <s v="ARGO(TMS)"/>
    <s v="Falta de Fornecedor"/>
    <s v="Campo Fornecedor"/>
    <s v="Dados do Fornecedor"/>
    <s v="Qualidade dos dados"/>
    <s v="KONTIK BUSINESS TRAVEL"/>
  </r>
  <r>
    <n v="22909998"/>
    <n v="23683213"/>
    <s v="ACC01"/>
    <x v="36"/>
    <d v="2025-09-11T17:11:05"/>
    <s v="0 a 02 dias"/>
    <s v="0 a 02 dias"/>
    <s v="YJQORJ"/>
    <s v="GOVER"/>
    <s v="Gustavo Adolfo Manzano Soares"/>
    <s v="Gover"/>
    <s v="Gover"/>
    <x v="36"/>
    <n v="4596424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29"/>
    <n v="4.5"/>
    <n v="0"/>
    <n v="0"/>
    <n v="0"/>
    <n v="0"/>
    <n v="0"/>
    <s v="Reserva importada do sistema Gover. Id: 4596424"/>
    <s v="Este cliente não possui permissão para usar este tipo de pagamento e recebimento para este produto."/>
    <s v="GOVER"/>
    <s v="Pagamento não permitido para cobrança"/>
    <s v="Forma PG. e REC."/>
    <s v="Dados do Fornecedor"/>
    <s v="Qualidade dos dados"/>
    <s v="KONTIK BUSINESS TRAVEL"/>
  </r>
  <r>
    <n v="22867368"/>
    <n v="23646448"/>
    <s v="ACC01"/>
    <x v="37"/>
    <d v="2025-09-05T03:12:21"/>
    <s v="06 a 08 dias"/>
    <s v="06 a 08 dias"/>
    <n v="84335266"/>
    <s v="GOVER"/>
    <s v="Felipe Selzer Raymann"/>
    <s v="Karen Aparecida Ferreira"/>
    <s v="Karen Aparecida Ferreira"/>
    <x v="37"/>
    <n v="4592242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0"/>
    <n v="51.9"/>
    <n v="0"/>
    <n v="0"/>
    <n v="0"/>
    <n v="0"/>
    <n v="72"/>
    <s v="Reserva importada do sistema Gover. Id: 4592242"/>
    <s v="Fornecedor não preenchido! (ACC01)"/>
    <s v="GOVER"/>
    <s v="Falta de Fornecedor"/>
    <s v="Campo Fornecedor"/>
    <s v="Dados do Fornecedor"/>
    <s v="Sistêmico"/>
    <s v="GRUPO KONTIK"/>
  </r>
  <r>
    <n v="22827664"/>
    <n v="23612999"/>
    <s v="ACC01"/>
    <x v="38"/>
    <d v="2025-08-29T03:06:37"/>
    <s v="09 a 15 dias"/>
    <s v="09 a 15 dias"/>
    <s v="JHGFES"/>
    <s v="GOVER"/>
    <s v="Alexandre Marques Crisol"/>
    <s v="Karen Aparecida Ferreira"/>
    <s v="Karen Aparecida Ferreira"/>
    <x v="38"/>
    <n v="4589450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1"/>
    <n v="0"/>
    <n v="0"/>
    <n v="0"/>
    <n v="0"/>
    <n v="0"/>
    <n v="72"/>
    <s v="Reserva importada do sistema Gover. Id: 4589450"/>
    <s v="Fornecedor não preenchido! (ACC01)"/>
    <s v="GOVER"/>
    <s v="Falta de Fornecedor"/>
    <s v="Campo Fornecedor"/>
    <s v="Dados do Fornecedor"/>
    <s v="Sistêmico"/>
    <s v="GRUPO KONTIK"/>
  </r>
  <r>
    <n v="22907842"/>
    <n v="23681210"/>
    <s v="ACC01"/>
    <x v="39"/>
    <d v="2025-09-12T03:14:15"/>
    <s v="0 a 02 dias"/>
    <s v="0 a 02 dias"/>
    <s v="SBR00000609119"/>
    <s v="GOVER"/>
    <s v="Felipe Augusto Romualdo Dos Santos"/>
    <s v="Karen Aparecida Ferreira"/>
    <s v="Karen Aparecida Ferreira"/>
    <x v="39"/>
    <n v="4595060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"/>
    <n v="0"/>
    <n v="0"/>
    <n v="0"/>
    <n v="0"/>
    <n v="0"/>
    <n v="72"/>
    <s v="Reserva importada do sistema Gover. Id: 4595060"/>
    <s v="Fornecedor não preenchido! (ACC01)"/>
    <s v="GOVER"/>
    <s v="Falta de Fornecedor"/>
    <s v="Campo Fornecedor"/>
    <s v="Dados do Fornecedor"/>
    <s v="Sistêmico"/>
    <s v="GRUPO KONTIK"/>
  </r>
  <r>
    <n v="22847781"/>
    <n v="23629328"/>
    <s v="ACC01"/>
    <x v="40"/>
    <d v="2025-09-01T12:51:03"/>
    <s v="09 a 15 dias"/>
    <s v="09 a 15 dias"/>
    <n v="19801003"/>
    <s v="GOVER"/>
    <s v="PAULO MARGONARI ADAMO"/>
    <s v="Gover"/>
    <s v="Gover"/>
    <x v="40"/>
    <n v="4590745"/>
    <s v="-"/>
    <s v="ON LINE"/>
    <s v="Cartão de crédito"/>
    <s v="Cartão de crédito"/>
    <s v="Hotel"/>
    <s v="N"/>
    <s v="Grupo Avenida"/>
    <s v="Lojas Avenida S.a."/>
    <s v="-"/>
    <s v="-"/>
    <s v="-"/>
    <s v="KON-OPE-RIO-PVI-BTC"/>
    <s v="-"/>
    <x v="33"/>
    <n v="0"/>
    <n v="0"/>
    <n v="0"/>
    <n v="0"/>
    <n v="0"/>
    <n v="0"/>
    <s v="Reserva importada do sistema Gover. Id: 4590745"/>
    <s v="Fornecedor não preenchido! (ACC01)"/>
    <s v="GOVER"/>
    <s v="Falta de Fornecedor"/>
    <s v="Campo Fornecedor"/>
    <s v="Dados do Fornecedor"/>
    <s v="Sistêmico"/>
    <s v="GRUPO KONTIK"/>
  </r>
  <r>
    <n v="22847783"/>
    <n v="23629330"/>
    <s v="ACC01"/>
    <x v="41"/>
    <d v="2025-09-01T12:51:04"/>
    <s v="09 a 15 dias"/>
    <s v="09 a 15 dias"/>
    <n v="19801015"/>
    <s v="GOVER"/>
    <s v="CAMILA  RODRIGUES SANTORO"/>
    <s v="Gover"/>
    <s v="Gover"/>
    <x v="40"/>
    <n v="4590746"/>
    <s v="-"/>
    <s v="ON LINE"/>
    <s v="Cartão de crédito"/>
    <s v="Cartão de crédito"/>
    <s v="Hotel"/>
    <s v="N"/>
    <s v="Grupo Avenida"/>
    <s v="Lojas Avenida S.a."/>
    <s v="-"/>
    <s v="-"/>
    <s v="-"/>
    <s v="KON-OPE-RIO-PVI-BTC"/>
    <s v="-"/>
    <x v="33"/>
    <n v="0"/>
    <n v="0"/>
    <n v="0"/>
    <n v="0"/>
    <n v="0"/>
    <n v="0"/>
    <s v="Reserva importada do sistema Gover. Id: 4590746"/>
    <s v="Fornecedor não preenchido! (ACC01)"/>
    <s v="GOVER"/>
    <s v="Falta de Fornecedor"/>
    <s v="Campo Fornecedor"/>
    <s v="Dados do Fornecedor"/>
    <s v="Sistêmico"/>
    <s v="GRUPO KONTIK"/>
  </r>
  <r>
    <n v="22874266"/>
    <n v="23652830"/>
    <s v="ACC01"/>
    <x v="42"/>
    <d v="2025-09-05T11:21:14"/>
    <s v="06 a 08 dias"/>
    <s v="06 a 08 dias"/>
    <n v="19876808"/>
    <s v="GOVER"/>
    <s v="GUTIERRIS BENICIO IGNES"/>
    <s v="Gover"/>
    <s v="Gover"/>
    <x v="41"/>
    <n v="4593293"/>
    <s v="-"/>
    <s v="ON LINE"/>
    <s v="Cartão de crédito"/>
    <s v="Cartão de crédito"/>
    <s v="Hotel"/>
    <s v="N"/>
    <s v="Grupo Avenida"/>
    <s v="Lojas Avenida S.a."/>
    <s v="-"/>
    <s v="-"/>
    <s v="-"/>
    <s v="KON-OPE-RIO-PVI-BTC"/>
    <s v="-"/>
    <x v="34"/>
    <n v="13.15"/>
    <n v="0"/>
    <n v="0"/>
    <n v="0"/>
    <n v="0"/>
    <n v="0"/>
    <s v="Reserva importada do sistema Gover. Id: 4593293"/>
    <s v="Fornecedor não preenchido! (ACC01)"/>
    <s v="GOVER"/>
    <s v="Falta de Fornecedor"/>
    <s v="Campo Fornecedor"/>
    <s v="Dados do Fornecedor"/>
    <s v="Sistêmico"/>
    <s v="GRUPO KONTIK"/>
  </r>
  <r>
    <n v="22853399"/>
    <n v="23634238"/>
    <s v="ACC01"/>
    <x v="43"/>
    <d v="2025-09-02T10:51:17"/>
    <s v="09 a 15 dias"/>
    <s v="09 a 15 dias"/>
    <s v="MV3024LSEUBR"/>
    <s v="GOVER"/>
    <s v="Renata Fernandes Vieira Camargo"/>
    <s v="Marcos de Oliveira Miklos"/>
    <s v="Marcos de Oliveira Miklos"/>
    <x v="42"/>
    <n v="4590237"/>
    <s v="Movida - Br - Sp - Sao Paulo - Pinheiros Endereço: Avenida Reboucas, 3970 Pinheiros"/>
    <s v="OFF LINE"/>
    <s v="Invoice"/>
    <s v="Faturado"/>
    <s v="Carro"/>
    <s v="N"/>
    <s v="Grupo Unica"/>
    <s v="Unica Sp"/>
    <s v="-"/>
    <s v="-"/>
    <s v="-"/>
    <s v="KON-OPE-RIO-PVI-BTC"/>
    <s v="-"/>
    <x v="35"/>
    <n v="0"/>
    <n v="0"/>
    <n v="0"/>
    <n v="0"/>
    <n v="0"/>
    <n v="0"/>
    <s v="Reserva importada do sistema Gover. Id: 4590237"/>
    <s v="Fornecedor não preenchido! (ACC01)"/>
    <s v="GOVER"/>
    <s v="Falta de Fornecedor"/>
    <s v="Campo Fornecedor"/>
    <s v="Dados do Fornecedor"/>
    <s v="Qualidade dos dados"/>
    <s v="KONTIK BUSINESS TRAVEL"/>
  </r>
  <r>
    <n v="22875800"/>
    <n v="23654337"/>
    <s v="ACC01"/>
    <x v="44"/>
    <d v="2025-09-05T15:33:13"/>
    <s v="06 a 08 dias"/>
    <s v="06 a 08 dias"/>
    <n v="19878556"/>
    <s v="GOVER"/>
    <s v="Isabella Martinez Gasparetto "/>
    <s v="Gover"/>
    <s v="Gover"/>
    <x v="43"/>
    <n v="4593353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11"/>
    <n v="0"/>
    <n v="0"/>
    <n v="0"/>
    <n v="0"/>
    <n v="0"/>
    <n v="0"/>
    <s v="Reserva importada do sistema Gover. Id: 4593353"/>
    <s v="Fornecedor não preenchido! (ACC01)"/>
    <s v="GOVER"/>
    <s v="Falta de Fornecedor"/>
    <s v="Campo Fornecedor"/>
    <s v="Dados do Fornecedor"/>
    <s v="Sistêmico"/>
    <s v="GRUPO KONTIK"/>
  </r>
  <r>
    <n v="22875842"/>
    <n v="23654386"/>
    <s v="ACC01"/>
    <x v="45"/>
    <d v="2025-09-05T15:40:35"/>
    <s v="06 a 08 dias"/>
    <s v="06 a 08 dias"/>
    <n v="19878467"/>
    <s v="GOVER"/>
    <s v="JULIA KHOURI PLUT"/>
    <s v="Gover"/>
    <s v="Gover"/>
    <x v="44"/>
    <n v="4593347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11"/>
    <n v="0"/>
    <n v="0"/>
    <n v="0"/>
    <n v="0"/>
    <n v="0"/>
    <n v="0"/>
    <s v="Reserva importada do sistema Gover. Id: 4593347"/>
    <s v="Fornecedor não preenchido! (ACC01)"/>
    <s v="GOVER"/>
    <s v="Falta de Fornecedor"/>
    <s v="Campo Fornecedor"/>
    <s v="Dados do Fornecedor"/>
    <s v="Sistêmico"/>
    <s v="GRUPO KONTIK"/>
  </r>
  <r>
    <n v="22860115"/>
    <n v="23640136"/>
    <s v="ACC01"/>
    <x v="46"/>
    <d v="2025-09-03T10:20:22"/>
    <s v="09 a 15 dias"/>
    <s v="09 a 15 dias"/>
    <n v="19788177"/>
    <s v="GOVER"/>
    <s v="Jacques Alexandre Dos Santos Modesto"/>
    <s v="Gover"/>
    <s v="Gover"/>
    <x v="45"/>
    <n v="4590344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36"/>
    <n v="0"/>
    <n v="0"/>
    <n v="0"/>
    <n v="0"/>
    <n v="0"/>
    <n v="0"/>
    <s v="Reserva importada do sistema Gover. Id: 4590344"/>
    <s v="Fornecedor não preenchido! (ACC01)"/>
    <s v="GOVER"/>
    <s v="Falta de Fornecedor"/>
    <s v="Campo Fornecedor"/>
    <s v="Dados do Fornecedor"/>
    <s v="Sistêmico"/>
    <s v="GRUPO KONTIK"/>
  </r>
  <r>
    <n v="22879085"/>
    <n v="23657424"/>
    <s v="ACC01"/>
    <x v="47"/>
    <d v="2025-09-12T06:10:43"/>
    <s v="0 a 02 dias"/>
    <s v="06 a 08 dias"/>
    <s v="5K8K2P"/>
    <s v="TMS"/>
    <s v="JOSE DA CONCEIÇÃO"/>
    <s v="Sergio Henrique Mendes"/>
    <s v="Sergio Henrique Mendes"/>
    <x v="46"/>
    <n v="46594"/>
    <s v="-"/>
    <s v="OFF LINE"/>
    <s v="Invoice"/>
    <s v="Faturado"/>
    <s v="Serviço"/>
    <s v="N"/>
    <s v="Grupo Htb"/>
    <s v="Htb Construcoes"/>
    <s v="-"/>
    <s v="-"/>
    <s v="-"/>
    <s v="KON-OPE-SAO-PVI-BTC-ARGO-HTB"/>
    <s v="-"/>
    <x v="37"/>
    <n v="11.95"/>
    <n v="0"/>
    <n v="0"/>
    <n v="0"/>
    <n v="0"/>
    <n v="0"/>
    <s v="Reserva importada do Sistema TMS. OS: 46594"/>
    <s v="Fornecedor não preenchido! (ACC01)"/>
    <s v="ARGO(TMS)"/>
    <s v="Falta de Fornecedor"/>
    <s v="Campo Fornecedor"/>
    <s v="Dados do Fornecedor"/>
    <s v="Qualidade dos dados"/>
    <s v="KONTIK BUSINESS TRAVEL"/>
  </r>
  <r>
    <n v="22879086"/>
    <n v="23657425"/>
    <s v="ACC01"/>
    <x v="48"/>
    <d v="2025-09-12T06:10:43"/>
    <s v="0 a 02 dias"/>
    <s v="06 a 08 dias"/>
    <s v="5KNKWM"/>
    <s v="TMS"/>
    <s v="FRANCISCO SILVA BARROS"/>
    <s v="Sergio Henrique Mendes"/>
    <s v="Sergio Henrique Mendes"/>
    <x v="47"/>
    <n v="46593"/>
    <s v="-"/>
    <s v="OFF LINE"/>
    <s v="Invoice"/>
    <s v="Faturado"/>
    <s v="Serviço"/>
    <s v="N"/>
    <s v="Grupo Htb"/>
    <s v="Htb Construcoes"/>
    <s v="-"/>
    <s v="-"/>
    <s v="-"/>
    <s v="KON-OPE-SAO-PVI-BTC-ARGO-HTB"/>
    <s v="-"/>
    <x v="37"/>
    <n v="11.95"/>
    <n v="0"/>
    <n v="0"/>
    <n v="0"/>
    <n v="0"/>
    <n v="0"/>
    <s v="Reserva importada do Sistema TMS. OS: 46593"/>
    <s v="Fornecedor não preenchido! (ACC01)"/>
    <s v="ARGO(TMS)"/>
    <s v="Falta de Fornecedor"/>
    <s v="Campo Fornecedor"/>
    <s v="Dados do Fornecedor"/>
    <s v="Qualidade dos dados"/>
    <s v="KONTIK BUSINESS TRAVEL"/>
  </r>
  <r>
    <n v="22906116"/>
    <n v="23680000"/>
    <s v="ACC01"/>
    <x v="49"/>
    <d v="2025-09-12T06:10:44"/>
    <s v="0 a 02 dias"/>
    <s v="0 a 02 dias"/>
    <s v="5KAHP6"/>
    <s v="TMS"/>
    <s v="ANTONIELLI DA SILVEIRA DE LIMA"/>
    <s v="Cintya Cocco Figueiredo"/>
    <s v="Cintya Cocco Figueiredo"/>
    <x v="48"/>
    <n v="46687"/>
    <s v="-"/>
    <s v="OFF LINE"/>
    <s v="Invoice"/>
    <s v="Faturado"/>
    <s v="Serviço"/>
    <s v="N"/>
    <s v="Grupo Htb"/>
    <s v="Tedesco"/>
    <s v="-"/>
    <s v="-"/>
    <s v="-"/>
    <s v="KON-OPE-SAO-PVI-BTC-ARGO-HTB"/>
    <s v="-"/>
    <x v="38"/>
    <n v="10.95"/>
    <n v="0"/>
    <n v="0"/>
    <n v="0"/>
    <n v="0"/>
    <n v="0"/>
    <s v="Reserva importada do Sistema TMS. OS: 46687"/>
    <s v="Fornecedor não preenchido! (ACC01)"/>
    <s v="ARGO(TMS)"/>
    <s v="Falta de Fornecedor"/>
    <s v="Campo Fornecedor"/>
    <s v="Dados do Fornecedor"/>
    <s v="Qualidade dos dados"/>
    <s v="KONTIK BUSINESS TRAVEL"/>
  </r>
  <r>
    <n v="22890454"/>
    <n v="23666002"/>
    <s v="ACC01"/>
    <x v="50"/>
    <d v="2025-09-08T17:31:05"/>
    <s v="03 a 05 dias"/>
    <s v="03 a 05 dias"/>
    <s v="AYSR9F"/>
    <s v="GOVER"/>
    <s v="Patricia Rodrigues da Cunha Goto"/>
    <s v="Wilson Jose Araujo de Gusmao Junior"/>
    <s v="Wilson Jose Araujo de Gusmao Junior"/>
    <x v="49"/>
    <n v="4594063"/>
    <s v="Budget - Us - Ca - San Francisco Intl Airport-SFO Endereço: 780 Mcdonnell Rd"/>
    <s v="OFF LINE"/>
    <s v="Invoice"/>
    <s v="Faturado"/>
    <s v="Carro"/>
    <s v="N"/>
    <s v="Grupo Santista"/>
    <s v="Santista Textil S/a"/>
    <s v="-"/>
    <s v="-"/>
    <s v="-"/>
    <s v="KON-OPE-RIO-PVI-BTC"/>
    <s v="-"/>
    <x v="39"/>
    <n v="4.24"/>
    <n v="0"/>
    <n v="0"/>
    <n v="0"/>
    <n v="0"/>
    <n v="0"/>
    <s v="Reserva importada do sistema Gover. Id: 4594063"/>
    <s v="Fornecedor não preenchido! (ACC01)"/>
    <s v="GOVER"/>
    <s v="Falta de Fornecedor"/>
    <s v="Campo Fornecedor"/>
    <s v="Dados do Fornecedor"/>
    <s v="Qualidade dos dados"/>
    <s v="KONTIK BUSINESS TRAVEL"/>
  </r>
  <r>
    <n v="22911442"/>
    <n v="23684605"/>
    <s v="ACC01"/>
    <x v="51"/>
    <d v="2025-09-11T21:05:53"/>
    <s v="0 a 02 dias"/>
    <s v="0 a 02 dias"/>
    <s v="5K8TC7"/>
    <s v="TMS"/>
    <s v="FERNANDO LIANI"/>
    <s v="Tms"/>
    <s v="Tms"/>
    <x v="50"/>
    <n v="232669"/>
    <s v="Brasília / BSB"/>
    <s v="ON LINE"/>
    <s v="Invoice"/>
    <s v="Faturado"/>
    <s v="Carro"/>
    <s v="N"/>
    <s v="Grupo Kpmg"/>
    <s v="Kpmg"/>
    <s v="-"/>
    <s v="-"/>
    <s v="-"/>
    <s v="KON-OPE-SAO-PVI-KPMG"/>
    <s v="-"/>
    <x v="40"/>
    <n v="0"/>
    <n v="0"/>
    <n v="0"/>
    <n v="0"/>
    <n v="0"/>
    <n v="0"/>
    <s v="Reserva importada do Sistema TMS. OS: 232669"/>
    <s v="Fornecedor não preenchido! (ACC01)"/>
    <s v="ARGO(TMS)"/>
    <s v="Falta de Fornecedor"/>
    <s v="Campo Fornecedor"/>
    <s v="Dados do Fornecedor"/>
    <s v="Qualidade dos dados"/>
    <s v="KONTIK BUSINESS TRAVEL"/>
  </r>
  <r>
    <n v="22909695"/>
    <n v="23682932"/>
    <s v="ACC01"/>
    <x v="52"/>
    <d v="2025-09-11T16:22:15"/>
    <s v="0 a 02 dias"/>
    <s v="0 a 02 dias"/>
    <s v="5KZLYH"/>
    <s v="TMS"/>
    <s v="LORHANY ALMEIDA"/>
    <s v="Robson Amaro Santos da Silva"/>
    <s v="Robson Amaro Santos da Silva"/>
    <x v="51"/>
    <n v="232555"/>
    <s v="NITEROI TERMINAL BARCAS / RJ, Brasil"/>
    <s v="OFF LINE"/>
    <s v="Invoice"/>
    <s v="Faturado"/>
    <s v="Carro"/>
    <s v="N"/>
    <s v="Grupo Kpmg"/>
    <s v="Kpmg"/>
    <s v="-"/>
    <s v="-"/>
    <s v="-"/>
    <s v="KON-OPE-SAO-PVI-KPMG"/>
    <s v="-"/>
    <x v="41"/>
    <n v="0"/>
    <n v="0"/>
    <n v="0"/>
    <n v="0"/>
    <n v="0"/>
    <n v="0"/>
    <s v="Reserva importada do Sistema TMS. OS: 232555"/>
    <s v="Fornecedor não preenchido! (ACC01)"/>
    <s v="ARGO(TMS)"/>
    <s v="Falta de Fornecedor"/>
    <s v="Campo Fornecedor"/>
    <s v="Dados do Fornecedor"/>
    <s v="Qualidade dos dados"/>
    <s v="KONTIK BUSINESS TRAVEL"/>
  </r>
  <r>
    <n v="22857325"/>
    <n v="23638057"/>
    <s v="ACC01"/>
    <x v="53"/>
    <d v="2025-09-11T13:40:38"/>
    <s v="0 a 02 dias"/>
    <s v="09 a 15 dias"/>
    <s v="5J4DVV"/>
    <s v="TMS"/>
    <s v="GLORIBERTH BUSCHBECK MELÉNDEZ"/>
    <s v="Robson Amaro Santos da Silva"/>
    <s v="Robson Amaro Santos da Silva"/>
    <x v="52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42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57326"/>
    <n v="23638058"/>
    <s v="ACC01"/>
    <x v="54"/>
    <d v="2025-09-11T13:40:38"/>
    <s v="0 a 02 dias"/>
    <s v="09 a 15 dias"/>
    <s v="5JT3V4"/>
    <s v="TMS"/>
    <s v="GLORIBERTH BUSCHBECK MELÉNDEZ"/>
    <s v="Robson Amaro Santos da Silva"/>
    <s v="Robson Amaro Santos da Silva"/>
    <x v="52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42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57327"/>
    <n v="23638059"/>
    <s v="ACC01"/>
    <x v="55"/>
    <d v="2025-09-11T13:40:39"/>
    <s v="0 a 02 dias"/>
    <s v="09 a 15 dias"/>
    <s v="5JHD4R"/>
    <s v="TMS"/>
    <s v="GLORIBERTH BUSCHBECK MELÉNDEZ"/>
    <s v="Robson Amaro Santos da Silva"/>
    <s v="Robson Amaro Santos da Silva"/>
    <x v="52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42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57328"/>
    <n v="23638060"/>
    <s v="ACC01"/>
    <x v="56"/>
    <d v="2025-09-11T13:40:40"/>
    <s v="0 a 02 dias"/>
    <s v="09 a 15 dias"/>
    <s v="5J8E44"/>
    <s v="TMS"/>
    <s v="GLORIBERTH BUSCHBECK MELÉNDEZ"/>
    <s v="Robson Amaro Santos da Silva"/>
    <s v="Robson Amaro Santos da Silva"/>
    <x v="52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42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46878"/>
    <n v="23628433"/>
    <s v="ACC01"/>
    <x v="57"/>
    <d v="2025-09-01T11:11:03"/>
    <s v="09 a 15 dias"/>
    <s v="09 a 15 dias"/>
    <n v="19800020"/>
    <s v="GOVER"/>
    <s v="Chia Huang Chu"/>
    <s v="Gover"/>
    <s v="Gover"/>
    <x v="53"/>
    <n v="4590713"/>
    <s v="-"/>
    <s v="ON LINE"/>
    <s v="Cartão de crédito"/>
    <s v="Cartão de crédito"/>
    <s v="Hotel"/>
    <s v="N"/>
    <s v="Grupo Cmoc"/>
    <s v="Cmoc - Dom Domenico Rangoni"/>
    <s v="-"/>
    <s v="-"/>
    <s v="-"/>
    <s v="KON-OPE-RIO-PVI-BTC-CMOC"/>
    <s v="-"/>
    <x v="43"/>
    <n v="37.119999999999997"/>
    <n v="0"/>
    <n v="0"/>
    <n v="0"/>
    <n v="0"/>
    <n v="0"/>
    <s v="Reserva importada do sistema Gover. Id: 4590713"/>
    <s v="Fornecedor não preenchido! (ACC01)"/>
    <s v="GOVER"/>
    <s v="Falta de Fornecedor"/>
    <s v="Campo Fornecedor"/>
    <s v="Dados do Fornecedor"/>
    <s v="Sistêmico"/>
    <s v="GRUPO KONTIK"/>
  </r>
  <r>
    <n v="22909740"/>
    <n v="23682978"/>
    <s v="ACC01"/>
    <x v="58"/>
    <d v="2025-09-11T16:23:07"/>
    <s v="0 a 02 dias"/>
    <s v="0 a 02 dias"/>
    <s v="5KH07H"/>
    <s v="TMS"/>
    <s v="KETULLE GODINHO"/>
    <s v="Robson Amaro Santos da Silva"/>
    <s v="Robson Amaro Santos da Silva"/>
    <x v="54"/>
    <n v="232379"/>
    <s v="Joao Pessoa / PB, Brasil (JPA)"/>
    <s v="OFF LINE"/>
    <s v="Invoice"/>
    <s v="Faturado"/>
    <s v="Carro"/>
    <s v="N"/>
    <s v="Grupo Kpmg"/>
    <s v="Kpmg Consultoria"/>
    <s v="-"/>
    <s v="-"/>
    <s v="-"/>
    <s v="KON-OPE-SAO-PVI-KPMG"/>
    <s v="-"/>
    <x v="44"/>
    <n v="0"/>
    <n v="0"/>
    <n v="0"/>
    <n v="0"/>
    <n v="0"/>
    <n v="0"/>
    <s v="Reserva importada do Sistema TMS. OS: 232379"/>
    <s v="Fornecedor não preenchido! (ACC01)"/>
    <s v="ARGO(TMS)"/>
    <s v="Falta de Fornecedor"/>
    <s v="Campo Fornecedor"/>
    <s v="Dados do Fornecedor"/>
    <s v="Qualidade dos dados"/>
    <s v="KONTIK BUSINESS TRAVEL"/>
  </r>
  <r>
    <n v="22828475"/>
    <n v="23613914"/>
    <s v="ACC01"/>
    <x v="59"/>
    <d v="2025-08-28T17:03:05"/>
    <s v="09 a 15 dias"/>
    <s v="09 a 15 dias"/>
    <n v="19768262"/>
    <s v="GOVER"/>
    <s v="GUILHERME DA SILVA"/>
    <s v="Gover"/>
    <s v="Gover"/>
    <x v="55"/>
    <n v="4589652"/>
    <s v="-"/>
    <s v="ON LINE"/>
    <s v="Cartão de crédito"/>
    <s v="Cartão de crédito"/>
    <s v="Hotel"/>
    <s v="N"/>
    <s v="Grupo Gtm"/>
    <s v="Quantiq"/>
    <s v="-"/>
    <s v="-"/>
    <s v="-"/>
    <s v="FCM-OPE-SAO-PVI-BTC"/>
    <s v="-"/>
    <x v="45"/>
    <n v="0"/>
    <n v="0"/>
    <n v="0"/>
    <n v="0"/>
    <n v="0"/>
    <n v="0"/>
    <s v="Reserva importada do sistema Gover. Id: 4589652"/>
    <s v="Fornecedor não preenchido! (ACC01)"/>
    <s v="GOVER"/>
    <s v="Falta de Fornecedor"/>
    <s v="Campo Fornecedor"/>
    <s v="Dados do Fornecedor"/>
    <s v="Sistêmico"/>
    <s v="GRUPO KONTIK"/>
  </r>
  <r>
    <n v="22911468"/>
    <n v="23684631"/>
    <s v="ACC01"/>
    <x v="60"/>
    <d v="2025-09-11T19:30:37"/>
    <s v="0 a 02 dias"/>
    <s v="0 a 02 dias"/>
    <s v="YMVDVZC"/>
    <s v="SABRE"/>
    <s v="PAES/ALINE MISS"/>
    <s v="Luciene Carvalho Santos"/>
    <s v="Luciene Carvalho Santos"/>
    <x v="56"/>
    <s v="DI1109251621"/>
    <s v="CPQ"/>
    <s v="OFF LINE"/>
    <s v="Invoice"/>
    <s v="Faturado"/>
    <s v="Carro"/>
    <s v="N"/>
    <s v="Grupo Diageo"/>
    <s v="Diageo Brasil"/>
    <s v="Cliente FEE no POS"/>
    <s v="-"/>
    <s v="-"/>
    <s v="FCM-OPE-SAO-PVI-DIAGEO"/>
    <s v="-"/>
    <x v="46"/>
    <n v="399.02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911472"/>
    <n v="23684635"/>
    <s v="ACC01"/>
    <x v="61"/>
    <d v="2025-09-11T19:30:41"/>
    <s v="0 a 02 dias"/>
    <s v="0 a 02 dias"/>
    <s v="AUXPJDC"/>
    <s v="SABRE"/>
    <s v="MADUREIRA/PAULA REGINA OLIVEIRA MISS"/>
    <s v="Luciene Carvalho Santos"/>
    <s v="Luciene Carvalho Santos"/>
    <x v="57"/>
    <s v="DI1109251746"/>
    <s v="SAO"/>
    <s v="OFF LINE"/>
    <s v="Invoice"/>
    <s v="Faturado"/>
    <s v="Carro"/>
    <s v="N"/>
    <s v="Grupo Diageo"/>
    <s v="Diageo Brasil"/>
    <s v="Cliente FEE no POS"/>
    <s v="-"/>
    <s v="-"/>
    <s v="FCM-OPE-SAO-PVI-DIAGEO"/>
    <s v="-"/>
    <x v="47"/>
    <n v="94.58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790979"/>
    <n v="23581851"/>
    <s v="ACC01"/>
    <x v="62"/>
    <d v="2025-08-22T09:45:16"/>
    <s v="16 a 23 dias"/>
    <s v="16 a 23 dias"/>
    <s v="ERTDNPT"/>
    <s v="SABRE"/>
    <s v="DI SERIO/RICARDO MARTINI MR"/>
    <s v="WS"/>
    <s v="WS"/>
    <x v="58"/>
    <s v="ERTDNP"/>
    <s v="-"/>
    <s v="ON LINE"/>
    <s v="Cartão de crédito"/>
    <s v="Cartão de crédito"/>
    <s v="Hotel"/>
    <s v="N"/>
    <s v="Grupo Ses"/>
    <s v="Ses Dth"/>
    <s v="-"/>
    <s v="-"/>
    <s v="-"/>
    <s v="FCM-OPE-SAO-PVI-BTC-CONCUR"/>
    <s v="-"/>
    <x v="48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786000"/>
    <n v="23577451"/>
    <s v="ACC01"/>
    <x v="63"/>
    <d v="2025-09-02T13:12:58"/>
    <s v="09 a 15 dias"/>
    <s v="16 a 23 dias"/>
    <s v="EZLDLMC"/>
    <s v="SABRE"/>
    <s v="DI SERIO/RICARDO MARTINI MR"/>
    <s v="WS"/>
    <s v="WS"/>
    <x v="59"/>
    <s v="EZLDLM"/>
    <s v="PER"/>
    <s v="ON LINE"/>
    <s v="Invoice"/>
    <s v="Faturado"/>
    <s v="Carro"/>
    <s v="N"/>
    <s v="Grupo Ses"/>
    <s v="Ses Dth"/>
    <s v="-"/>
    <s v="-"/>
    <s v="-"/>
    <s v="FCM-OPE-SAO-PVI-BTC-CONCUR"/>
    <s v="-"/>
    <x v="49"/>
    <n v="118.7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25750"/>
    <n v="23611034"/>
    <s v="ACC01"/>
    <x v="64"/>
    <d v="2025-09-02T13:13:07"/>
    <s v="09 a 15 dias"/>
    <s v="09 a 15 dias"/>
    <s v="JKWUFLC"/>
    <s v="SABRE"/>
    <s v="DI SERIO/RICARDO MARTINI MR"/>
    <s v="WS"/>
    <s v="WS"/>
    <x v="60"/>
    <s v="JKWUFL"/>
    <s v="DBO"/>
    <s v="ON LINE"/>
    <s v="Invoice"/>
    <s v="Faturado"/>
    <s v="Carro"/>
    <s v="N"/>
    <s v="Grupo Ses"/>
    <s v="Ses Dth"/>
    <s v="-"/>
    <s v="-"/>
    <s v="-"/>
    <s v="FCM-OPE-SAO-PVI-BTC-CONCUR"/>
    <s v="-"/>
    <x v="50"/>
    <n v="90.0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085"/>
    <n v="23679057"/>
    <s v="ACC01"/>
    <x v="65"/>
    <d v="2025-09-10T21:27:26"/>
    <s v="0 a 02 dias"/>
    <s v="0 a 02 dias"/>
    <s v="IUKTZVT"/>
    <s v="SABRE"/>
    <s v="DE OLIVEIRA TEBALDI/TIAGO MR"/>
    <s v="WS"/>
    <s v="WS"/>
    <x v="61"/>
    <s v="IUKTZV"/>
    <s v="-"/>
    <s v="ON LINE"/>
    <s v="Cartão de crédito"/>
    <s v="Cartão de crédito"/>
    <s v="Hotel"/>
    <s v="N"/>
    <s v="Grupo Ses"/>
    <s v="New Skies"/>
    <s v="-"/>
    <s v="-"/>
    <s v="-"/>
    <s v="FCM-OPE-SAO-PVI-BTC-CONCUR"/>
    <s v="-"/>
    <x v="51"/>
    <n v="21.8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909648"/>
    <n v="23682892"/>
    <s v="ACC01"/>
    <x v="66"/>
    <d v="2025-09-12T05:16:57"/>
    <s v="0 a 02 dias"/>
    <s v="0 a 02 dias"/>
    <s v="IRUVNKT"/>
    <s v="SABRE"/>
    <s v="SANTOS/ELMO MR"/>
    <s v="CT"/>
    <s v="CT"/>
    <x v="62"/>
    <n v="13893799819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52"/>
    <n v="18.39"/>
    <n v="0"/>
    <n v="0"/>
    <n v="0"/>
    <n v="0"/>
    <n v="27.34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99116"/>
    <n v="23673798"/>
    <s v="ACC01"/>
    <x v="67"/>
    <d v="2025-09-12T06:10:44"/>
    <s v="0 a 02 dias"/>
    <s v="0 a 02 dias"/>
    <s v="5K7ASF"/>
    <s v="TMS"/>
    <s v="VINICIUS ROSA"/>
    <s v="Loizy Lima de Oliveira"/>
    <s v="Loizy Lima de Oliveira"/>
    <x v="63"/>
    <n v="8555"/>
    <s v="-"/>
    <s v="OFF LINE"/>
    <s v="Invoice"/>
    <s v="Faturado"/>
    <s v="Serviço"/>
    <s v="N"/>
    <s v="Grupo Cbo"/>
    <s v="Cbo"/>
    <s v="-"/>
    <s v="-"/>
    <s v="-"/>
    <s v="POSTO CBO"/>
    <s v="-"/>
    <x v="53"/>
    <n v="0"/>
    <n v="0"/>
    <n v="0"/>
    <n v="0"/>
    <n v="0"/>
    <n v="0"/>
    <s v="Reserva importada do Sistema TMS. OS: 8555"/>
    <s v="Fornecedor não preenchido! (ACC01)"/>
    <s v="ARGO(TMS)"/>
    <s v="Falta de Fornecedor"/>
    <s v="Campo Fornecedor"/>
    <s v="Dados do Fornecedor"/>
    <s v="Qualidade dos dados"/>
    <s v="KONTIK BUSINESS TRAVEL"/>
  </r>
  <r>
    <n v="22853284"/>
    <n v="23634129"/>
    <s v="ACC01"/>
    <x v="68"/>
    <d v="2025-09-03T04:57:53"/>
    <s v="09 a 15 dias"/>
    <s v="09 a 15 dias"/>
    <s v="WQPXZLT"/>
    <s v="SABRE"/>
    <s v="DA SILVA/LUCIANA PINTO"/>
    <s v="WS"/>
    <s v="WS"/>
    <x v="64"/>
    <s v="WQPXZL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54"/>
    <n v="60.44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53289"/>
    <n v="23634132"/>
    <s v="ACC01"/>
    <x v="69"/>
    <d v="2025-09-02T11:06:44"/>
    <s v="09 a 15 dias"/>
    <s v="09 a 15 dias"/>
    <s v="LWZABNC"/>
    <s v="SABRE"/>
    <s v="DA SILVA/LUCIANA PINTO"/>
    <s v="WS"/>
    <s v="WS"/>
    <x v="65"/>
    <s v="LWZABN"/>
    <s v="CLT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55"/>
    <n v="68.2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53292"/>
    <n v="23634135"/>
    <s v="ACC01"/>
    <x v="70"/>
    <d v="2025-09-02T11:06:52"/>
    <s v="09 a 15 dias"/>
    <s v="09 a 15 dias"/>
    <s v="OIKXQRC"/>
    <s v="SABRE"/>
    <s v="DA SILVA/LUCIANA PINTO"/>
    <s v="WS"/>
    <s v="WS"/>
    <x v="66"/>
    <s v="OIKXQR"/>
    <s v="MIA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56"/>
    <n v="29.5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90482"/>
    <n v="23666032"/>
    <s v="ACC01"/>
    <x v="71"/>
    <d v="2025-09-08T18:06:42"/>
    <s v="03 a 05 dias"/>
    <s v="03 a 05 dias"/>
    <s v="WOHFAAC"/>
    <s v="SABRE"/>
    <s v="GONGORA/FABIO TEODORO"/>
    <s v="WS"/>
    <s v="WS"/>
    <x v="67"/>
    <s v="WOHFAA"/>
    <s v="SOD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57"/>
    <n v="204.0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90485"/>
    <n v="23666034"/>
    <s v="ACC01"/>
    <x v="72"/>
    <d v="2025-09-08T18:06:49"/>
    <s v="03 a 05 dias"/>
    <s v="03 a 05 dias"/>
    <s v="WQSJWQC"/>
    <s v="SABRE"/>
    <s v="GONGORA/FABIO TEODORO"/>
    <s v="WS"/>
    <s v="WS"/>
    <x v="68"/>
    <s v="WQSJWQ"/>
    <s v="SOD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58"/>
    <n v="34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0088"/>
    <n v="23640119"/>
    <s v="ACC01"/>
    <x v="73"/>
    <d v="2025-09-04T22:15:37"/>
    <s v="06 a 08 dias"/>
    <s v="09 a 15 dias"/>
    <s v="FCOEUB"/>
    <s v="GOVER"/>
    <s v="Felipe de Almeida Americo"/>
    <s v="Gover"/>
    <s v="Gover"/>
    <x v="69"/>
    <n v="4591912"/>
    <s v="-"/>
    <s v="ON LINE"/>
    <s v="Cartão de crédito"/>
    <s v="Cartão de crédito"/>
    <s v="Hotel"/>
    <s v="N"/>
    <s v="Grupo Atos"/>
    <s v="Bull Ltda"/>
    <s v="-"/>
    <s v="-"/>
    <s v="-"/>
    <s v="FCM-OPE-SAO-PVI-ATOS"/>
    <s v="-"/>
    <x v="59"/>
    <n v="22.62"/>
    <n v="0"/>
    <n v="0"/>
    <n v="0"/>
    <n v="0"/>
    <n v="0"/>
    <s v="Reserva importada do sistema Gover. Id: 4591912"/>
    <s v="Fornecedor não preenchido! (ACC01)"/>
    <s v="GOVER"/>
    <s v="Falta de Fornecedor"/>
    <s v="Campo Fornecedor"/>
    <s v="Dados do Fornecedor"/>
    <s v="Sistêmico"/>
    <s v="GRUPO KONTIK"/>
  </r>
  <r>
    <n v="22819175"/>
    <n v="23605304"/>
    <s v="ACC01"/>
    <x v="74"/>
    <d v="2025-08-28T06:20:39"/>
    <s v="09 a 15 dias"/>
    <s v="16 a 23 dias"/>
    <s v="WKAALHT"/>
    <s v="SABRE"/>
    <s v="RESNIZKY/MARIA LUZ MS"/>
    <s v="WS"/>
    <s v="WS"/>
    <x v="70"/>
    <s v="WKAALH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0"/>
    <n v="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21368"/>
    <n v="23607400"/>
    <s v="ACC01"/>
    <x v="75"/>
    <d v="2025-08-28T06:40:11"/>
    <s v="09 a 15 dias"/>
    <s v="16 a 23 dias"/>
    <s v="ITCCUNT"/>
    <s v="SABRE"/>
    <s v="MELLI/LEON MR"/>
    <s v="WS"/>
    <s v="WS"/>
    <x v="71"/>
    <s v="ITCCUN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1"/>
    <n v="785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46100"/>
    <n v="23627691"/>
    <s v="ACC01"/>
    <x v="76"/>
    <d v="2025-09-02T06:23:05"/>
    <s v="09 a 15 dias"/>
    <s v="09 a 15 dias"/>
    <s v="HWRPYIT"/>
    <s v="SABRE"/>
    <s v="DA SILVA/ERICK CORREA"/>
    <s v="WS"/>
    <s v="WS"/>
    <x v="72"/>
    <s v="HWRPYI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2"/>
    <n v="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50136"/>
    <n v="23631688"/>
    <s v="ACC01"/>
    <x v="77"/>
    <d v="2025-09-02T06:48:10"/>
    <s v="09 a 15 dias"/>
    <s v="09 a 15 dias"/>
    <s v="YGLRNZT"/>
    <s v="SABRE"/>
    <s v="SANTACROCE/RENATO DE ANDRADE MR"/>
    <s v="WS"/>
    <s v="WS"/>
    <x v="73"/>
    <s v="YGLRNZ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3"/>
    <n v="218.38"/>
    <n v="0"/>
    <n v="0"/>
    <n v="0"/>
    <n v="0"/>
    <n v="3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536"/>
    <n v="23679474"/>
    <s v="ACC01"/>
    <x v="78"/>
    <d v="2025-09-10T22:49:03"/>
    <s v="0 a 02 dias"/>
    <s v="0 a 02 dias"/>
    <s v="HJRDPQT"/>
    <s v="SABRE"/>
    <s v="MARTINS/BRENDA MS"/>
    <s v="Paulo Roberto Mendes da Silva"/>
    <s v="Paulo Roberto Mendes da Silva"/>
    <x v="74"/>
    <s v="HJRDPQ"/>
    <s v="-"/>
    <s v="OFF LINE"/>
    <s v="Invoice"/>
    <s v="Faturado"/>
    <s v="Hotel"/>
    <s v="N"/>
    <s v="Grupo Honeywell"/>
    <s v="Essex Hornets Brazil Ltda."/>
    <s v="-"/>
    <s v="-"/>
    <s v="-"/>
    <s v="FCM-OPE-SAO-PVI-BTC-CONCUR-HONEYWELL"/>
    <s v="-"/>
    <x v="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1953"/>
    <n v="23641862"/>
    <s v="ACC01"/>
    <x v="79"/>
    <d v="2025-09-03T15:35:31"/>
    <s v="09 a 15 dias"/>
    <s v="09 a 15 dias"/>
    <n v="19847091"/>
    <s v="GOVER"/>
    <s v="Sidney Souza"/>
    <s v="Gover"/>
    <s v="Gover"/>
    <x v="75"/>
    <n v="4592209"/>
    <s v="-"/>
    <s v="ON LINE"/>
    <s v="Cartão de crédito"/>
    <s v="Cartão de crédito"/>
    <s v="Hotel"/>
    <s v="N"/>
    <s v="Grupo Energisa"/>
    <s v="Energisa Sul-sudeste - Distribuidora de Energia S.a."/>
    <s v="-"/>
    <s v="-"/>
    <s v="-"/>
    <s v="KON-OPE-SAO-PVI-ENERGISA"/>
    <s v="-"/>
    <x v="65"/>
    <n v="0"/>
    <n v="0"/>
    <n v="0"/>
    <n v="0"/>
    <n v="0"/>
    <n v="0"/>
    <s v="Reserva importada do sistema Gover. Id: 4592209"/>
    <s v="Fornecedor não preenchido! (ACC01)"/>
    <s v="GOVER"/>
    <s v="Falta de Fornecedor"/>
    <s v="Campo Fornecedor"/>
    <s v="Dados do Fornecedor"/>
    <s v="Sistêmico"/>
    <s v="GRUPO KONTIK"/>
  </r>
  <r>
    <n v="22889471"/>
    <n v="23664955"/>
    <s v="ACC01"/>
    <x v="80"/>
    <d v="2025-09-08T14:11:18"/>
    <s v="03 a 05 dias"/>
    <s v="03 a 05 dias"/>
    <n v="19897901"/>
    <s v="GOVER"/>
    <s v="Sidney Souza"/>
    <s v="Gover"/>
    <s v="Gover"/>
    <x v="76"/>
    <n v="4594004"/>
    <s v="-"/>
    <s v="ON LINE"/>
    <s v="Cartão de crédito"/>
    <s v="Cartão de crédito"/>
    <s v="Hotel"/>
    <s v="N"/>
    <s v="Grupo Energisa"/>
    <s v="Energisa Sul-sudeste - Distribuidora de Energia S.a."/>
    <s v="-"/>
    <s v="-"/>
    <s v="-"/>
    <s v="KON-OPE-SAO-PVI-ENERGISA"/>
    <s v="-"/>
    <x v="66"/>
    <n v="0"/>
    <n v="0"/>
    <n v="0"/>
    <n v="0"/>
    <n v="0"/>
    <n v="0"/>
    <s v="Reserva importada do sistema Gover. Id: 4594004"/>
    <s v="Fornecedor não preenchido! (ACC01)"/>
    <s v="GOVER"/>
    <s v="Falta de Fornecedor"/>
    <s v="Campo Fornecedor"/>
    <s v="Dados do Fornecedor"/>
    <s v="Sistêmico"/>
    <s v="GRUPO KONTIK"/>
  </r>
  <r>
    <n v="22896699"/>
    <n v="23671607"/>
    <s v="ACC01"/>
    <x v="81"/>
    <d v="2025-09-09T17:12:17"/>
    <s v="03 a 05 dias"/>
    <s v="03 a 05 dias"/>
    <n v="19928698"/>
    <s v="GOVER"/>
    <s v=" Carlos Andre Soares Fonseca"/>
    <s v="Gover"/>
    <s v="Gover"/>
    <x v="77"/>
    <n v="4595046"/>
    <s v="-"/>
    <s v="ON LINE"/>
    <s v="Cartão de crédito"/>
    <s v="Cartão de crédito"/>
    <s v="Hotel"/>
    <s v="N"/>
    <s v="Grupo Energisa"/>
    <s v="Energisa Solucoes S.a."/>
    <s v="-"/>
    <s v="-"/>
    <s v="-"/>
    <s v="KON-OPE-SAO-PVI-ENERGISA"/>
    <s v="-"/>
    <x v="67"/>
    <n v="0"/>
    <n v="0"/>
    <n v="0"/>
    <n v="0"/>
    <n v="0"/>
    <n v="0"/>
    <s v="Reserva importada do sistema Gover. Id: 4595046"/>
    <s v="Fornecedor não preenchido! (ACC01)"/>
    <s v="GOVER"/>
    <s v="Falta de Fornecedor"/>
    <s v="Campo Fornecedor"/>
    <s v="Dados do Fornecedor"/>
    <s v="Sistêmico"/>
    <s v="GRUPO KONTIK"/>
  </r>
  <r>
    <n v="22792981"/>
    <n v="23583750"/>
    <s v="ACC01"/>
    <x v="82"/>
    <d v="2025-08-22T14:10:42"/>
    <s v="16 a 23 dias"/>
    <s v="16 a 23 dias"/>
    <n v="19670467"/>
    <s v="GOVER"/>
    <s v="Luis Oliveira"/>
    <s v="Gover"/>
    <s v="Gover"/>
    <x v="78"/>
    <n v="4586093"/>
    <s v="-"/>
    <s v="ON LINE"/>
    <s v="Invoice"/>
    <s v="Faturado"/>
    <s v="Hotel"/>
    <s v="N"/>
    <s v="Grupo Energisa"/>
    <s v="Energisa Biogas S.a"/>
    <s v="-"/>
    <s v="-"/>
    <s v="-"/>
    <s v="KON-OPE-SAO-PVI-ENERGISA"/>
    <s v="-"/>
    <x v="68"/>
    <n v="99.75"/>
    <n v="0"/>
    <n v="0"/>
    <n v="0"/>
    <n v="0"/>
    <n v="0"/>
    <s v="Reserva importada do sistema Gover. Id: 4586093"/>
    <s v="Fornecedor não preenchido! (ACC01)"/>
    <s v="GOVER"/>
    <s v="Falta de Fornecedor"/>
    <s v="Campo Fornecedor"/>
    <s v="Dados do Fornecedor"/>
    <s v="Sistêmico"/>
    <s v="GRUPO KONTIK"/>
  </r>
  <r>
    <n v="22827499"/>
    <n v="23612825"/>
    <s v="ACC01"/>
    <x v="83"/>
    <d v="2025-09-11T13:32:04"/>
    <s v="0 a 02 dias"/>
    <s v="09 a 15 dias"/>
    <s v="5IAZS8"/>
    <s v="TMS"/>
    <s v="RICARDO PLACA OSCAR"/>
    <s v="Tms"/>
    <s v="Tms"/>
    <x v="79"/>
    <n v="78436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69"/>
    <n v="0"/>
    <n v="0"/>
    <n v="0"/>
    <n v="0"/>
    <n v="155"/>
    <n v="0"/>
    <s v="Reserva importada do Sistema TMS. OS: 78436"/>
    <s v="Fornecedor não preenchido! (ACC01)"/>
    <s v="ARGO(TMS)"/>
    <s v="Falta de Fornecedor"/>
    <s v="Campo Fornecedor"/>
    <s v="Dados do Fornecedor"/>
    <s v="Sistêmico"/>
    <s v="GRUPO KONTIK"/>
  </r>
  <r>
    <n v="22851646"/>
    <n v="23632843"/>
    <s v="ACC01"/>
    <x v="84"/>
    <d v="2025-09-11T13:37:12"/>
    <s v="0 a 02 dias"/>
    <s v="09 a 15 dias"/>
    <s v="5JMCLX"/>
    <s v="TMS"/>
    <s v="CELSO MARQUES FILHO"/>
    <s v="Tms"/>
    <s v="Tms"/>
    <x v="80"/>
    <n v="79655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0"/>
    <n v="0"/>
    <n v="0"/>
    <n v="0"/>
    <n v="0"/>
    <n v="0"/>
    <n v="0"/>
    <s v="Reserva importada do Sistema TMS. OS: 79655"/>
    <s v="Fornecedor não preenchido! (ACC01)"/>
    <s v="ARGO(TMS)"/>
    <s v="Falta de Fornecedor"/>
    <s v="Campo Fornecedor"/>
    <s v="Dados do Fornecedor"/>
    <s v="Sistêmico"/>
    <s v="GRUPO KONTIK"/>
  </r>
  <r>
    <n v="22851647"/>
    <n v="23632844"/>
    <s v="ACC01"/>
    <x v="85"/>
    <d v="2025-09-11T13:37:12"/>
    <s v="0 a 02 dias"/>
    <s v="09 a 15 dias"/>
    <s v="5JADO2"/>
    <s v="TMS"/>
    <s v="JULIANA CASSIA DOS SANTOS SOUZA"/>
    <s v="Tms"/>
    <s v="Tms"/>
    <x v="81"/>
    <n v="79654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0"/>
    <n v="0"/>
    <n v="0"/>
    <n v="0"/>
    <n v="0"/>
    <n v="0"/>
    <n v="0"/>
    <s v="Reserva importada do Sistema TMS. OS: 79654"/>
    <s v="Fornecedor não preenchido! (ACC01)"/>
    <s v="ARGO(TMS)"/>
    <s v="Falta de Fornecedor"/>
    <s v="Campo Fornecedor"/>
    <s v="Dados do Fornecedor"/>
    <s v="Sistêmico"/>
    <s v="GRUPO KONTIK"/>
  </r>
  <r>
    <n v="22829976"/>
    <n v="23615404"/>
    <s v="ACC01"/>
    <x v="86"/>
    <d v="2025-09-11T13:33:07"/>
    <s v="0 a 02 dias"/>
    <s v="09 a 15 dias"/>
    <s v="5IJ1PL"/>
    <s v="TMS"/>
    <s v="DANILO HILGEMBERG"/>
    <s v="Tms"/>
    <s v="Tms"/>
    <x v="82"/>
    <n v="79159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1"/>
    <n v="0"/>
    <n v="0"/>
    <n v="0"/>
    <n v="0"/>
    <n v="0"/>
    <n v="0"/>
    <s v="Reserva importada do Sistema TMS. OS: 79159"/>
    <s v="Fornecedor não preenchido! (ACC01)"/>
    <s v="ARGO(TMS)"/>
    <s v="Falta de Fornecedor"/>
    <s v="Campo Fornecedor"/>
    <s v="Dados do Fornecedor"/>
    <s v="Sistêmico"/>
    <s v="GRUPO KONTIK"/>
  </r>
  <r>
    <n v="22829977"/>
    <n v="23615405"/>
    <s v="ACC01"/>
    <x v="87"/>
    <d v="2025-09-11T13:35:22"/>
    <s v="0 a 02 dias"/>
    <s v="09 a 15 dias"/>
    <s v="5IIA0L"/>
    <s v="TMS"/>
    <s v="GEVERSON DA COSTA"/>
    <s v="Tms"/>
    <s v="Tms"/>
    <x v="82"/>
    <n v="79158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1"/>
    <n v="0"/>
    <n v="0"/>
    <n v="0"/>
    <n v="0"/>
    <n v="0"/>
    <n v="0"/>
    <s v="Reserva importada do Sistema TMS. OS: 79158"/>
    <s v="Fornecedor não preenchido! (ACC01)"/>
    <s v="ARGO(TMS)"/>
    <s v="Falta de Fornecedor"/>
    <s v="Campo Fornecedor"/>
    <s v="Dados do Fornecedor"/>
    <s v="Sistêmico"/>
    <s v="GRUPO KONTIK"/>
  </r>
  <r>
    <n v="22836708"/>
    <n v="23621360"/>
    <s v="ACC01"/>
    <x v="88"/>
    <d v="2025-09-11T13:36:24"/>
    <s v="0 a 02 dias"/>
    <s v="09 a 15 dias"/>
    <s v="5JYFUB"/>
    <s v="TMS"/>
    <s v="FELIPE KUBIS"/>
    <s v="Tms"/>
    <s v="Tms"/>
    <x v="83"/>
    <n v="79375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71"/>
    <n v="0"/>
    <n v="0"/>
    <n v="0"/>
    <n v="0"/>
    <n v="0"/>
    <n v="0"/>
    <s v="Reserva importada do Sistema TMS. OS: 79375"/>
    <s v="Fornecedor não preenchido! (ACC01)"/>
    <s v="ARGO(TMS)"/>
    <s v="Falta de Fornecedor"/>
    <s v="Campo Fornecedor"/>
    <s v="Dados do Fornecedor"/>
    <s v="Sistêmico"/>
    <s v="GRUPO KONTIK"/>
  </r>
  <r>
    <n v="22906237"/>
    <n v="23680113"/>
    <s v="ACC01"/>
    <x v="89"/>
    <d v="2025-09-11T14:36:33"/>
    <s v="0 a 02 dias"/>
    <s v="0 a 02 dias"/>
    <s v="5K5S1Y"/>
    <s v="TMS"/>
    <s v="CARINA MELO GOUVEIA"/>
    <s v="Tms"/>
    <s v="Tms"/>
    <x v="84"/>
    <n v="80737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72"/>
    <n v="0"/>
    <n v="0"/>
    <n v="0"/>
    <n v="0"/>
    <n v="9.1"/>
    <n v="0"/>
    <s v="Reserva importada do Sistema TMS. OS: 80737"/>
    <s v="Fornecedor não preenchido! (ACC01)"/>
    <s v="ARGO(TMS)"/>
    <s v="Falta de Fornecedor"/>
    <s v="Campo Fornecedor"/>
    <s v="Dados do Fornecedor"/>
    <s v="Sistêmico"/>
    <s v="GRUPO KONTIK"/>
  </r>
  <r>
    <n v="22836322"/>
    <n v="23620986"/>
    <s v="ACC01"/>
    <x v="90"/>
    <d v="2025-09-11T13:36:21"/>
    <s v="0 a 02 dias"/>
    <s v="09 a 15 dias"/>
    <s v="5JKCTM"/>
    <s v="TMS"/>
    <s v="ALEXANDRE NOVAES"/>
    <s v="Tms"/>
    <s v="Tms"/>
    <x v="85"/>
    <n v="8338"/>
    <s v="-"/>
    <s v="ON LINE"/>
    <s v="Cartão de crédito"/>
    <s v="Cartão de crédito"/>
    <s v="Hotel"/>
    <s v="N"/>
    <s v="Grupo Mars"/>
    <s v="Mars Brasil - Mogi Mirim"/>
    <s v="-"/>
    <s v="-"/>
    <s v="-"/>
    <s v="FCM-OPE-SAO-PVI-MARS"/>
    <s v="-"/>
    <x v="73"/>
    <n v="0"/>
    <n v="0"/>
    <n v="0"/>
    <n v="0"/>
    <n v="0"/>
    <n v="0"/>
    <s v="Reserva importada do Sistema TMS. OS: 8338"/>
    <s v="Fornecedor não preenchido! (ACC01)"/>
    <s v="ARGO(TMS)"/>
    <s v="Falta de Fornecedor"/>
    <s v="Campo Fornecedor"/>
    <s v="Dados do Fornecedor"/>
    <s v="Sistêmico"/>
    <s v="GRUPO KONTIK"/>
  </r>
  <r>
    <n v="22910940"/>
    <n v="23684117"/>
    <s v="ACC01"/>
    <x v="91"/>
    <d v="2025-09-11T20:08:40"/>
    <s v="0 a 02 dias"/>
    <s v="0 a 02 dias"/>
    <s v="5K09MJ"/>
    <s v="TMS"/>
    <s v="TALITA CARAVANA"/>
    <s v="Tms"/>
    <s v="Tms"/>
    <x v="86"/>
    <n v="8610"/>
    <s v="Taubate / QHP"/>
    <s v="ON LINE"/>
    <s v="Invoice"/>
    <s v="Faturado"/>
    <s v="Carro"/>
    <s v="N"/>
    <s v="Grupo Mars"/>
    <s v="Mars Brasil - Guararema"/>
    <s v="-"/>
    <s v="-"/>
    <s v="-"/>
    <s v="FCM-OPE-SAO-PVI-MARS"/>
    <s v="-"/>
    <x v="74"/>
    <n v="0"/>
    <n v="0"/>
    <n v="0"/>
    <n v="0"/>
    <n v="0"/>
    <n v="0"/>
    <s v="Reserva importada do Sistema TMS. OS: 8610"/>
    <s v="Fornecedor não preenchido! (ACC01)"/>
    <s v="ARGO(TMS)"/>
    <s v="Falta de Fornecedor"/>
    <s v="Campo Fornecedor"/>
    <s v="Dados do Fornecedor"/>
    <s v="Qualidade dos dados"/>
    <s v="KONTIK BUSINESS TRAVEL"/>
  </r>
  <r>
    <n v="22816673"/>
    <n v="23603408"/>
    <s v="ACC01"/>
    <x v="92"/>
    <d v="2025-09-11T13:28:22"/>
    <s v="0 a 02 dias"/>
    <s v="16 a 23 dias"/>
    <s v="5IZI75"/>
    <s v="TMS"/>
    <s v="LEANDRO DOS SANTOS"/>
    <s v="Jessica Soares Teixeira"/>
    <s v="Jessica Soares Teixeira"/>
    <x v="87"/>
    <n v="78784"/>
    <s v="-"/>
    <s v="OFF LINE"/>
    <s v="Invoice"/>
    <s v="Faturado"/>
    <s v="Hotel"/>
    <s v="N"/>
    <s v="Grupo Ultra"/>
    <s v="Bahiana Distribuidora de Gas"/>
    <s v="-"/>
    <s v="-"/>
    <s v="-"/>
    <s v="KON-OPE-SAO-PVI-BTC-ARGO"/>
    <s v="-"/>
    <x v="75"/>
    <n v="0"/>
    <n v="0"/>
    <n v="0"/>
    <n v="0"/>
    <n v="0"/>
    <n v="0"/>
    <s v="Reserva importada do Sistema TMS. OS: 78784"/>
    <s v="Fornecedor não preenchido! (ACC01)"/>
    <s v="ARGO(TMS)"/>
    <s v="Falta de Fornecedor"/>
    <s v="Campo Fornecedor"/>
    <s v="Dados do Fornecedor"/>
    <s v="Qualidade dos dados"/>
    <s v="KONTIK BUSINESS TRAVEL"/>
  </r>
  <r>
    <n v="22827485"/>
    <n v="23612812"/>
    <s v="ACC01"/>
    <x v="93"/>
    <d v="2025-09-11T13:32:03"/>
    <s v="0 a 02 dias"/>
    <s v="09 a 15 dias"/>
    <s v="5I99QK"/>
    <s v="TMS"/>
    <s v="WELLINGTON E SILVA"/>
    <s v="Tamara Michels Behn"/>
    <s v="Tamara Michels Behn"/>
    <x v="88"/>
    <n v="79107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76"/>
    <n v="0"/>
    <n v="0"/>
    <n v="0"/>
    <n v="0"/>
    <n v="0"/>
    <n v="0"/>
    <s v="Reserva importada do Sistema TMS. OS: 79107"/>
    <s v="Fornecedor não preenchido! (ACC01)"/>
    <s v="ARGO(TMS)"/>
    <s v="Falta de Fornecedor"/>
    <s v="Campo Fornecedor"/>
    <s v="Dados do Fornecedor"/>
    <s v="Qualidade dos dados"/>
    <s v="KONTIK BUSINESS TRAVEL"/>
  </r>
  <r>
    <n v="22837869"/>
    <n v="23622298"/>
    <s v="ACC01"/>
    <x v="94"/>
    <d v="2025-09-02T13:15:48"/>
    <s v="09 a 15 dias"/>
    <s v="09 a 15 dias"/>
    <s v="KCNZBL"/>
    <s v="GOVER"/>
    <s v="MAIARA Dias Duarte RODRIGUES"/>
    <s v="Gover"/>
    <s v="Gover"/>
    <x v="89"/>
    <n v="4590285"/>
    <s v="SAON07 Endereço: "/>
    <s v="ON LINE"/>
    <s v="Invoice"/>
    <s v="Faturado"/>
    <s v="Carro"/>
    <s v="N"/>
    <s v="Grupo Jti"/>
    <s v="Jti Distribuidora - Sao Paulo - Vila Nova Conceicao"/>
    <s v="-"/>
    <s v="-"/>
    <s v="-"/>
    <s v="FCM-OPE-SAO-PVI-JTI"/>
    <s v="-"/>
    <x v="77"/>
    <n v="117.7"/>
    <n v="0"/>
    <n v="0"/>
    <n v="0"/>
    <n v="0"/>
    <n v="0"/>
    <s v="Reserva importada do sistema Gover. Id: 4590285"/>
    <s v="Fornecedor não preenchido! (ACC01)"/>
    <s v="GOVER"/>
    <s v="Falta de Fornecedor"/>
    <s v="Campo Fornecedor"/>
    <s v="Dados do Fornecedor"/>
    <s v="Sistêmico"/>
    <s v="GRUPO KONTIK"/>
  </r>
  <r>
    <n v="22872083"/>
    <n v="23651126"/>
    <s v="ACC01"/>
    <x v="95"/>
    <d v="2025-09-05T00:05:40"/>
    <s v="06 a 08 dias"/>
    <s v="06 a 08 dias"/>
    <s v="YWNFTH"/>
    <s v="GOVER"/>
    <s v="FELIPE LISBOA"/>
    <s v="Gover"/>
    <s v="Gover"/>
    <x v="90"/>
    <n v="4593119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8"/>
    <n v="201.48"/>
    <n v="0"/>
    <n v="0"/>
    <n v="0"/>
    <n v="0"/>
    <n v="0"/>
    <s v="Reserva importada do sistema Gover. Id: 4593119"/>
    <s v="Fornecedor não preenchido! (ACC01)"/>
    <s v="GOVER"/>
    <s v="Falta de Fornecedor"/>
    <s v="Campo Fornecedor"/>
    <s v="Dados do Fornecedor"/>
    <s v="Sistêmico"/>
    <s v="GRUPO KONTIK"/>
  </r>
  <r>
    <n v="22872084"/>
    <n v="23651127"/>
    <s v="ACC01"/>
    <x v="96"/>
    <d v="2025-09-05T00:05:41"/>
    <s v="06 a 08 dias"/>
    <s v="06 a 08 dias"/>
    <s v="YXOXFD"/>
    <s v="GOVER"/>
    <s v="LUCIANO AUGUSTO DOS SANTOS CHAVES"/>
    <s v="Gover"/>
    <s v="Gover"/>
    <x v="91"/>
    <n v="4593122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8"/>
    <n v="201.48"/>
    <n v="0"/>
    <n v="0"/>
    <n v="0"/>
    <n v="0"/>
    <n v="0"/>
    <s v="Reserva importada do sistema Gover. Id: 4593122"/>
    <s v="Fornecedor não preenchido! (ACC01)"/>
    <s v="GOVER"/>
    <s v="Falta de Fornecedor"/>
    <s v="Campo Fornecedor"/>
    <s v="Dados do Fornecedor"/>
    <s v="Sistêmico"/>
    <s v="GRUPO KONTIK"/>
  </r>
  <r>
    <n v="22879020"/>
    <n v="23657360"/>
    <s v="ACC01"/>
    <x v="97"/>
    <d v="2025-09-06T00:10:30"/>
    <s v="06 a 08 dias"/>
    <s v="06 a 08 dias"/>
    <s v="ASAYIU"/>
    <s v="GOVER"/>
    <s v="RODRIGO FURLAN"/>
    <s v="Gover"/>
    <s v="Gover"/>
    <x v="92"/>
    <n v="4593552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9"/>
    <n v="200.28"/>
    <n v="0"/>
    <n v="0"/>
    <n v="0"/>
    <n v="0"/>
    <n v="0"/>
    <s v="Reserva importada do sistema Gover. Id: 4593552"/>
    <s v="Fornecedor não preenchido! (ACC01)"/>
    <s v="GOVER"/>
    <s v="Falta de Fornecedor"/>
    <s v="Campo Fornecedor"/>
    <s v="Dados do Fornecedor"/>
    <s v="Sistêmico"/>
    <s v="GRUPO KONTIK"/>
  </r>
  <r>
    <n v="22879021"/>
    <n v="23657361"/>
    <s v="ACC01"/>
    <x v="98"/>
    <d v="2025-09-06T00:10:30"/>
    <s v="06 a 08 dias"/>
    <s v="06 a 08 dias"/>
    <s v="OBYTQL"/>
    <s v="GOVER"/>
    <s v="EDUARDO RAFFI NIGOGHOSIAN"/>
    <s v="Gover"/>
    <s v="Gover"/>
    <x v="92"/>
    <n v="4593553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9"/>
    <n v="200.28"/>
    <n v="0"/>
    <n v="0"/>
    <n v="0"/>
    <n v="0"/>
    <n v="0"/>
    <s v="Reserva importada do sistema Gover. Id: 4593553"/>
    <s v="Fornecedor não preenchido! (ACC01)"/>
    <s v="GOVER"/>
    <s v="Falta de Fornecedor"/>
    <s v="Campo Fornecedor"/>
    <s v="Dados do Fornecedor"/>
    <s v="Sistêmico"/>
    <s v="GRUPO KONTIK"/>
  </r>
  <r>
    <n v="22879022"/>
    <n v="23657362"/>
    <s v="ACC01"/>
    <x v="99"/>
    <d v="2025-09-06T00:10:31"/>
    <s v="06 a 08 dias"/>
    <s v="06 a 08 dias"/>
    <s v="EGARRC"/>
    <s v="GOVER"/>
    <s v="RODRIGO FURLAN"/>
    <s v="Gover"/>
    <s v="Gover"/>
    <x v="93"/>
    <n v="4593559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9"/>
    <n v="200.28"/>
    <n v="0"/>
    <n v="0"/>
    <n v="0"/>
    <n v="0"/>
    <n v="0"/>
    <s v="Reserva importada do sistema Gover. Id: 4593559"/>
    <s v="Fornecedor não preenchido! (ACC01)"/>
    <s v="GOVER"/>
    <s v="Falta de Fornecedor"/>
    <s v="Campo Fornecedor"/>
    <s v="Dados do Fornecedor"/>
    <s v="Sistêmico"/>
    <s v="GRUPO KONTIK"/>
  </r>
  <r>
    <n v="22848745"/>
    <n v="23630322"/>
    <s v="ACC01"/>
    <x v="100"/>
    <d v="2025-09-11T13:36:23"/>
    <s v="0 a 02 dias"/>
    <s v="09 a 15 dias"/>
    <s v="WZRBGJC"/>
    <s v="SABRE"/>
    <s v="SILVA PONTIN/PAULO JOSE"/>
    <s v="WS"/>
    <s v="WS"/>
    <x v="94"/>
    <s v="WZRBGJ"/>
    <s v="CUN"/>
    <s v="ON LINE"/>
    <s v="Invoice"/>
    <s v="Faturado"/>
    <s v="Carro"/>
    <s v="N"/>
    <s v="Grupo Verizon"/>
    <s v="Verizon Telecomunicacoes do Brasil Ltda"/>
    <s v="Cliente FEE no POS"/>
    <s v="-"/>
    <s v="-"/>
    <s v="FCM-OPE-SAO-PVI-BTC-CONCUR"/>
    <s v="-"/>
    <x v="80"/>
    <n v="14.67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896560"/>
    <n v="23671489"/>
    <s v="ACC01"/>
    <x v="101"/>
    <d v="2025-09-10T22:37:28"/>
    <s v="0 a 02 dias"/>
    <s v="03 a 05 dias"/>
    <n v="19921908"/>
    <s v="GOVER"/>
    <s v="Luiz Renato Costa Filho"/>
    <s v="Gover"/>
    <s v="Gover"/>
    <x v="95"/>
    <n v="4594848"/>
    <s v="-"/>
    <s v="ON LINE"/>
    <s v="Cartão de crédito"/>
    <s v="Cartão de crédito"/>
    <s v="Hotel"/>
    <s v="N"/>
    <s v="Grupo Samsung"/>
    <s v="Samsung Eletronica da Amazonia"/>
    <s v="-"/>
    <s v="-"/>
    <s v="-"/>
    <s v="KON-OPE-SAO-PVI-SAMSUNG"/>
    <s v="-"/>
    <x v="81"/>
    <n v="118.28"/>
    <n v="0"/>
    <n v="0"/>
    <n v="0"/>
    <n v="0"/>
    <n v="0"/>
    <s v="Reserva importada do sistema Gover. Id: 4594848"/>
    <s v="Fornecedor não preenchido! (ACC01)"/>
    <s v="GOVER"/>
    <s v="Falta de Fornecedor"/>
    <s v="Campo Fornecedor"/>
    <s v="Dados do Fornecedor"/>
    <s v="Sistêmico"/>
    <s v="GRUPO KONTIK"/>
  </r>
  <r>
    <n v="22901730"/>
    <n v="23675885"/>
    <s v="ACC01"/>
    <x v="102"/>
    <d v="2025-09-11T22:32:07"/>
    <s v="0 a 02 dias"/>
    <s v="0 a 02 dias"/>
    <n v="19923421"/>
    <s v="GOVER"/>
    <s v="Jackson Pereira da Silva"/>
    <s v="Gover"/>
    <s v="Gover"/>
    <x v="63"/>
    <n v="4594891"/>
    <s v="-"/>
    <s v="ON LINE"/>
    <s v="Cartão de crédito"/>
    <s v="Cartão de crédito"/>
    <s v="Hotel"/>
    <s v="N"/>
    <s v="Grupo Samsung"/>
    <s v="Samsung Eletronica da Amazonia"/>
    <s v="-"/>
    <s v="-"/>
    <s v="-"/>
    <s v="KON-OPE-SAO-PVI-SAMSUNG"/>
    <s v="-"/>
    <x v="82"/>
    <n v="59.14"/>
    <n v="0"/>
    <n v="0"/>
    <n v="0"/>
    <n v="0"/>
    <n v="0"/>
    <s v="Reserva importada do sistema Gover. Id: 4594891"/>
    <s v="Fornecedor não preenchido! (ACC01)"/>
    <s v="GOVER"/>
    <s v="Falta de Fornecedor"/>
    <s v="Campo Fornecedor"/>
    <s v="Dados do Fornecedor"/>
    <s v="Sistêmico"/>
    <s v="GRUPO KONTIK"/>
  </r>
  <r>
    <n v="22809805"/>
    <n v="23597334"/>
    <s v="ACC01"/>
    <x v="103"/>
    <d v="2025-09-11T13:27:28"/>
    <s v="0 a 02 dias"/>
    <s v="16 a 23 dias"/>
    <s v="5II8Z4"/>
    <s v="TMS"/>
    <s v="HADSON SANTOS"/>
    <s v="Tms"/>
    <s v="Tms"/>
    <x v="96"/>
    <n v="78683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83"/>
    <n v="0"/>
    <n v="0"/>
    <n v="0"/>
    <n v="0"/>
    <n v="0"/>
    <n v="0"/>
    <s v="Reserva importada do Sistema TMS. OS: 78683"/>
    <s v="Fornecedor não preenchido! (ACC01)"/>
    <s v="ARGO(TMS)"/>
    <s v="Falta de Fornecedor"/>
    <s v="Campo Fornecedor"/>
    <s v="Dados do Fornecedor"/>
    <s v="Sistêmico"/>
    <s v="GRUPO KONTIK"/>
  </r>
  <r>
    <n v="22905088"/>
    <n v="23679060"/>
    <s v="ACC01"/>
    <x v="104"/>
    <d v="2025-09-11T13:42:18"/>
    <s v="0 a 02 dias"/>
    <s v="0 a 02 dias"/>
    <s v="YKFNODT"/>
    <s v="SABRE"/>
    <s v="ITUASSU/ANDRE LUIS MOURA MR"/>
    <s v="Renata Rosenthal dos Santos"/>
    <s v="Renata Rosenthal dos Santos"/>
    <x v="97"/>
    <s v="YKFNOD"/>
    <s v="-"/>
    <s v="OFF LINE"/>
    <s v="Cartão de crédito"/>
    <s v="Cartão de crédito"/>
    <s v="Hotel"/>
    <s v="N"/>
    <s v="Grupo Ihs"/>
    <s v="I - Systems"/>
    <s v="-"/>
    <s v="-"/>
    <s v="-"/>
    <s v="FCM-OPE-SAO-PVI-BTC-CONCUR"/>
    <s v="-"/>
    <x v="84"/>
    <n v="164.4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160"/>
    <n v="23679129"/>
    <s v="ACC01"/>
    <x v="105"/>
    <d v="2025-09-11T13:42:19"/>
    <s v="0 a 02 dias"/>
    <s v="0 a 02 dias"/>
    <s v="NYDGMOT"/>
    <s v="SABRE"/>
    <s v="ALMEIDA/RACHEL FERRARI MS"/>
    <s v="Renata Rosenthal dos Santos"/>
    <s v="Renata Rosenthal dos Santos"/>
    <x v="98"/>
    <s v="NYDGMO"/>
    <s v="-"/>
    <s v="OFF LINE"/>
    <s v="Invoice"/>
    <s v="Faturado"/>
    <s v="Hotel"/>
    <s v="N"/>
    <s v="Grupo Ihs"/>
    <s v="Ihs Brasil Cessao de Infraestruturas S a"/>
    <s v="-"/>
    <s v="-"/>
    <s v="-"/>
    <s v="FCM-OPE-SAO-PVI-BTC-CONCUR"/>
    <s v="-"/>
    <x v="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4982"/>
    <n v="23678959"/>
    <s v="ACC01"/>
    <x v="106"/>
    <d v="2025-09-11T13:36:30"/>
    <s v="0 a 02 dias"/>
    <s v="0 a 02 dias"/>
    <s v="MGRJUDT"/>
    <s v="SABRE"/>
    <s v="TEBERGA/RENATO BEDAQUE MR"/>
    <s v="CT"/>
    <s v="CT"/>
    <x v="99"/>
    <s v="MGRJUD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260"/>
    <n v="23682459"/>
    <s v="ACC01"/>
    <x v="107"/>
    <d v="2025-09-11T15:10:16"/>
    <s v="0 a 02 dias"/>
    <s v="0 a 02 dias"/>
    <s v="SZDSUTT"/>
    <s v="SABRE"/>
    <s v="CONESSA/DANIEL KAPOR MR"/>
    <s v="CT"/>
    <s v="CT"/>
    <x v="100"/>
    <s v="183952124-23088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260"/>
    <n v="23682460"/>
    <s v="ACC02"/>
    <x v="107"/>
    <d v="2025-09-11T15:10:16"/>
    <s v="0 a 02 dias"/>
    <s v="0 a 02 dias"/>
    <s v="SZDSUTT"/>
    <s v="SABRE"/>
    <s v="CONESSA/DANIEL KAPOR MR"/>
    <s v="CT"/>
    <s v="CT"/>
    <x v="100"/>
    <s v="183952124-23088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260"/>
    <n v="23682461"/>
    <s v="ACC03"/>
    <x v="107"/>
    <d v="2025-09-11T15:10:16"/>
    <s v="0 a 02 dias"/>
    <s v="0 a 02 dias"/>
    <s v="SZDSUTT"/>
    <s v="SABRE"/>
    <s v="CONESSA/DANIEL KAPOR MR"/>
    <s v="CT"/>
    <s v="CT"/>
    <x v="100"/>
    <s v="183952124-23088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260"/>
    <n v="23682463"/>
    <s v="ACC04"/>
    <x v="107"/>
    <d v="2025-09-11T15:10:16"/>
    <s v="0 a 02 dias"/>
    <s v="0 a 02 dias"/>
    <s v="SZDSUTT"/>
    <s v="SABRE"/>
    <s v="CONESSA/DANIEL KAPOR MR"/>
    <s v="CT"/>
    <s v="CT"/>
    <x v="100"/>
    <s v="183952124-23088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11941"/>
    <n v="23685025"/>
    <s v="ACC01"/>
    <x v="108"/>
    <d v="2025-09-12T06:54:21"/>
    <s v="0 a 02 dias"/>
    <s v="0 a 02 dias"/>
    <s v="ICDHNUT"/>
    <s v="SABRE"/>
    <s v="CARVALHO/LARISSA LOZANO TEIXEIRA DE MISS"/>
    <s v="CT"/>
    <s v="CT"/>
    <x v="101"/>
    <s v="ICDHNU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89"/>
    <n v="2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13663"/>
    <n v="23686254"/>
    <s v="ACC01"/>
    <x v="109"/>
    <d v="2025-09-12T06:56:33"/>
    <s v="0 a 02 dias"/>
    <s v="0 a 02 dias"/>
    <s v="DIOJXVC"/>
    <s v="SABRE"/>
    <s v="POLIZEL DO NASCIMENTO/JULIANA MRS"/>
    <s v="CT"/>
    <s v="CT"/>
    <x v="102"/>
    <s v="DIOJXV"/>
    <s v="JFK"/>
    <s v="ON LINE"/>
    <s v="Invoice"/>
    <s v="Faturado"/>
    <s v="Carro"/>
    <s v="N"/>
    <s v="Grupo Basf"/>
    <s v="Basf Sa"/>
    <s v="-"/>
    <s v="-"/>
    <s v="-"/>
    <s v="FCM-OPE-SAO-PVI-BASF"/>
    <s v="-"/>
    <x v="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3664"/>
    <n v="23686255"/>
    <s v="ACC01"/>
    <x v="110"/>
    <d v="2025-09-12T06:56:33"/>
    <s v="0 a 02 dias"/>
    <s v="0 a 02 dias"/>
    <s v="IGBHCCT"/>
    <s v="SABRE"/>
    <s v="FURLAN/MARIA STELLA MRS"/>
    <s v="CT"/>
    <s v="CT"/>
    <x v="103"/>
    <s v="184003690-51348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9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68261"/>
    <n v="23647337"/>
    <s v="ACC01"/>
    <x v="111"/>
    <d v="2025-09-11T13:36:26"/>
    <s v="0 a 02 dias"/>
    <s v="06 a 08 dias"/>
    <s v="FHOEMVT"/>
    <s v="SABRE"/>
    <s v="SABINO OLIVEIRA/LUIS FERNANDO LEITE MR"/>
    <s v="CT"/>
    <s v="CT"/>
    <x v="104"/>
    <s v="183808190-65014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9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68263"/>
    <n v="23647339"/>
    <s v="ACC01"/>
    <x v="112"/>
    <d v="2025-09-11T13:36:28"/>
    <s v="0 a 02 dias"/>
    <s v="06 a 08 dias"/>
    <s v="OXVJBMT"/>
    <s v="SABRE"/>
    <s v="TAVARES DEMARQUI/VINICIUS MR"/>
    <s v="CT"/>
    <s v="CT"/>
    <x v="105"/>
    <s v="183776782-52791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9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68011"/>
    <n v="23647091"/>
    <s v="ACC01"/>
    <x v="113"/>
    <d v="2025-09-11T13:36:24"/>
    <s v="0 a 02 dias"/>
    <s v="06 a 08 dias"/>
    <s v="NYVIAXT"/>
    <s v="SABRE"/>
    <s v="CRISTOFOLI PEREIRA/ISADORA MISS"/>
    <s v="CT"/>
    <s v="CT"/>
    <x v="106"/>
    <s v="NYVIAX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94"/>
    <n v="5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300"/>
    <n v="23682507"/>
    <s v="ACC01"/>
    <x v="114"/>
    <d v="2025-09-11T15:13:25"/>
    <s v="0 a 02 dias"/>
    <s v="0 a 02 dias"/>
    <s v="UGTNOKT"/>
    <s v="SABRE"/>
    <s v="CALDAS/NILSON DIAS MR"/>
    <s v="Felipe Anderson da Silva"/>
    <s v="Felipe Anderson da Silva"/>
    <x v="107"/>
    <s v="BA100925105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319"/>
    <n v="23682521"/>
    <s v="ACC01"/>
    <x v="115"/>
    <d v="2025-09-11T15:14:05"/>
    <s v="0 a 02 dias"/>
    <s v="0 a 02 dias"/>
    <s v="NWREPNC"/>
    <s v="SABRE"/>
    <s v="MENDES MACHADO/NATALIA MRS"/>
    <s v="Felipe Anderson da Silva"/>
    <s v="Felipe Anderson da Silva"/>
    <x v="108"/>
    <s v="BA1009251509"/>
    <s v="SAO"/>
    <s v="OFF LINE"/>
    <s v="Invoice"/>
    <s v="Faturado"/>
    <s v="Carro"/>
    <s v="N"/>
    <s v="Grupo Basf"/>
    <s v="Basf Sa"/>
    <s v="-"/>
    <s v="-"/>
    <s v="-"/>
    <s v="FCM-OPE-SAO-PVI-BASF"/>
    <s v="-"/>
    <x v="96"/>
    <n v="103.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3658"/>
    <n v="23686248"/>
    <s v="ACC01"/>
    <x v="116"/>
    <d v="2025-09-12T06:56:22"/>
    <s v="0 a 02 dias"/>
    <s v="0 a 02 dias"/>
    <s v="IEMCHIC"/>
    <s v="SABRE"/>
    <s v="RIEKES/AUGUSTO MEDEIROS  MR"/>
    <s v="Felipe Anderson da Silva"/>
    <s v="Felipe Anderson da Silva"/>
    <x v="109"/>
    <s v="BA1109250948"/>
    <s v="SJK"/>
    <s v="OFF LINE"/>
    <s v="Invoice"/>
    <s v="Faturado"/>
    <s v="Carro"/>
    <s v="N"/>
    <s v="Grupo Basf"/>
    <s v="Basf Sa"/>
    <s v="-"/>
    <s v="-"/>
    <s v="-"/>
    <s v="FCM-OPE-SAO-PVI-BASF"/>
    <s v="-"/>
    <x v="97"/>
    <n v="288.47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35322"/>
    <n v="23620016"/>
    <s v="ACC01"/>
    <x v="117"/>
    <d v="2025-09-11T13:36:17"/>
    <s v="0 a 02 dias"/>
    <s v="09 a 15 dias"/>
    <s v="YXQXFET"/>
    <s v="SABRE"/>
    <s v="CRISTOFOLI PEREIRA/ISADORA MISS"/>
    <s v="CT"/>
    <s v="CT"/>
    <x v="110"/>
    <s v="YXQXFE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98"/>
    <n v="35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46340"/>
    <n v="23627905"/>
    <s v="ACC01"/>
    <x v="118"/>
    <d v="2025-09-11T13:36:19"/>
    <s v="0 a 02 dias"/>
    <s v="09 a 15 dias"/>
    <s v="WKCLDWT"/>
    <s v="SABRE"/>
    <s v="DE LA CRUZ EPIGMENIO/SALVADOR MR"/>
    <s v="CT"/>
    <s v="CT"/>
    <x v="111"/>
    <s v="WKCLDW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99"/>
    <n v="16.0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46340"/>
    <n v="23627906"/>
    <s v="ACC02"/>
    <x v="118"/>
    <d v="2025-09-11T13:36:19"/>
    <s v="0 a 02 dias"/>
    <s v="09 a 15 dias"/>
    <s v="WKCLDWT"/>
    <s v="SABRE"/>
    <s v="DE LA CRUZ EPIGMENIO/SALVADOR MR"/>
    <s v="CT"/>
    <s v="CT"/>
    <x v="111"/>
    <s v="WKCLDW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00"/>
    <n v="10.1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46340"/>
    <n v="23627907"/>
    <s v="ACC03"/>
    <x v="118"/>
    <d v="2025-09-11T13:36:19"/>
    <s v="0 a 02 dias"/>
    <s v="09 a 15 dias"/>
    <s v="WKCLDWT"/>
    <s v="SABRE"/>
    <s v="DE LA CRUZ EPIGMENIO/SALVADOR MR"/>
    <s v="CT"/>
    <s v="CT"/>
    <x v="111"/>
    <s v="WKCLDW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01"/>
    <n v="17.0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33086"/>
    <n v="23617877"/>
    <s v="ACC01"/>
    <x v="119"/>
    <d v="2025-09-11T13:36:16"/>
    <s v="0 a 02 dias"/>
    <s v="09 a 15 dias"/>
    <s v="FZHDGST"/>
    <s v="SABRE"/>
    <s v="CARDOSO CALLEGARI/CAROLINE MISS"/>
    <s v="CT"/>
    <s v="CT"/>
    <x v="112"/>
    <s v="FZHDGS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0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48723"/>
    <n v="23630302"/>
    <s v="ACC01"/>
    <x v="120"/>
    <d v="2025-09-11T13:36:23"/>
    <s v="0 a 02 dias"/>
    <s v="09 a 15 dias"/>
    <s v="JAWQKUT"/>
    <s v="SABRE"/>
    <s v="DIAS/RENATA MARTINS MRS"/>
    <s v="CT"/>
    <s v="CT"/>
    <x v="113"/>
    <s v="JAWQKU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0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61747"/>
    <n v="23641683"/>
    <s v="ACC01"/>
    <x v="121"/>
    <d v="2025-09-11T13:36:23"/>
    <s v="0 a 02 dias"/>
    <s v="09 a 15 dias"/>
    <s v="DLPYWDC"/>
    <s v="SABRE"/>
    <s v="LOCATELLI/ANA CAROLINA MRS"/>
    <s v="CT"/>
    <s v="CT"/>
    <x v="114"/>
    <s v="DLPYWD"/>
    <s v="FRA"/>
    <s v="ON LINE"/>
    <s v="Invoice"/>
    <s v="Faturado"/>
    <s v="Carro"/>
    <s v="N"/>
    <s v="Grupo Basf"/>
    <s v="Basf Sa"/>
    <s v="-"/>
    <s v="-"/>
    <s v="-"/>
    <s v="FCM-OPE-SAO-PVI-BASF"/>
    <s v="-"/>
    <x v="104"/>
    <n v="112.1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47036"/>
    <n v="23628591"/>
    <s v="ACC01"/>
    <x v="122"/>
    <d v="2025-09-11T13:36:20"/>
    <s v="0 a 02 dias"/>
    <s v="09 a 15 dias"/>
    <s v="WZRDOVT"/>
    <s v="SABRE"/>
    <s v="PINHEIRO ROCHA/DAVI MR"/>
    <s v="CT"/>
    <s v="CT"/>
    <x v="115"/>
    <s v="183727480-26492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0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268"/>
    <n v="23682471"/>
    <s v="ACC02"/>
    <x v="123"/>
    <d v="2025-09-11T15:10:43"/>
    <s v="0 a 02 dias"/>
    <s v="0 a 02 dias"/>
    <s v="GKSNPUT"/>
    <s v="SABRE"/>
    <s v="ISMAEL/MARCELO MANIERO MR"/>
    <s v="Marcelo de Freitas"/>
    <s v="Marcelo de Freitas"/>
    <x v="116"/>
    <s v="BA090925095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0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868179"/>
    <n v="23647255"/>
    <s v="ACC01"/>
    <x v="124"/>
    <d v="2025-09-11T13:36:25"/>
    <s v="0 a 02 dias"/>
    <s v="06 a 08 dias"/>
    <s v="AMYQKDT"/>
    <s v="SABRE"/>
    <s v="KIRCHNER/CASSIO LUIZ MR"/>
    <s v="Marcelo de Freitas"/>
    <s v="Marcelo de Freitas"/>
    <x v="117"/>
    <s v="BA0309251616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0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916"/>
    <n v="23646993"/>
    <s v="ACC01"/>
    <x v="125"/>
    <d v="2025-09-11T13:36:24"/>
    <s v="0 a 02 dias"/>
    <s v="06 a 08 dias"/>
    <s v="WQPIHVT"/>
    <s v="SABRE"/>
    <s v="ISMAEL/MARCELO MANIERO MR"/>
    <s v="Marcelo de Freitas"/>
    <s v="Marcelo de Freitas"/>
    <x v="118"/>
    <s v="BA0808250955"/>
    <s v="-"/>
    <s v="OFF LINE"/>
    <s v="Invoice"/>
    <s v="Faturado"/>
    <s v="Hotel"/>
    <s v="N"/>
    <s v="Grupo Basf"/>
    <s v="Basf Sa"/>
    <s v="-"/>
    <s v="-"/>
    <s v="-"/>
    <s v="FCM-OPE-SAO-PVI-BASF"/>
    <s v="-"/>
    <x v="108"/>
    <n v="19.6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916"/>
    <n v="23646995"/>
    <s v="ACC02"/>
    <x v="125"/>
    <d v="2025-09-11T13:36:24"/>
    <s v="0 a 02 dias"/>
    <s v="06 a 08 dias"/>
    <s v="WQPIHVT"/>
    <s v="SABRE"/>
    <s v="ISMAEL/MARCELO MANIERO MR"/>
    <s v="Marcelo de Freitas"/>
    <s v="Marcelo de Freitas"/>
    <x v="118"/>
    <s v="BA0808250955"/>
    <s v="-"/>
    <s v="OFF LINE"/>
    <s v="Invoice"/>
    <s v="Faturado"/>
    <s v="Hotel"/>
    <s v="N"/>
    <s v="Grupo Basf"/>
    <s v="Basf Sa"/>
    <s v="-"/>
    <s v="-"/>
    <s v="-"/>
    <s v="FCM-OPE-SAO-PVI-BASF"/>
    <s v="-"/>
    <x v="109"/>
    <n v="10.6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916"/>
    <n v="23646996"/>
    <s v="ACC03"/>
    <x v="125"/>
    <d v="2025-09-11T13:36:24"/>
    <s v="0 a 02 dias"/>
    <s v="06 a 08 dias"/>
    <s v="WQPIHVT"/>
    <s v="SABRE"/>
    <s v="ISMAEL/MARCELO MANIERO MR"/>
    <s v="Marcelo de Freitas"/>
    <s v="Marcelo de Freitas"/>
    <x v="118"/>
    <s v="BA0808250955"/>
    <s v="-"/>
    <s v="OFF LINE"/>
    <s v="Invoice"/>
    <s v="Faturado"/>
    <s v="Hotel"/>
    <s v="N"/>
    <s v="Grupo Basf"/>
    <s v="Basf Sa"/>
    <s v="-"/>
    <s v="-"/>
    <s v="-"/>
    <s v="FCM-OPE-SAO-PVI-BASF"/>
    <s v="-"/>
    <x v="110"/>
    <n v="20.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48692"/>
    <n v="23630272"/>
    <s v="ACC03"/>
    <x v="126"/>
    <d v="2025-09-11T13:36:21"/>
    <s v="0 a 02 dias"/>
    <s v="09 a 15 dias"/>
    <s v="LSFUAVT"/>
    <s v="SABRE"/>
    <s v="ZANON/RENATA BOCCI MISS"/>
    <s v="CT"/>
    <s v="CT"/>
    <x v="119"/>
    <s v="183733836-7658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11"/>
    <n v="16.809999999999999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2909323"/>
    <n v="23682527"/>
    <s v="ACC01"/>
    <x v="127"/>
    <d v="2025-09-11T15:19:14"/>
    <s v="0 a 02 dias"/>
    <s v="0 a 02 dias"/>
    <s v="HDOAGQC"/>
    <s v="SABRE"/>
    <s v="LIMA/SABRINA MISS"/>
    <s v="Marcelo Pereira de Melo"/>
    <s v="Marcelo Pereira de Melo"/>
    <x v="120"/>
    <s v="BA10092025"/>
    <s v="SAO"/>
    <s v="OFF LINE"/>
    <s v="Invoice"/>
    <s v="Faturado"/>
    <s v="Carro"/>
    <s v="N"/>
    <s v="Grupo Basf"/>
    <s v="Basf Sa"/>
    <s v="-"/>
    <s v="-"/>
    <s v="-"/>
    <s v="FCM-OPE-SAO-PVI-BASF"/>
    <s v="-"/>
    <x v="112"/>
    <n v="107.7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3636"/>
    <n v="23686225"/>
    <s v="ACC01"/>
    <x v="128"/>
    <d v="2025-09-12T06:48:36"/>
    <s v="0 a 02 dias"/>
    <s v="0 a 02 dias"/>
    <s v="JPNYLBT"/>
    <s v="SABRE"/>
    <s v="ELIAS ASCAR/DANIELA MRS"/>
    <s v="Marcelo de Freitas"/>
    <s v="Marcelo de Freitas"/>
    <x v="121"/>
    <s v="BA2508251024"/>
    <s v="-"/>
    <s v="OFF LINE"/>
    <s v="Invoice"/>
    <s v="Faturado"/>
    <s v="Hotel"/>
    <s v="N"/>
    <s v="Grupo Basf"/>
    <s v="Basf Sa"/>
    <s v="-"/>
    <s v="-"/>
    <s v="-"/>
    <s v="FCM-OPE-SAO-PVI-BASF"/>
    <s v="-"/>
    <x v="11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3636"/>
    <n v="23686226"/>
    <s v="ACC02"/>
    <x v="128"/>
    <d v="2025-09-12T06:48:36"/>
    <s v="0 a 02 dias"/>
    <s v="0 a 02 dias"/>
    <s v="JPNYLBT"/>
    <s v="SABRE"/>
    <s v="ELIAS ASCAR/DANIELA MRS"/>
    <s v="Marcelo de Freitas"/>
    <s v="Marcelo de Freitas"/>
    <x v="121"/>
    <s v="BA2508251024"/>
    <s v="-"/>
    <s v="OFF LINE"/>
    <s v="Invoice"/>
    <s v="Faturado"/>
    <s v="Hotel"/>
    <s v="N"/>
    <s v="Grupo Basf"/>
    <s v="Basf Sa"/>
    <s v="-"/>
    <s v="-"/>
    <s v="-"/>
    <s v="FCM-OPE-SAO-PVI-BASF"/>
    <s v="-"/>
    <x v="11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3640"/>
    <n v="23686230"/>
    <s v="ACC01"/>
    <x v="129"/>
    <d v="2025-09-12T06:48:41"/>
    <s v="0 a 02 dias"/>
    <s v="0 a 02 dias"/>
    <s v="APLNKVT"/>
    <s v="SABRE"/>
    <s v="SCHREINER DE OLIVEIRA/FELIPE MR"/>
    <s v="Renata Godoy Sant Anna"/>
    <s v="Renata Godoy Sant Anna"/>
    <x v="122"/>
    <s v="BA1009251746"/>
    <s v="-"/>
    <s v="OFF LINE"/>
    <s v="Invoice"/>
    <s v="Faturado"/>
    <s v="Hotel"/>
    <s v="N"/>
    <s v="Grupo Basf"/>
    <s v="Basf Sa"/>
    <s v="-"/>
    <s v="-"/>
    <s v="-"/>
    <s v="FCM-OPE-SAO-PVI-BASF"/>
    <s v="-"/>
    <x v="1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3643"/>
    <n v="23686233"/>
    <s v="ACC01"/>
    <x v="130"/>
    <d v="2025-09-12T06:54:40"/>
    <s v="0 a 02 dias"/>
    <s v="0 a 02 dias"/>
    <s v="GNYYWBT"/>
    <s v="SABRE"/>
    <s v="DA SILVA/WAGNER ANTUNES MR"/>
    <s v="Renata Godoy Sant Anna"/>
    <s v="Renata Godoy Sant Anna"/>
    <x v="123"/>
    <s v="GNYYWB"/>
    <s v="-"/>
    <s v="ON LINE"/>
    <s v="Cartão de crédito"/>
    <s v="Cartão de crédito"/>
    <s v="Hotel"/>
    <s v="N"/>
    <s v="Grupo Basf"/>
    <s v="Basf Sa"/>
    <s v="-"/>
    <s v="-"/>
    <s v="-"/>
    <s v="FCM-OPE-SAO-PVI-BASF"/>
    <s v="-"/>
    <x v="1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4971"/>
    <n v="23678948"/>
    <s v="ACC01"/>
    <x v="131"/>
    <d v="2025-09-11T13:36:29"/>
    <s v="0 a 02 dias"/>
    <s v="0 a 02 dias"/>
    <s v="EAKTSHC"/>
    <s v="SABRE"/>
    <s v="GABRIEL/FABIO HENRIQUE PEIXOTO MR"/>
    <s v="Felipe Anderson da Silva"/>
    <s v="Felipe Anderson da Silva"/>
    <x v="124"/>
    <s v="BA0809251342"/>
    <s v="HAJ"/>
    <s v="OFF LINE"/>
    <s v="Invoice"/>
    <s v="Faturado"/>
    <s v="Carro"/>
    <s v="N"/>
    <s v="Grupo Basf"/>
    <s v="Basf Catalisadores"/>
    <s v="-"/>
    <s v="-"/>
    <s v="-"/>
    <s v="FCM-OPE-SAO-PVI-BASF"/>
    <s v="-"/>
    <x v="116"/>
    <n v="1150.4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4988"/>
    <n v="23678966"/>
    <s v="ACC01"/>
    <x v="132"/>
    <d v="2025-09-11T13:42:14"/>
    <s v="0 a 02 dias"/>
    <s v="0 a 02 dias"/>
    <s v="KEGOJBT"/>
    <s v="SABRE"/>
    <s v="CORREIA/DEISE CRISTIANE BARRETO MRS"/>
    <s v="Felipe Anderson da Silva"/>
    <s v="Felipe Anderson da Silva"/>
    <x v="125"/>
    <s v="BA0809251513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1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4990"/>
    <n v="23678968"/>
    <s v="ACC01"/>
    <x v="133"/>
    <d v="2025-09-11T13:42:17"/>
    <s v="0 a 02 dias"/>
    <s v="0 a 02 dias"/>
    <s v="JUZDABT"/>
    <s v="SABRE"/>
    <s v="TERENTIN DE MISQUITA/HARON MR"/>
    <s v="Felipe Anderson da Silva"/>
    <s v="Felipe Anderson da Silva"/>
    <x v="126"/>
    <s v="BA0809251518"/>
    <s v="-"/>
    <s v="OFF LINE"/>
    <s v="Invoice"/>
    <s v="Faturado"/>
    <s v="Hotel"/>
    <s v="N"/>
    <s v="Grupo Basf"/>
    <s v="Suvinil"/>
    <s v="-"/>
    <s v="-"/>
    <s v="-"/>
    <s v="FCM-OPE-SAO-PVI-BASF"/>
    <s v="-"/>
    <x v="1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48704"/>
    <n v="23630282"/>
    <s v="ACC01"/>
    <x v="134"/>
    <d v="2025-09-11T13:36:22"/>
    <s v="0 a 02 dias"/>
    <s v="09 a 15 dias"/>
    <s v="YGAZUIT"/>
    <s v="SABRE"/>
    <s v="RODRIGUES/MARIANA RIBEIRO MRS"/>
    <s v="CT"/>
    <s v="CT"/>
    <x v="127"/>
    <s v="183740115-54480"/>
    <s v="-"/>
    <s v="ON LINE"/>
    <s v="Pagamento direto"/>
    <s v="Pagamento direto"/>
    <s v="Hotel"/>
    <s v="N"/>
    <s v="Grupo Basf"/>
    <s v="Suvinil"/>
    <s v="-"/>
    <s v="-"/>
    <s v="-"/>
    <s v="FCM-OPE-SAO-PVI-BASF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48706"/>
    <n v="23630285"/>
    <s v="ACC01"/>
    <x v="135"/>
    <d v="2025-09-11T13:36:22"/>
    <s v="0 a 02 dias"/>
    <s v="09 a 15 dias"/>
    <s v="JCDGIJT"/>
    <s v="SABRE"/>
    <s v="LOURENCO/NATALIA INACIO MISS"/>
    <s v="CT"/>
    <s v="CT"/>
    <x v="128"/>
    <s v="183740146-19246"/>
    <s v="-"/>
    <s v="ON LINE"/>
    <s v="Pagamento direto"/>
    <s v="Pagamento direto"/>
    <s v="Hotel"/>
    <s v="N"/>
    <s v="Grupo Basf"/>
    <s v="Suvinil"/>
    <s v="-"/>
    <s v="-"/>
    <s v="-"/>
    <s v="FCM-OPE-SAO-PVI-BASF"/>
    <s v="-"/>
    <x v="1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27600"/>
    <n v="23612939"/>
    <s v="ACC01"/>
    <x v="136"/>
    <d v="2025-09-11T13:36:15"/>
    <s v="0 a 02 dias"/>
    <s v="09 a 15 dias"/>
    <s v="UEGYQVT"/>
    <s v="SABRE"/>
    <s v="GOVEIA BATISTA SILVA/VICTOR MR"/>
    <s v="CT"/>
    <s v="CT"/>
    <x v="129"/>
    <s v="UEGYQV"/>
    <s v="-"/>
    <s v="ON LINE"/>
    <s v="Pagamento direto"/>
    <s v="Pagamento direto"/>
    <s v="Hotel"/>
    <s v="N"/>
    <s v="Grupo Basf"/>
    <s v="Suvinil"/>
    <s v="-"/>
    <s v="-"/>
    <s v="-"/>
    <s v="FCM-OPE-SAO-PVI-BASF"/>
    <s v="-"/>
    <x v="1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27693"/>
    <n v="23613029"/>
    <s v="ACC01"/>
    <x v="137"/>
    <d v="2025-09-11T13:36:16"/>
    <s v="0 a 02 dias"/>
    <s v="09 a 15 dias"/>
    <s v="GGOMHBT"/>
    <s v="SABRE"/>
    <s v="LUCIANO/LUCIANO LANCONI MR"/>
    <s v="CT"/>
    <s v="CT"/>
    <x v="130"/>
    <s v="183666081-40839"/>
    <s v="-"/>
    <s v="ON LINE"/>
    <s v="Pagamento direto"/>
    <s v="Pagamento direto"/>
    <s v="Hotel"/>
    <s v="N"/>
    <s v="Grupo Basf"/>
    <s v="Suvinil"/>
    <s v="-"/>
    <s v="-"/>
    <s v="-"/>
    <s v="FCM-OPE-SAO-PVI-BASF"/>
    <s v="-"/>
    <x v="1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9286"/>
    <n v="23682492"/>
    <s v="ACC01"/>
    <x v="138"/>
    <d v="2025-09-11T15:19:13"/>
    <s v="0 a 02 dias"/>
    <s v="0 a 02 dias"/>
    <s v="FHMPFUT"/>
    <s v="SABRE"/>
    <s v="SANTOS DE MORAIS/YASMIN"/>
    <s v="Marcelo Pereira de Melo"/>
    <s v="Marcelo Pereira de Melo"/>
    <x v="131"/>
    <s v="BA09092025"/>
    <s v="-"/>
    <s v="OFF LINE"/>
    <s v="Invoice"/>
    <s v="Faturado"/>
    <s v="Hotel"/>
    <s v="N"/>
    <s v="Grupo Basf"/>
    <s v="Suvinil"/>
    <s v="-"/>
    <s v="-"/>
    <s v="-"/>
    <s v="FCM-OPE-SAO-PVI-BASF"/>
    <s v="-"/>
    <x v="1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59874"/>
    <n v="23639913"/>
    <s v="ACC01"/>
    <x v="139"/>
    <d v="2025-09-03T09:20:43"/>
    <s v="09 a 15 dias"/>
    <s v="09 a 15 dias"/>
    <n v="19823673"/>
    <s v="GOVER"/>
    <s v="Lia Soares"/>
    <s v="Gover"/>
    <s v="Gover"/>
    <x v="132"/>
    <n v="4591443"/>
    <s v="-"/>
    <s v="ON LINE"/>
    <s v="Cartão de crédito"/>
    <s v="Cartão de crédito"/>
    <s v="Hotel"/>
    <s v="N"/>
    <s v="Grupo Atlas Copco"/>
    <s v="Chicago Pneumatic Brasil Ltda - Matriz"/>
    <s v="-"/>
    <s v="-"/>
    <s v="-"/>
    <s v="FCM-OPE-SAO-PVI-BTC"/>
    <s v="-"/>
    <x v="122"/>
    <n v="63.68"/>
    <n v="0"/>
    <n v="0"/>
    <n v="0"/>
    <n v="0"/>
    <n v="0"/>
    <s v="Reserva importada do sistema Gover. Id: 4591443"/>
    <s v="Fornecedor não preenchido! (ACC01)"/>
    <s v="GOVER"/>
    <s v="Falta de Fornecedor"/>
    <s v="Campo Fornecedor"/>
    <s v="Dados do Fornecedor"/>
    <s v="Sistêmico"/>
    <s v="GRUPO KONTIK"/>
  </r>
  <r>
    <n v="22905429"/>
    <n v="23679366"/>
    <s v="ACC01"/>
    <x v="140"/>
    <d v="2025-09-10T22:26:39"/>
    <s v="0 a 02 dias"/>
    <s v="0 a 02 dias"/>
    <s v="JNHZHZT"/>
    <s v="SABRE"/>
    <s v="MENDES SILVA/GUSTAVO MR"/>
    <s v="WS"/>
    <s v="WS"/>
    <x v="133"/>
    <s v="-"/>
    <s v="-"/>
    <s v="ON LINE"/>
    <s v="Cartão de crédito"/>
    <s v="Cartão de crédito"/>
    <s v="Hotel"/>
    <s v="N"/>
    <s v="Grupo Chanel"/>
    <s v="Chanel"/>
    <s v="-"/>
    <s v="-"/>
    <s v="-"/>
    <s v="FCM-OPE-SAO-PVI-BTC-CONCUR-CHANEL"/>
    <s v="-"/>
    <x v="123"/>
    <n v="8.44999999999999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1417"/>
    <n v="23675579"/>
    <s v="ACC01"/>
    <x v="141"/>
    <d v="2025-09-10T12:08:10"/>
    <s v="0 a 02 dias"/>
    <s v="0 a 02 dias"/>
    <s v="5K576F"/>
    <s v="LEMONTECH"/>
    <s v="ROSSINI/RAFAEL"/>
    <s v="Lemontech"/>
    <s v="Lemontech"/>
    <x v="134"/>
    <n v="17497766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69"/>
    <n v="0"/>
    <n v="0"/>
    <n v="0"/>
    <n v="0"/>
    <n v="0"/>
    <n v="0"/>
    <s v="Reserva importada do Sistema Lemontech. Solicitação: 17497766"/>
    <s v="Fornecedor não preenchido! (ACC01)"/>
    <s v="LEMONTECH"/>
    <s v="Falta de Fornecedor"/>
    <s v="Campo Fornecedor"/>
    <s v="Dados do Fornecedor"/>
    <s v="Qualidade dos dados"/>
    <s v="KONTIK BUSINESS TRAVEL"/>
  </r>
  <r>
    <n v="22895866"/>
    <n v="23670829"/>
    <s v="ACC01"/>
    <x v="142"/>
    <d v="2025-09-09T14:07:31"/>
    <s v="03 a 05 dias"/>
    <s v="03 a 05 dias"/>
    <s v="5K8HX3"/>
    <s v="LEMONTECH"/>
    <s v="DOS SANTOS BICCA/ROSELAINE"/>
    <s v="Lemontech"/>
    <s v="Lemontech"/>
    <x v="134"/>
    <n v="17496736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24"/>
    <n v="0"/>
    <n v="0"/>
    <n v="0"/>
    <n v="0"/>
    <n v="0"/>
    <n v="0"/>
    <s v="Reserva importada do Sistema Lemontech. Solicitação: 17496736"/>
    <s v="Fornecedor não preenchido! (ACC01)"/>
    <s v="LEMONTECH"/>
    <s v="Falta de Fornecedor"/>
    <s v="Campo Fornecedor"/>
    <s v="Dados do Fornecedor"/>
    <s v="Qualidade dos dados"/>
    <s v="KONTIK BUSINESS TRAVEL"/>
  </r>
  <r>
    <n v="22889444"/>
    <n v="23664935"/>
    <s v="ACC01"/>
    <x v="143"/>
    <d v="2025-09-08T14:06:51"/>
    <s v="03 a 05 dias"/>
    <s v="03 a 05 dias"/>
    <s v="5KZ25Q"/>
    <s v="LEMONTECH"/>
    <s v="FERNANDES CRUZ/LEANDRO"/>
    <s v="Lemontech"/>
    <s v="Lemontech"/>
    <x v="135"/>
    <n v="17484878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25"/>
    <n v="0"/>
    <n v="0"/>
    <n v="0"/>
    <n v="0"/>
    <n v="21.85"/>
    <n v="0"/>
    <s v="Reserva importada do Sistema Lemontech. Solicitação: 17484878"/>
    <s v="Fornecedor não preenchido! (ACC01)"/>
    <s v="LEMONTECH"/>
    <s v="Falta de Fornecedor"/>
    <s v="Campo Fornecedor"/>
    <s v="Dados do Fornecedor"/>
    <s v="Qualidade dos dados"/>
    <s v="KONTIK BUSINESS TRAVEL"/>
  </r>
  <r>
    <n v="22897842"/>
    <n v="23672730"/>
    <s v="ACC01"/>
    <x v="144"/>
    <d v="2025-09-09T19:07:14"/>
    <s v="03 a 05 dias"/>
    <s v="03 a 05 dias"/>
    <s v="5KCFL3"/>
    <s v="LEMONTECH"/>
    <s v="PEREIRA/LUCAS"/>
    <s v="Lemontech"/>
    <s v="Lemontech"/>
    <x v="136"/>
    <n v="17476838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26"/>
    <n v="0"/>
    <n v="0"/>
    <n v="0"/>
    <n v="0"/>
    <n v="0"/>
    <n v="0"/>
    <s v="Reserva importada do Sistema Lemontech. Solicitação: 17476838"/>
    <s v="Fornecedor não preenchido! (ACC01)"/>
    <s v="LEMONTECH"/>
    <s v="Falta de Fornecedor"/>
    <s v="Campo Fornecedor"/>
    <s v="Dados do Fornecedor"/>
    <s v="Qualidade dos dados"/>
    <s v="KONTIK BUSINESS TRAVEL"/>
  </r>
  <r>
    <n v="22889051"/>
    <n v="23664542"/>
    <s v="ACC01"/>
    <x v="145"/>
    <d v="2025-09-08T13:14:02"/>
    <s v="03 a 05 dias"/>
    <s v="03 a 05 dias"/>
    <s v="5K6IDZ"/>
    <s v="LEMONTECH"/>
    <s v="VERGARA ORTIZ/ANDREA"/>
    <s v="Lemontech"/>
    <s v="Lemontech"/>
    <x v="135"/>
    <n v="17484254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27"/>
    <n v="0"/>
    <n v="0"/>
    <n v="0"/>
    <n v="0"/>
    <n v="372"/>
    <n v="0"/>
    <s v="Reserva importada do Sistema Lemontech. Solicitação: 17484254"/>
    <s v="Fornecedor não preenchido! (ACC01)"/>
    <s v="LEMONTECH"/>
    <s v="Falta de Fornecedor"/>
    <s v="Campo Fornecedor"/>
    <s v="Dados do Fornecedor"/>
    <s v="Qualidade dos dados"/>
    <s v="KONTIK BUSINESS TRAVEL"/>
  </r>
  <r>
    <n v="22889052"/>
    <n v="23664544"/>
    <s v="ACC01"/>
    <x v="146"/>
    <d v="2025-09-08T13:14:03"/>
    <s v="03 a 05 dias"/>
    <s v="03 a 05 dias"/>
    <s v="5KUKEQ"/>
    <s v="LEMONTECH"/>
    <s v="SANGIOVANNI/NOELIA"/>
    <s v="Lemontech"/>
    <s v="Lemontech"/>
    <x v="135"/>
    <n v="17484280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28"/>
    <n v="0"/>
    <n v="0"/>
    <n v="0"/>
    <n v="0"/>
    <n v="756"/>
    <n v="0"/>
    <s v="Reserva importada do Sistema Lemontech. Solicitação: 17484280"/>
    <s v="Fornecedor não preenchido! (ACC01)"/>
    <s v="LEMONTECH"/>
    <s v="Falta de Fornecedor"/>
    <s v="Campo Fornecedor"/>
    <s v="Dados do Fornecedor"/>
    <s v="Qualidade dos dados"/>
    <s v="KONTIK BUSINESS TRAVEL"/>
  </r>
  <r>
    <n v="22889056"/>
    <n v="23664548"/>
    <s v="ACC01"/>
    <x v="147"/>
    <d v="2025-09-08T13:14:11"/>
    <s v="03 a 05 dias"/>
    <s v="03 a 05 dias"/>
    <s v="5K1NC1"/>
    <s v="LEMONTECH"/>
    <s v="BORGES/JULIANE"/>
    <s v="Lemontech"/>
    <s v="Lemontech"/>
    <x v="135"/>
    <n v="17484483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29"/>
    <n v="0"/>
    <n v="0"/>
    <n v="0"/>
    <n v="0"/>
    <n v="325.5"/>
    <n v="0"/>
    <s v="Reserva importada do Sistema Lemontech. Solicitação: 17484483"/>
    <s v="Fornecedor não preenchido! (ACC01)"/>
    <s v="LEMONTECH"/>
    <s v="Falta de Fornecedor"/>
    <s v="Campo Fornecedor"/>
    <s v="Dados do Fornecedor"/>
    <s v="Qualidade dos dados"/>
    <s v="KONTIK BUSINESS TRAVEL"/>
  </r>
  <r>
    <n v="22850867"/>
    <n v="23632278"/>
    <s v="ACC01"/>
    <x v="148"/>
    <d v="2025-09-01T22:27:08"/>
    <s v="09 a 15 dias"/>
    <s v="09 a 15 dias"/>
    <s v="5JZ3U2"/>
    <s v="LEMONTECH"/>
    <s v="SANTOS GUTIERREZ/FABIO"/>
    <s v="Lemontech"/>
    <s v="Lemontech"/>
    <x v="137"/>
    <n v="17419331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30"/>
    <n v="0"/>
    <n v="0"/>
    <n v="0"/>
    <n v="0"/>
    <n v="0"/>
    <n v="0"/>
    <s v="Reserva importada do Sistema Lemontech. Solicitação: 17419331"/>
    <s v="Fornecedor não preenchido! (ACC01)"/>
    <s v="LEMONTECH"/>
    <s v="Falta de Fornecedor"/>
    <s v="Campo Fornecedor"/>
    <s v="Dados do Fornecedor"/>
    <s v="Qualidade dos dados"/>
    <s v="KONTIK BUSINESS TRAVEL"/>
  </r>
  <r>
    <n v="22869870"/>
    <n v="23649153"/>
    <s v="ACC01"/>
    <x v="149"/>
    <d v="2025-09-04T18:10:52"/>
    <s v="06 a 08 dias"/>
    <s v="06 a 08 dias"/>
    <s v="5JE96U"/>
    <s v="LEMONTECH"/>
    <s v="TABASNIK/RAFAEL"/>
    <s v="Lemontech"/>
    <s v="Lemontech"/>
    <x v="138"/>
    <n v="17464422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31"/>
    <n v="0"/>
    <n v="0"/>
    <n v="0"/>
    <n v="0"/>
    <n v="42.39"/>
    <n v="0"/>
    <s v="Reserva importada do Sistema Lemontech. Solicitação: 17464422"/>
    <s v="Fornecedor não preenchido! (ACC01)"/>
    <s v="LEMONTECH"/>
    <s v="Falta de Fornecedor"/>
    <s v="Campo Fornecedor"/>
    <s v="Dados do Fornecedor"/>
    <s v="Qualidade dos dados"/>
    <s v="KONTIK BUSINESS TRAVEL"/>
  </r>
  <r>
    <n v="22896921"/>
    <n v="23671814"/>
    <s v="ACC01"/>
    <x v="150"/>
    <d v="2025-09-09T18:00:48"/>
    <s v="03 a 05 dias"/>
    <s v="03 a 05 dias"/>
    <s v="5KHVF3"/>
    <s v="LEMONTECH"/>
    <s v="RIBAS PIRES/ANNA"/>
    <s v="Hiran Ricardo da Silva Ramos"/>
    <s v="Hiran Ricardo da Silva Ramos"/>
    <x v="139"/>
    <n v="17442113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132"/>
    <n v="0"/>
    <n v="0"/>
    <n v="0"/>
    <n v="0"/>
    <n v="0"/>
    <n v="0"/>
    <s v="Reserva importada do Sistema Lemontech. Solicitação: 17442113"/>
    <s v="Fornecedor não preenchido! (ACC01)"/>
    <s v="LEMONTECH"/>
    <s v="Falta de Fornecedor"/>
    <s v="Campo Fornecedor"/>
    <s v="Dados do Fornecedor"/>
    <s v="Qualidade dos dados"/>
    <s v="KONTIK BUSINESS TRAVEL"/>
  </r>
  <r>
    <n v="22866664"/>
    <n v="23645789"/>
    <s v="ACC01"/>
    <x v="151"/>
    <d v="2025-09-04T09:06:37"/>
    <s v="06 a 08 dias"/>
    <s v="06 a 08 dias"/>
    <s v="5J88JY"/>
    <s v="LEMONTECH"/>
    <s v="SHINTAKU INAMURA/LOURDES"/>
    <s v="Hiran Ricardo da Silva Ramos"/>
    <s v="Hiran Ricardo da Silva Ramos"/>
    <x v="140"/>
    <n v="1743736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33"/>
    <n v="0"/>
    <n v="0"/>
    <n v="0"/>
    <n v="0"/>
    <n v="0"/>
    <n v="0"/>
    <s v="Reserva importada do Sistema Lemontech. Solicitação: 17437366"/>
    <s v="Fornecedor não preenchido! (ACC01)"/>
    <s v="LEMONTECH"/>
    <s v="Falta de Fornecedor"/>
    <s v="Campo Fornecedor"/>
    <s v="Dados do Fornecedor"/>
    <s v="Qualidade dos dados"/>
    <s v="KONTIK BUSINESS TRAVEL"/>
  </r>
  <r>
    <n v="22866665"/>
    <n v="23645790"/>
    <s v="ACC01"/>
    <x v="152"/>
    <d v="2025-09-04T09:06:38"/>
    <s v="06 a 08 dias"/>
    <s v="06 a 08 dias"/>
    <s v="5JOK7H"/>
    <s v="LEMONTECH"/>
    <s v="SHINTAKU INAMURA/LOURDES"/>
    <s v="Hiran Ricardo da Silva Ramos"/>
    <s v="Hiran Ricardo da Silva Ramos"/>
    <x v="140"/>
    <n v="1743736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34"/>
    <n v="0"/>
    <n v="0"/>
    <n v="0"/>
    <n v="0"/>
    <n v="0"/>
    <n v="0"/>
    <s v="Reserva importada do Sistema Lemontech. Solicitação: 17437366"/>
    <s v="Fornecedor não preenchido! (ACC01)"/>
    <s v="LEMONTECH"/>
    <s v="Falta de Fornecedor"/>
    <s v="Campo Fornecedor"/>
    <s v="Dados do Fornecedor"/>
    <s v="Qualidade dos dados"/>
    <s v="KONTIK BUSINESS TRAVEL"/>
  </r>
  <r>
    <n v="22887716"/>
    <n v="23663137"/>
    <s v="ACC01"/>
    <x v="153"/>
    <d v="2025-09-08T10:01:31"/>
    <s v="03 a 05 dias"/>
    <s v="03 a 05 dias"/>
    <s v="5KMFI0"/>
    <s v="LEMONTECH"/>
    <s v="SILVA JUNIOR/OZNI"/>
    <s v="Hiran Ricardo da Silva Ramos"/>
    <s v="Hiran Ricardo da Silva Ramos"/>
    <x v="141"/>
    <n v="17456889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135"/>
    <n v="0"/>
    <n v="0"/>
    <n v="0"/>
    <n v="0"/>
    <n v="0"/>
    <n v="0"/>
    <s v="Reserva importada do Sistema Lemontech. Solicitação: 17456889"/>
    <s v="Fornecedor não preenchido! (ACC01)"/>
    <s v="LEMONTECH"/>
    <s v="Falta de Fornecedor"/>
    <s v="Campo Fornecedor"/>
    <s v="Dados do Fornecedor"/>
    <s v="Qualidade dos dados"/>
    <s v="KONTIK BUSINESS TRAVEL"/>
  </r>
  <r>
    <n v="22873318"/>
    <n v="23651904"/>
    <s v="ACC01"/>
    <x v="154"/>
    <d v="2025-09-05T08:06:28"/>
    <s v="06 a 08 dias"/>
    <s v="06 a 08 dias"/>
    <s v="5JQJ58"/>
    <s v="LEMONTECH"/>
    <s v="LORA TOBAR/JULIA"/>
    <s v="Hiran Ricardo da Silva Ramos"/>
    <s v="Hiran Ricardo da Silva Ramos"/>
    <x v="142"/>
    <n v="17461433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136"/>
    <n v="0"/>
    <n v="0"/>
    <n v="0"/>
    <n v="0"/>
    <n v="0"/>
    <n v="0"/>
    <s v="Reserva importada do Sistema Lemontech. Solicitação: 17461433"/>
    <s v="Fornecedor não preenchido! (ACC01)"/>
    <s v="LEMONTECH"/>
    <s v="Falta de Fornecedor"/>
    <s v="Campo Fornecedor"/>
    <s v="Dados do Fornecedor"/>
    <s v="Qualidade dos dados"/>
    <s v="KONTIK BUSINESS TRAVEL"/>
  </r>
  <r>
    <n v="22849448"/>
    <n v="23631017"/>
    <s v="ACC01"/>
    <x v="155"/>
    <d v="2025-09-01T18:00:52"/>
    <s v="09 a 15 dias"/>
    <s v="09 a 15 dias"/>
    <s v="5JPSAS"/>
    <s v="LEMONTECH"/>
    <s v="DOS SANTOS/TIAGO"/>
    <s v="Hiran Ricardo da Silva Ramos"/>
    <s v="Hiran Ricardo da Silva Ramos"/>
    <x v="143"/>
    <n v="17412128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37"/>
    <n v="0"/>
    <n v="0"/>
    <n v="0"/>
    <n v="0"/>
    <n v="0"/>
    <n v="0"/>
    <s v="Reserva importada do Sistema Lemontech. Solicitação: 17412128"/>
    <s v="Fornecedor não preenchido! (ACC01)"/>
    <s v="LEMONTECH"/>
    <s v="Falta de Fornecedor"/>
    <s v="Campo Fornecedor"/>
    <s v="Dados do Fornecedor"/>
    <s v="Qualidade dos dados"/>
    <s v="KONTIK BUSINESS TRAVEL"/>
  </r>
  <r>
    <n v="22866179"/>
    <n v="23645367"/>
    <s v="ACC01"/>
    <x v="156"/>
    <d v="2025-09-04T07:42:51"/>
    <s v="06 a 08 dias"/>
    <s v="06 a 08 dias"/>
    <s v="5J67GH"/>
    <s v="LEMONTECH"/>
    <s v="DE SOUZA/MARINA"/>
    <s v="Hiran Ricardo da Silva Ramos"/>
    <s v="Hiran Ricardo da Silva Ramos"/>
    <x v="144"/>
    <n v="17439326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2"/>
    <n v="0"/>
    <n v="0"/>
    <n v="0"/>
    <n v="0"/>
    <n v="0"/>
    <n v="0"/>
    <s v="Reserva importada do Sistema Lemontech. Solicitação: 17439326"/>
    <s v="Fornecedor não preenchido! (ACC01)"/>
    <s v="LEMONTECH"/>
    <s v="Falta de Fornecedor"/>
    <s v="Campo Fornecedor"/>
    <s v="Dados do Fornecedor"/>
    <s v="Qualidade dos dados"/>
    <s v="KONTIK BUSINESS TRAVEL"/>
  </r>
  <r>
    <n v="22866204"/>
    <n v="23645392"/>
    <s v="ACC01"/>
    <x v="157"/>
    <d v="2025-09-04T07:43:50"/>
    <s v="06 a 08 dias"/>
    <s v="06 a 08 dias"/>
    <s v="5JCOG6"/>
    <s v="LEMONTECH"/>
    <s v="MARTINS/ALDIZIA"/>
    <s v="Hiran Ricardo da Silva Ramos"/>
    <s v="Hiran Ricardo da Silva Ramos"/>
    <x v="144"/>
    <n v="1744384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38"/>
    <n v="0"/>
    <n v="0"/>
    <n v="0"/>
    <n v="0"/>
    <n v="0"/>
    <n v="0"/>
    <s v="Reserva importada do Sistema Lemontech. Solicitação: 17443842"/>
    <s v="Fornecedor não preenchido! (ACC01)"/>
    <s v="LEMONTECH"/>
    <s v="Falta de Fornecedor"/>
    <s v="Campo Fornecedor"/>
    <s v="Dados do Fornecedor"/>
    <s v="Qualidade dos dados"/>
    <s v="KONTIK BUSINESS TRAVEL"/>
  </r>
  <r>
    <n v="22866563"/>
    <n v="23645695"/>
    <s v="ACC01"/>
    <x v="158"/>
    <d v="2025-09-04T08:49:04"/>
    <s v="06 a 08 dias"/>
    <s v="06 a 08 dias"/>
    <s v="5JJ2UY"/>
    <s v="LEMONTECH"/>
    <s v="MEDEIROS ANDRADE/PEDRO"/>
    <s v="Lemontech"/>
    <s v="Lemontech"/>
    <x v="143"/>
    <n v="17429431"/>
    <s v="-"/>
    <s v="ON LINE"/>
    <s v="Cartão de crédito"/>
    <s v="Cartão de crédito"/>
    <s v="Hotel"/>
    <s v="N"/>
    <s v="Grupo Lojas Renner"/>
    <s v="Realize"/>
    <s v="-"/>
    <s v="-"/>
    <s v="-"/>
    <s v="KON-OPE-RIO-PVI-RENNER"/>
    <s v="-"/>
    <x v="139"/>
    <n v="0"/>
    <n v="0"/>
    <n v="0"/>
    <n v="0"/>
    <n v="511.5"/>
    <n v="0"/>
    <s v="Reserva importada do Sistema Lemontech. Solicitação: 17429431"/>
    <s v="Fornecedor não preenchido! (ACC01)"/>
    <s v="LEMONTECH"/>
    <s v="Falta de Fornecedor"/>
    <s v="Campo Fornecedor"/>
    <s v="Dados do Fornecedor"/>
    <s v="Qualidade dos dados"/>
    <s v="KONTIK BUSINESS TRAVEL"/>
  </r>
  <r>
    <n v="22889709"/>
    <n v="23665201"/>
    <s v="ACC01"/>
    <x v="159"/>
    <d v="2025-09-08T15:07:16"/>
    <s v="03 a 05 dias"/>
    <s v="03 a 05 dias"/>
    <s v="5KS6TQ"/>
    <s v="LEMONTECH"/>
    <s v="DA SILVA/TIAGO"/>
    <s v="Lemontech"/>
    <s v="Lemontech"/>
    <x v="135"/>
    <n v="17480917"/>
    <s v="-"/>
    <s v="ON LINE"/>
    <s v="Cartão de crédito"/>
    <s v="Cartão de crédito"/>
    <s v="Hotel"/>
    <s v="N"/>
    <s v="Grupo Lojas Renner"/>
    <s v="Camicado Houseware"/>
    <s v="-"/>
    <s v="-"/>
    <s v="-"/>
    <s v="KON-OPE-RIO-PVI-RENNER"/>
    <s v="-"/>
    <x v="140"/>
    <n v="0"/>
    <n v="0"/>
    <n v="0"/>
    <n v="0"/>
    <n v="32.75"/>
    <n v="0"/>
    <s v="Reserva importada do Sistema Lemontech. Solicitação: 17480917"/>
    <s v="Fornecedor não preenchido! (ACC01)"/>
    <s v="LEMONTECH"/>
    <s v="Falta de Fornecedor"/>
    <s v="Campo Fornecedor"/>
    <s v="Dados do Fornecedor"/>
    <s v="Qualidade dos dados"/>
    <s v="KONTIK BUSINESS TRAVEL"/>
  </r>
  <r>
    <n v="22889710"/>
    <n v="23665202"/>
    <s v="ACC01"/>
    <x v="160"/>
    <d v="2025-09-08T15:07:16"/>
    <s v="03 a 05 dias"/>
    <s v="03 a 05 dias"/>
    <s v="5KCHGQ"/>
    <s v="LEMONTECH"/>
    <s v="SOUZA CRUZ/ROBSON"/>
    <s v="Lemontech"/>
    <s v="Lemontech"/>
    <x v="135"/>
    <n v="17480979"/>
    <s v="-"/>
    <s v="ON LINE"/>
    <s v="Cartão de crédito"/>
    <s v="Cartão de crédito"/>
    <s v="Hotel"/>
    <s v="N"/>
    <s v="Grupo Lojas Renner"/>
    <s v="Camicado Houseware"/>
    <s v="-"/>
    <s v="-"/>
    <s v="-"/>
    <s v="KON-OPE-RIO-PVI-RENNER"/>
    <s v="-"/>
    <x v="140"/>
    <n v="0"/>
    <n v="0"/>
    <n v="0"/>
    <n v="0"/>
    <n v="32.75"/>
    <n v="0"/>
    <s v="Reserva importada do Sistema Lemontech. Solicitação: 17480979"/>
    <s v="Fornecedor não preenchido! (ACC01)"/>
    <s v="LEMONTECH"/>
    <s v="Falta de Fornecedor"/>
    <s v="Campo Fornecedor"/>
    <s v="Dados do Fornecedor"/>
    <s v="Qualidade dos dados"/>
    <s v="KONTIK BUSINESS TRAVEL"/>
  </r>
  <r>
    <n v="22901422"/>
    <n v="23675585"/>
    <s v="ACC01"/>
    <x v="161"/>
    <d v="2025-09-10T12:08:20"/>
    <s v="0 a 02 dias"/>
    <s v="0 a 02 dias"/>
    <s v="5KPIH4"/>
    <s v="LEMONTECH"/>
    <s v="XAVIER SANTOS/TATIANE"/>
    <s v="Lemontech"/>
    <s v="Lemontech"/>
    <x v="134"/>
    <n v="17502280"/>
    <s v="-"/>
    <s v="ON LINE"/>
    <s v="Cartão de crédito"/>
    <s v="Cartão de crédito"/>
    <s v="Hotel"/>
    <s v="N"/>
    <s v="Grupo Lojas Renner"/>
    <s v="Camicado Houseware"/>
    <s v="-"/>
    <s v="-"/>
    <s v="-"/>
    <s v="KON-OPE-RIO-PVI-RENNER"/>
    <s v="-"/>
    <x v="141"/>
    <n v="0"/>
    <n v="0"/>
    <n v="0"/>
    <n v="0"/>
    <n v="0"/>
    <n v="0"/>
    <s v="Reserva importada do Sistema Lemontech. Solicitação: 17502280"/>
    <s v="Fornecedor não preenchido! (ACC01)"/>
    <s v="LEMONTECH"/>
    <s v="Falta de Fornecedor"/>
    <s v="Campo Fornecedor"/>
    <s v="Dados do Fornecedor"/>
    <s v="Qualidade dos dados"/>
    <s v="KONTIK BUSINESS TRAVEL"/>
  </r>
  <r>
    <n v="22898708"/>
    <n v="23673494"/>
    <s v="ACC01"/>
    <x v="162"/>
    <d v="2025-09-09T22:06:12"/>
    <s v="03 a 05 dias"/>
    <s v="03 a 05 dias"/>
    <s v="5KRIAR"/>
    <s v="LEMONTECH"/>
    <s v="SILVA GUIMARÃES/MOISES"/>
    <s v="Patricia Pinato Ferreira Lima"/>
    <s v="Patricia Pinato Ferreira Lima"/>
    <x v="134"/>
    <n v="17502299"/>
    <s v="-"/>
    <s v="OFF LINE"/>
    <s v="Cartão de crédito"/>
    <s v="Cartão de crédito"/>
    <s v="Hotel"/>
    <s v="N"/>
    <s v="Grupo Lojas Renner"/>
    <s v="Camicado Houseware"/>
    <s v="-"/>
    <s v="-"/>
    <s v="-"/>
    <s v="KON-OPE-RIO-PVI-RENNER"/>
    <s v="-"/>
    <x v="142"/>
    <n v="0"/>
    <n v="0"/>
    <n v="0"/>
    <n v="0"/>
    <n v="41.58"/>
    <n v="0"/>
    <s v="Reserva importada do Sistema Lemontech. Solicitação: 17502299"/>
    <s v="Fornecedor não preenchido! (ACC01)"/>
    <s v="LEMONTECH"/>
    <s v="Falta de Fornecedor"/>
    <s v="Campo Fornecedor"/>
    <s v="Dados do Fornecedor"/>
    <s v="Qualidade dos dados"/>
    <s v="KONTIK BUSINESS TRAVEL"/>
  </r>
  <r>
    <n v="22905441"/>
    <n v="23679378"/>
    <s v="ACC01"/>
    <x v="163"/>
    <d v="2025-09-11T05:38:12"/>
    <s v="0 a 02 dias"/>
    <s v="0 a 02 dias"/>
    <s v="UNGGZGT"/>
    <s v="SABRE"/>
    <s v="BAIALUNA/FERNANDO BUENO MR"/>
    <s v="WS"/>
    <s v="WS"/>
    <x v="145"/>
    <s v="UNGGZG_0"/>
    <s v="-"/>
    <s v="ON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143"/>
    <n v="59.7"/>
    <n v="0"/>
    <n v="0"/>
    <n v="0"/>
    <n v="0"/>
    <n v="27.14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1112"/>
    <n v="23675287"/>
    <s v="ACC01"/>
    <x v="164"/>
    <d v="2025-09-10T11:06:41"/>
    <s v="0 a 02 dias"/>
    <s v="0 a 02 dias"/>
    <s v="5KHUGF"/>
    <s v="LEMONTECH"/>
    <s v="SANCHES/CAMILA"/>
    <s v="Isabela de Melo da Silva"/>
    <s v="Isabela de Melo da Silva"/>
    <x v="146"/>
    <n v="1749494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4"/>
    <n v="0"/>
    <n v="0"/>
    <n v="0"/>
    <n v="0"/>
    <n v="0"/>
    <n v="0"/>
    <s v="Reserva importada do Sistema Lemontech. Solicitação: 17494943"/>
    <s v="Fornecedor não preenchido! (ACC01)"/>
    <s v="LEMONTECH"/>
    <s v="Falta de Fornecedor"/>
    <s v="Campo Fornecedor"/>
    <s v="Dados do Fornecedor"/>
    <s v="Qualidade dos dados"/>
    <s v="KONTIK BUSINESS TRAVEL"/>
  </r>
  <r>
    <n v="22904371"/>
    <n v="23678425"/>
    <s v="ACC01"/>
    <x v="165"/>
    <d v="2025-09-10T19:06:32"/>
    <s v="0 a 02 dias"/>
    <s v="0 a 02 dias"/>
    <s v="5KV6U5"/>
    <s v="LEMONTECH"/>
    <s v="BONATTO/DANIELA"/>
    <s v="Isabela de Melo da Silva"/>
    <s v="Isabela de Melo da Silva"/>
    <x v="146"/>
    <n v="17501241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5"/>
    <n v="0"/>
    <n v="0"/>
    <n v="0"/>
    <n v="0"/>
    <n v="0"/>
    <n v="0"/>
    <s v="Reserva importada do Sistema Lemontech. Solicitação: 17501241"/>
    <s v="Fornecedor não preenchido! (ACC01)"/>
    <s v="LEMONTECH"/>
    <s v="Falta de Fornecedor"/>
    <s v="Campo Fornecedor"/>
    <s v="Dados do Fornecedor"/>
    <s v="Qualidade dos dados"/>
    <s v="KONTIK BUSINESS TRAVEL"/>
  </r>
  <r>
    <n v="22866308"/>
    <n v="23645488"/>
    <s v="ACC01"/>
    <x v="166"/>
    <d v="2025-09-04T08:02:16"/>
    <s v="06 a 08 dias"/>
    <s v="06 a 08 dias"/>
    <s v="5J8RHY"/>
    <s v="LEMONTECH"/>
    <s v="PAIVA/ANTONIO LUCELIO"/>
    <s v="Isabela de Melo da Silva"/>
    <s v="Isabela de Melo da Silva"/>
    <x v="147"/>
    <n v="17449596"/>
    <s v="G AEROP RECIFE ALUGUEL MENSAL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46"/>
    <n v="0"/>
    <n v="0"/>
    <n v="0"/>
    <n v="0"/>
    <n v="0"/>
    <n v="0"/>
    <s v="Reserva importada do Sistema Lemontech. Solicitação: 17449596"/>
    <s v="Fornecedor não preenchido! (ACC01)"/>
    <s v="LEMONTECH"/>
    <s v="Falta de Fornecedor"/>
    <s v="Campo Fornecedor"/>
    <s v="Dados do Fornecedor"/>
    <s v="Qualidade dos dados"/>
    <s v="KONTIK BUSINESS TRAVEL"/>
  </r>
  <r>
    <n v="22862048"/>
    <n v="23641957"/>
    <s v="ACC01"/>
    <x v="167"/>
    <d v="2025-09-03T16:01:04"/>
    <s v="09 a 15 dias"/>
    <s v="09 a 15 dias"/>
    <s v="5J5DVG"/>
    <s v="LEMONTECH"/>
    <s v="DA COSTA/ANNIELLY"/>
    <s v="Isabela de Melo da Silva"/>
    <s v="Isabela de Melo da Silva"/>
    <x v="11"/>
    <n v="1740255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7"/>
    <n v="0"/>
    <n v="0"/>
    <n v="0"/>
    <n v="0"/>
    <n v="0"/>
    <n v="0"/>
    <s v="Reserva importada do Sistema Lemontech. Solicitação: 17402551"/>
    <s v="Fornecedor não preenchido! (ACC01)"/>
    <s v="LEMONTECH"/>
    <s v="Falta de Fornecedor"/>
    <s v="Campo Fornecedor"/>
    <s v="Dados do Fornecedor"/>
    <s v="Qualidade dos dados"/>
    <s v="KONTIK BUSINESS TRAVEL"/>
  </r>
  <r>
    <n v="22887470"/>
    <n v="23662921"/>
    <s v="ACC01"/>
    <x v="168"/>
    <d v="2025-09-08T09:07:14"/>
    <s v="03 a 05 dias"/>
    <s v="03 a 05 dias"/>
    <s v="5K78UB"/>
    <s v="LEMONTECH"/>
    <s v="OLIVEIRA NETA/MARIA"/>
    <s v="Maria Clara Landeira Mezavila"/>
    <s v="Maria Clara Landeira Mezavila"/>
    <x v="148"/>
    <n v="17463997"/>
    <s v="AEROPORTO INTERN - FORTALEZ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48"/>
    <n v="0"/>
    <n v="0"/>
    <n v="0"/>
    <n v="0"/>
    <n v="0"/>
    <n v="0"/>
    <s v="Reserva importada do Sistema Lemontech. Solicitação: 17463997"/>
    <s v="Fornecedor não preenchido! (ACC01)"/>
    <s v="LEMONTECH"/>
    <s v="Falta de Fornecedor"/>
    <s v="Campo Fornecedor"/>
    <s v="Dados do Fornecedor"/>
    <s v="Qualidade dos dados"/>
    <s v="KONTIK BUSINESS TRAVEL"/>
  </r>
  <r>
    <n v="22896411"/>
    <n v="23671363"/>
    <s v="ACC01"/>
    <x v="169"/>
    <d v="2025-09-09T16:07:06"/>
    <s v="03 a 05 dias"/>
    <s v="03 a 05 dias"/>
    <s v="5K76DE"/>
    <s v="LEMONTECH"/>
    <s v="DE SIQUEIRA/KAROLINE"/>
    <s v="Maria Clara Landeira Mezavila"/>
    <s v="Maria Clara Landeira Mezavila"/>
    <x v="134"/>
    <n v="17496558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9"/>
    <n v="0"/>
    <n v="0"/>
    <n v="0"/>
    <n v="0"/>
    <n v="26.49"/>
    <n v="0"/>
    <s v="Reserva importada do Sistema Lemontech. Solicitação: 17496558"/>
    <s v="Fornecedor não preenchido! (ACC01)"/>
    <s v="LEMONTECH"/>
    <s v="Falta de Fornecedor"/>
    <s v="Campo Fornecedor"/>
    <s v="Dados do Fornecedor"/>
    <s v="Qualidade dos dados"/>
    <s v="KONTIK BUSINESS TRAVEL"/>
  </r>
  <r>
    <n v="22896646"/>
    <n v="23671564"/>
    <s v="ACC01"/>
    <x v="170"/>
    <d v="2025-09-09T17:01:02"/>
    <s v="03 a 05 dias"/>
    <s v="03 a 05 dias"/>
    <s v="5KELCD"/>
    <s v="LEMONTECH"/>
    <s v="DE SOUSA/MARCELA"/>
    <s v="Maria Clara Landeira Mezavila"/>
    <s v="Maria Clara Landeira Mezavila"/>
    <x v="149"/>
    <n v="17362026"/>
    <s v="AEROPORTO INTERNAC - BELEM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50"/>
    <n v="0"/>
    <n v="0"/>
    <n v="0"/>
    <n v="0"/>
    <n v="0"/>
    <n v="0"/>
    <s v="Reserva importada do Sistema Lemontech. Solicitação: 17362026"/>
    <s v="Fornecedor não preenchido! (ACC01)"/>
    <s v="LEMONTECH"/>
    <s v="Falta de Fornecedor"/>
    <s v="Campo Fornecedor"/>
    <s v="Dados do Fornecedor"/>
    <s v="Qualidade dos dados"/>
    <s v="KONTIK BUSINESS TRAVEL"/>
  </r>
  <r>
    <n v="22896648"/>
    <n v="23671566"/>
    <s v="ACC01"/>
    <x v="171"/>
    <d v="2025-09-09T17:06:12"/>
    <s v="03 a 05 dias"/>
    <s v="03 a 05 dias"/>
    <s v="5K59EE"/>
    <s v="LEMONTECH"/>
    <s v="DE SOUSA/MARCELA"/>
    <s v="Maria Clara Landeira Mezavila"/>
    <s v="Maria Clara Landeira Mezavila"/>
    <x v="150"/>
    <n v="17435435"/>
    <s v="BELEM/PA - AGENCIA AEROPORTO BELEM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51"/>
    <n v="0"/>
    <n v="0"/>
    <n v="0"/>
    <n v="0"/>
    <n v="0"/>
    <n v="0"/>
    <s v="Reserva importada do Sistema Lemontech. Solicitação: 17435435"/>
    <s v="Fornecedor não preenchido! (ACC01)"/>
    <s v="LEMONTECH"/>
    <s v="Falta de Fornecedor"/>
    <s v="Campo Fornecedor"/>
    <s v="Dados do Fornecedor"/>
    <s v="Qualidade dos dados"/>
    <s v="KONTIK BUSINESS TRAVEL"/>
  </r>
  <r>
    <n v="22894451"/>
    <n v="23669374"/>
    <s v="ACC01"/>
    <x v="172"/>
    <d v="2025-09-09T10:13:10"/>
    <s v="03 a 05 dias"/>
    <s v="03 a 05 dias"/>
    <s v="5K3EJW"/>
    <s v="LEMONTECH"/>
    <s v="ANTONIAZI/ALEXANDRE"/>
    <s v="Maria Clara Landeira Mezavila"/>
    <s v="Maria Clara Landeira Mezavila"/>
    <x v="134"/>
    <n v="17488068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52"/>
    <n v="0"/>
    <n v="0"/>
    <n v="0"/>
    <n v="0"/>
    <n v="0"/>
    <n v="0"/>
    <s v="Reserva importada do Sistema Lemontech. Solicitação: 17488068"/>
    <s v="Fornecedor não preenchido! (ACC01)"/>
    <s v="LEMONTECH"/>
    <s v="Falta de Fornecedor"/>
    <s v="Campo Fornecedor"/>
    <s v="Dados do Fornecedor"/>
    <s v="Qualidade dos dados"/>
    <s v="KONTIK BUSINESS TRAVEL"/>
  </r>
  <r>
    <n v="22896104"/>
    <n v="23671062"/>
    <s v="ACC01"/>
    <x v="173"/>
    <d v="2025-09-09T15:01:07"/>
    <s v="03 a 05 dias"/>
    <s v="03 a 05 dias"/>
    <s v="5KQPD3"/>
    <s v="LEMONTECH"/>
    <s v="ZACARIAS/RAFAELA"/>
    <s v="Maria Clara Landeira Mezavila"/>
    <s v="Maria Clara Landeira Mezavila"/>
    <x v="151"/>
    <n v="1741175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53"/>
    <n v="0"/>
    <n v="0"/>
    <n v="0"/>
    <n v="0"/>
    <n v="0"/>
    <n v="0"/>
    <s v="Reserva importada do Sistema Lemontech. Solicitação: 17411751"/>
    <s v="Fornecedor não preenchido! (ACC01)"/>
    <s v="LEMONTECH"/>
    <s v="Falta de Fornecedor"/>
    <s v="Campo Fornecedor"/>
    <s v="Dados do Fornecedor"/>
    <s v="Qualidade dos dados"/>
    <s v="KONTIK BUSINESS TRAVEL"/>
  </r>
  <r>
    <n v="22890312"/>
    <n v="23665858"/>
    <s v="ACC01"/>
    <x v="174"/>
    <d v="2025-09-08T17:06:57"/>
    <s v="03 a 05 dias"/>
    <s v="03 a 05 dias"/>
    <s v="5K2G6Z"/>
    <s v="LEMONTECH"/>
    <s v="DE OLIVEIRA/BRUNO"/>
    <s v="Maria Clara Landeira Mezavila"/>
    <s v="Maria Clara Landeira Mezavila"/>
    <x v="135"/>
    <n v="1747703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54"/>
    <n v="0"/>
    <n v="0"/>
    <n v="0"/>
    <n v="0"/>
    <n v="0"/>
    <n v="0"/>
    <s v="Reserva importada do Sistema Lemontech. Solicitação: 17477030"/>
    <s v="Fornecedor não preenchido! (ACC01)"/>
    <s v="LEMONTECH"/>
    <s v="Falta de Fornecedor"/>
    <s v="Campo Fornecedor"/>
    <s v="Dados do Fornecedor"/>
    <s v="Qualidade dos dados"/>
    <s v="KONTIK BUSINESS TRAVEL"/>
  </r>
  <r>
    <n v="22890318"/>
    <n v="23665865"/>
    <s v="ACC01"/>
    <x v="175"/>
    <d v="2025-09-08T17:07:03"/>
    <s v="03 a 05 dias"/>
    <s v="03 a 05 dias"/>
    <s v="5KYGHA"/>
    <s v="LEMONTECH"/>
    <s v="PAIVA/ANTONIO LUCELIO"/>
    <s v="Maria Clara Landeira Mezavila"/>
    <s v="Maria Clara Landeira Mezavila"/>
    <x v="135"/>
    <n v="17481512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55"/>
    <n v="0"/>
    <n v="0"/>
    <n v="0"/>
    <n v="0"/>
    <n v="79.47"/>
    <n v="0"/>
    <s v="Reserva importada do Sistema Lemontech. Solicitação: 17481512"/>
    <s v="Fornecedor não preenchido! (ACC01)"/>
    <s v="LEMONTECH"/>
    <s v="Falta de Fornecedor"/>
    <s v="Campo Fornecedor"/>
    <s v="Dados do Fornecedor"/>
    <s v="Qualidade dos dados"/>
    <s v="KONTIK BUSINESS TRAVEL"/>
  </r>
  <r>
    <n v="22890319"/>
    <n v="23665866"/>
    <s v="ACC01"/>
    <x v="176"/>
    <d v="2025-09-08T17:07:03"/>
    <s v="03 a 05 dias"/>
    <s v="03 a 05 dias"/>
    <s v="5KUTH1"/>
    <s v="LEMONTECH"/>
    <s v="DE SIQUEIRA/KAROLINE"/>
    <s v="Maria Clara Landeira Mezavila"/>
    <s v="Maria Clara Landeira Mezavila"/>
    <x v="135"/>
    <n v="17482128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9"/>
    <n v="0"/>
    <n v="0"/>
    <n v="0"/>
    <n v="0"/>
    <n v="26.49"/>
    <n v="0"/>
    <s v="Reserva importada do Sistema Lemontech. Solicitação: 17482128"/>
    <s v="Fornecedor não preenchido! (ACC01)"/>
    <s v="LEMONTECH"/>
    <s v="Falta de Fornecedor"/>
    <s v="Campo Fornecedor"/>
    <s v="Dados do Fornecedor"/>
    <s v="Qualidade dos dados"/>
    <s v="KONTIK BUSINESS TRAVEL"/>
  </r>
  <r>
    <n v="22826382"/>
    <n v="23611623"/>
    <s v="ACC01"/>
    <x v="177"/>
    <d v="2025-09-02T13:12:14"/>
    <s v="09 a 15 dias"/>
    <s v="09 a 15 dias"/>
    <s v="5I1K7J"/>
    <s v="LEMONTECH"/>
    <s v="LAMEGO/ROSALBA"/>
    <s v="Maria Clara Landeira Mezavila"/>
    <s v="Maria Clara Landeira Mezavila"/>
    <x v="152"/>
    <n v="17393510"/>
    <s v="AGENCIA CENTRO ALTAMIR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56"/>
    <n v="0"/>
    <n v="0"/>
    <n v="0"/>
    <n v="0"/>
    <n v="0"/>
    <n v="0"/>
    <s v="Reserva importada do Sistema Lemontech. Solicitação: 17393510"/>
    <s v="Fornecedor não preenchido! (ACC01)"/>
    <s v="LEMONTECH"/>
    <s v="Falta de Fornecedor"/>
    <s v="Campo Fornecedor"/>
    <s v="Dados do Fornecedor"/>
    <s v="Qualidade dos dados"/>
    <s v="KONTIK BUSINESS TRAVEL"/>
  </r>
  <r>
    <n v="22826253"/>
    <n v="23611499"/>
    <s v="ACC01"/>
    <x v="178"/>
    <d v="2025-08-28T10:43:46"/>
    <s v="09 a 15 dias"/>
    <s v="09 a 15 dias"/>
    <s v="5IADJU"/>
    <s v="LEMONTECH"/>
    <s v="CASTRO/MERLIN"/>
    <s v="Maria Clara Landeira Mezavila"/>
    <s v="Maria Clara Landeira Mezavila"/>
    <x v="153"/>
    <n v="17385092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57"/>
    <n v="0"/>
    <n v="0"/>
    <n v="0"/>
    <n v="0"/>
    <n v="144.5"/>
    <n v="0"/>
    <s v="Reserva importada do Sistema Lemontech. Solicitação: 17385092"/>
    <s v="Fornecedor não preenchido! (ACC01)"/>
    <s v="LEMONTECH"/>
    <s v="Falta de Fornecedor"/>
    <s v="Campo Fornecedor"/>
    <s v="Dados do Fornecedor"/>
    <s v="Qualidade dos dados"/>
    <s v="KONTIK BUSINESS TRAVEL"/>
  </r>
  <r>
    <n v="22828572"/>
    <n v="23614003"/>
    <s v="ACC01"/>
    <x v="179"/>
    <d v="2025-09-02T13:12:17"/>
    <s v="09 a 15 dias"/>
    <s v="09 a 15 dias"/>
    <s v="5IYAVI"/>
    <s v="LEMONTECH"/>
    <s v="NEVES/DAIANE"/>
    <s v="Maria Clara Landeira Mezavila"/>
    <s v="Maria Clara Landeira Mezavila"/>
    <x v="154"/>
    <n v="17395669"/>
    <s v="Agência: AGENCIA AEROPORTO ALTAMIR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58"/>
    <n v="0"/>
    <n v="0"/>
    <n v="0"/>
    <n v="0"/>
    <n v="0"/>
    <n v="0"/>
    <s v="Reserva importada do Sistema Lemontech. Solicitação: 17395669"/>
    <s v="Fornecedor não preenchido! (ACC01)"/>
    <s v="LEMONTECH"/>
    <s v="Falta de Fornecedor"/>
    <s v="Campo Fornecedor"/>
    <s v="Dados do Fornecedor"/>
    <s v="Qualidade dos dados"/>
    <s v="KONTIK BUSINESS TRAVEL"/>
  </r>
  <r>
    <n v="22828016"/>
    <n v="23613403"/>
    <s v="ACC01"/>
    <x v="180"/>
    <d v="2025-09-02T13:12:15"/>
    <s v="09 a 15 dias"/>
    <s v="09 a 15 dias"/>
    <s v="5I6VCI"/>
    <s v="LEMONTECH"/>
    <s v="DA COSTA/ANNIELLY"/>
    <s v="Maria Clara Landeira Mezavila"/>
    <s v="Maria Clara Landeira Mezavila"/>
    <x v="155"/>
    <n v="17402673"/>
    <s v="AEROPORTO - CAMPO GRANDE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50"/>
    <n v="0"/>
    <n v="0"/>
    <n v="0"/>
    <n v="0"/>
    <n v="0"/>
    <n v="0"/>
    <s v="Reserva importada do Sistema Lemontech. Solicitação: 17402673"/>
    <s v="Fornecedor não preenchido! (ACC01)"/>
    <s v="LEMONTECH"/>
    <s v="Falta de Fornecedor"/>
    <s v="Campo Fornecedor"/>
    <s v="Dados do Fornecedor"/>
    <s v="Qualidade dos dados"/>
    <s v="KONTIK BUSINESS TRAVEL"/>
  </r>
  <r>
    <n v="22848185"/>
    <n v="23629746"/>
    <s v="ACC01"/>
    <x v="181"/>
    <d v="2025-09-02T13:12:36"/>
    <s v="09 a 15 dias"/>
    <s v="09 a 15 dias"/>
    <s v="5J93NA"/>
    <s v="LEMONTECH"/>
    <s v="RODRIGUES/EMERSON"/>
    <s v="Maria Clara Landeira Mezavila"/>
    <s v="Maria Clara Landeira Mezavila"/>
    <x v="156"/>
    <n v="17424258"/>
    <s v="AG CENTRO JUSCELINO KUBITSCHEK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59"/>
    <n v="0"/>
    <n v="0"/>
    <n v="0"/>
    <n v="0"/>
    <n v="0"/>
    <n v="0"/>
    <s v="Reserva importada do Sistema Lemontech. Solicitação: 17424258"/>
    <s v="Fornecedor não preenchido! (ACC01)"/>
    <s v="LEMONTECH"/>
    <s v="Falta de Fornecedor"/>
    <s v="Campo Fornecedor"/>
    <s v="Dados do Fornecedor"/>
    <s v="Qualidade dos dados"/>
    <s v="KONTIK BUSINESS TRAVEL"/>
  </r>
  <r>
    <n v="22848428"/>
    <n v="23629992"/>
    <s v="ACC01"/>
    <x v="182"/>
    <d v="2025-09-01T15:01:13"/>
    <s v="09 a 15 dias"/>
    <s v="09 a 15 dias"/>
    <s v="5JIH9Z"/>
    <s v="LEMONTECH"/>
    <s v="FERNANDES DA SILVA/JULIANA"/>
    <s v="Maria Clara Landeira Mezavila"/>
    <s v="Maria Clara Landeira Mezavila"/>
    <x v="157"/>
    <n v="1737877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60"/>
    <n v="0"/>
    <n v="0"/>
    <n v="0"/>
    <n v="0"/>
    <n v="0"/>
    <n v="0"/>
    <s v="Reserva importada do Sistema Lemontech. Solicitação: 17378772"/>
    <s v="Fornecedor não preenchido! (ACC01)"/>
    <s v="LEMONTECH"/>
    <s v="Falta de Fornecedor"/>
    <s v="Campo Fornecedor"/>
    <s v="Dados do Fornecedor"/>
    <s v="Qualidade dos dados"/>
    <s v="KONTIK BUSINESS TRAVEL"/>
  </r>
  <r>
    <n v="22847121"/>
    <n v="23628672"/>
    <s v="ACC01"/>
    <x v="183"/>
    <d v="2025-09-01T12:07:00"/>
    <s v="09 a 15 dias"/>
    <s v="09 a 15 dias"/>
    <s v="5JAZ5A"/>
    <s v="LEMONTECH"/>
    <s v="TEMPORAL AGOSTINHO/MARIA"/>
    <s v="Maria Clara Landeira Mezavila"/>
    <s v="Maria Clara Landeira Mezavila"/>
    <x v="143"/>
    <n v="17411641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1"/>
    <n v="0"/>
    <n v="0"/>
    <n v="0"/>
    <n v="0"/>
    <n v="0"/>
    <n v="0"/>
    <s v="Reserva importada do Sistema Lemontech. Solicitação: 17411641"/>
    <s v="Fornecedor não preenchido! (ACC01)"/>
    <s v="LEMONTECH"/>
    <s v="Falta de Fornecedor"/>
    <s v="Campo Fornecedor"/>
    <s v="Dados do Fornecedor"/>
    <s v="Qualidade dos dados"/>
    <s v="KONTIK BUSINESS TRAVEL"/>
  </r>
  <r>
    <n v="22866545"/>
    <n v="23645679"/>
    <s v="ACC01"/>
    <x v="184"/>
    <d v="2025-09-04T08:43:38"/>
    <s v="06 a 08 dias"/>
    <s v="06 a 08 dias"/>
    <s v="5J6ZUY"/>
    <s v="LEMONTECH"/>
    <s v="SILVEIRA/JULIETE"/>
    <s v="Maria Clara Landeira Mezavila"/>
    <s v="Maria Clara Landeira Mezavila"/>
    <x v="140"/>
    <n v="1742858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2"/>
    <n v="0"/>
    <n v="0"/>
    <n v="0"/>
    <n v="0"/>
    <n v="2.89"/>
    <n v="0"/>
    <s v="Reserva importada do Sistema Lemontech. Solicitação: 17428580"/>
    <s v="Fornecedor não preenchido! (ACC01)"/>
    <s v="LEMONTECH"/>
    <s v="Falta de Fornecedor"/>
    <s v="Campo Fornecedor"/>
    <s v="Dados do Fornecedor"/>
    <s v="Qualidade dos dados"/>
    <s v="KONTIK BUSINESS TRAVEL"/>
  </r>
  <r>
    <n v="22866550"/>
    <n v="23645682"/>
    <s v="ACC01"/>
    <x v="185"/>
    <d v="2025-09-04T08:43:47"/>
    <s v="06 a 08 dias"/>
    <s v="06 a 08 dias"/>
    <s v="5JLZ7H"/>
    <s v="LEMONTECH"/>
    <s v="SILVEIRA/JULIETE"/>
    <s v="Maria Clara Landeira Mezavila"/>
    <s v="Maria Clara Landeira Mezavila"/>
    <x v="140"/>
    <n v="17428649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3"/>
    <n v="0"/>
    <n v="0"/>
    <n v="0"/>
    <n v="0"/>
    <n v="2.89"/>
    <n v="0"/>
    <s v="Reserva importada do Sistema Lemontech. Solicitação: 17428649"/>
    <s v="Fornecedor não preenchido! (ACC01)"/>
    <s v="LEMONTECH"/>
    <s v="Falta de Fornecedor"/>
    <s v="Campo Fornecedor"/>
    <s v="Dados do Fornecedor"/>
    <s v="Qualidade dos dados"/>
    <s v="KONTIK BUSINESS TRAVEL"/>
  </r>
  <r>
    <n v="22853464"/>
    <n v="23634301"/>
    <s v="ACC01"/>
    <x v="186"/>
    <d v="2025-09-02T11:00:42"/>
    <s v="09 a 15 dias"/>
    <s v="09 a 15 dias"/>
    <s v="5JC5BD"/>
    <s v="LEMONTECH"/>
    <s v="ENCARNACAO/MILSON"/>
    <s v="Maria Clara Landeira Mezavila"/>
    <s v="Maria Clara Landeira Mezavila"/>
    <x v="140"/>
    <n v="1736976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4"/>
    <n v="0"/>
    <n v="0"/>
    <n v="0"/>
    <n v="0"/>
    <n v="76.45"/>
    <n v="0"/>
    <s v="Reserva importada do Sistema Lemontech. Solicitação: 17369760"/>
    <s v="Fornecedor não preenchido! (ACC01)"/>
    <s v="LEMONTECH"/>
    <s v="Falta de Fornecedor"/>
    <s v="Campo Fornecedor"/>
    <s v="Dados do Fornecedor"/>
    <s v="Qualidade dos dados"/>
    <s v="KONTIK BUSINESS TRAVEL"/>
  </r>
  <r>
    <n v="22854730"/>
    <n v="23635512"/>
    <s v="ACC01"/>
    <x v="187"/>
    <d v="2025-09-02T14:01:12"/>
    <s v="09 a 15 dias"/>
    <s v="09 a 15 dias"/>
    <s v="5J9843"/>
    <s v="LEMONTECH"/>
    <s v="NUNES CALDERARO/JOSELINA"/>
    <s v="Maria Clara Landeira Mezavila"/>
    <s v="Maria Clara Landeira Mezavila"/>
    <x v="140"/>
    <n v="1740900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5"/>
    <n v="0"/>
    <n v="0"/>
    <n v="0"/>
    <n v="0"/>
    <n v="7.7"/>
    <n v="0"/>
    <s v="Reserva importada do Sistema Lemontech. Solicitação: 17409000"/>
    <s v="Fornecedor não preenchido! (ACC01)"/>
    <s v="LEMONTECH"/>
    <s v="Falta de Fornecedor"/>
    <s v="Campo Fornecedor"/>
    <s v="Dados do Fornecedor"/>
    <s v="Qualidade dos dados"/>
    <s v="KONTIK BUSINESS TRAVEL"/>
  </r>
  <r>
    <n v="22902383"/>
    <n v="23676482"/>
    <s v="ACC01"/>
    <x v="188"/>
    <d v="2025-09-10T14:07:03"/>
    <s v="0 a 02 dias"/>
    <s v="0 a 02 dias"/>
    <s v="5KYL05"/>
    <s v="LEMONTECH"/>
    <s v="LEITE MEDEIROS/PAULO"/>
    <s v="Maria Clara Landeira Mezavila"/>
    <s v="Maria Clara Landeira Mezavila"/>
    <x v="158"/>
    <n v="17503390"/>
    <s v="Agência: AG CENTRO BRAGANCA PAULIST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66"/>
    <n v="0"/>
    <n v="0"/>
    <n v="0"/>
    <n v="0"/>
    <n v="0"/>
    <n v="0"/>
    <s v="Reserva importada do Sistema Lemontech. Solicitação: 17503390"/>
    <s v="Fornecedor não preenchido! (ACC01)"/>
    <s v="LEMONTECH"/>
    <s v="Falta de Fornecedor"/>
    <s v="Campo Fornecedor"/>
    <s v="Dados do Fornecedor"/>
    <s v="Qualidade dos dados"/>
    <s v="KONTIK BUSINESS TRAVEL"/>
  </r>
  <r>
    <n v="22902918"/>
    <n v="23676993"/>
    <s v="ACC01"/>
    <x v="189"/>
    <d v="2025-09-10T16:06:18"/>
    <s v="0 a 02 dias"/>
    <s v="0 a 02 dias"/>
    <s v="5KNOQ5"/>
    <s v="LEMONTECH"/>
    <s v="VALERIANO MORAIS/SAMUEL"/>
    <s v="Maria Clara Landeira Mezavila"/>
    <s v="Maria Clara Landeira Mezavila"/>
    <x v="159"/>
    <n v="17420318"/>
    <s v="AGENCIA AEROPORTO SANTAREM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67"/>
    <n v="0"/>
    <n v="0"/>
    <n v="0"/>
    <n v="0"/>
    <n v="0"/>
    <n v="0"/>
    <s v="Reserva importada do Sistema Lemontech. Solicitação: 17420318"/>
    <s v="Fornecedor não preenchido! (ACC01)"/>
    <s v="LEMONTECH"/>
    <s v="Falta de Fornecedor"/>
    <s v="Campo Fornecedor"/>
    <s v="Dados do Fornecedor"/>
    <s v="Qualidade dos dados"/>
    <s v="KONTIK BUSINESS TRAVEL"/>
  </r>
  <r>
    <n v="22903171"/>
    <n v="23677270"/>
    <s v="ACC01"/>
    <x v="190"/>
    <d v="2025-09-10T17:06:57"/>
    <s v="0 a 02 dias"/>
    <s v="0 a 02 dias"/>
    <s v="5KJT2G"/>
    <s v="LEMONTECH"/>
    <s v="DOS SANTOS/LUIZ"/>
    <s v="Maria Clara Landeira Mezavila"/>
    <s v="Maria Clara Landeira Mezavila"/>
    <x v="146"/>
    <n v="1741393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8"/>
    <n v="0"/>
    <n v="0"/>
    <n v="0"/>
    <n v="0"/>
    <n v="0"/>
    <n v="0"/>
    <s v="Reserva importada do Sistema Lemontech. Solicitação: 17413933"/>
    <s v="Fornecedor não preenchido! (ACC01)"/>
    <s v="LEMONTECH"/>
    <s v="Falta de Fornecedor"/>
    <s v="Campo Fornecedor"/>
    <s v="Dados do Fornecedor"/>
    <s v="Qualidade dos dados"/>
    <s v="KONTIK BUSINESS TRAVEL"/>
  </r>
  <r>
    <n v="22866624"/>
    <n v="23645752"/>
    <s v="ACC01"/>
    <x v="191"/>
    <d v="2025-09-04T09:01:25"/>
    <s v="06 a 08 dias"/>
    <s v="06 a 08 dias"/>
    <s v="5JIY7Y"/>
    <s v="LEMONTECH"/>
    <s v="FARIAS ROCHA/JOAO"/>
    <s v="Lemontech"/>
    <s v="Lemontech"/>
    <x v="140"/>
    <n v="1743580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9"/>
    <n v="0"/>
    <n v="0"/>
    <n v="0"/>
    <n v="0"/>
    <n v="0"/>
    <n v="0"/>
    <s v="Reserva importada do Sistema Lemontech. Solicitação: 17435801"/>
    <s v="Fornecedor não preenchido! (ACC01)"/>
    <s v="LEMONTECH"/>
    <s v="Falta de Fornecedor"/>
    <s v="Campo Fornecedor"/>
    <s v="Dados do Fornecedor"/>
    <s v="Qualidade dos dados"/>
    <s v="KONTIK BUSINESS TRAVEL"/>
  </r>
  <r>
    <n v="22890015"/>
    <n v="23665544"/>
    <s v="ACC01"/>
    <x v="192"/>
    <d v="2025-09-08T16:06:55"/>
    <s v="03 a 05 dias"/>
    <s v="03 a 05 dias"/>
    <s v="5KA0YQ"/>
    <s v="LEMONTECH"/>
    <s v="FARIA/LUCAS"/>
    <s v="Lemontech"/>
    <s v="Lemontech"/>
    <x v="136"/>
    <n v="1747604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0"/>
    <n v="0"/>
    <n v="0"/>
    <n v="0"/>
    <n v="0"/>
    <n v="19.899999999999999"/>
    <n v="0"/>
    <s v="Reserva importada do Sistema Lemontech. Solicitação: 17476042"/>
    <s v="Fornecedor não preenchido! (ACC01)"/>
    <s v="LEMONTECH"/>
    <s v="Falta de Fornecedor"/>
    <s v="Campo Fornecedor"/>
    <s v="Dados do Fornecedor"/>
    <s v="Qualidade dos dados"/>
    <s v="KONTIK BUSINESS TRAVEL"/>
  </r>
  <r>
    <n v="22890025"/>
    <n v="23665555"/>
    <s v="ACC01"/>
    <x v="193"/>
    <d v="2025-09-08T16:07:12"/>
    <s v="03 a 05 dias"/>
    <s v="03 a 05 dias"/>
    <s v="5K5M61"/>
    <s v="LEMONTECH"/>
    <s v="MONTEIRO/WILLIAM"/>
    <s v="Lemontech"/>
    <s v="Lemontech"/>
    <x v="135"/>
    <n v="1748693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1"/>
    <n v="0"/>
    <n v="0"/>
    <n v="0"/>
    <n v="0"/>
    <n v="4.17"/>
    <n v="0"/>
    <s v="Reserva importada do Sistema Lemontech. Solicitação: 17486933"/>
    <s v="Fornecedor não preenchido! (ACC01)"/>
    <s v="LEMONTECH"/>
    <s v="Falta de Fornecedor"/>
    <s v="Campo Fornecedor"/>
    <s v="Dados do Fornecedor"/>
    <s v="Qualidade dos dados"/>
    <s v="KONTIK BUSINESS TRAVEL"/>
  </r>
  <r>
    <n v="22874190"/>
    <n v="23652752"/>
    <s v="ACC01"/>
    <x v="194"/>
    <d v="2025-09-05T11:07:07"/>
    <s v="06 a 08 dias"/>
    <s v="06 a 08 dias"/>
    <s v="5J3SJK"/>
    <s v="LEMONTECH"/>
    <s v="RODRIGUES AUDI/LARICIA"/>
    <s v="Lemontech"/>
    <s v="Lemontech"/>
    <x v="136"/>
    <n v="1746928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2"/>
    <n v="0"/>
    <n v="0"/>
    <n v="0"/>
    <n v="0"/>
    <n v="124.6"/>
    <n v="0"/>
    <s v="Reserva importada do Sistema Lemontech. Solicitação: 17469287"/>
    <s v="Fornecedor não preenchido! (ACC01)"/>
    <s v="LEMONTECH"/>
    <s v="Falta de Fornecedor"/>
    <s v="Campo Fornecedor"/>
    <s v="Dados do Fornecedor"/>
    <s v="Qualidade dos dados"/>
    <s v="KONTIK BUSINESS TRAVEL"/>
  </r>
  <r>
    <n v="22874529"/>
    <n v="23653116"/>
    <s v="ACC01"/>
    <x v="195"/>
    <d v="2025-09-05T12:08:17"/>
    <s v="06 a 08 dias"/>
    <s v="06 a 08 dias"/>
    <s v="5JNQIK"/>
    <s v="LEMONTECH"/>
    <s v="OLIVEIRA MESQUITA/LEEA"/>
    <s v="Lemontech"/>
    <s v="Lemontech"/>
    <x v="136"/>
    <n v="1747055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3"/>
    <n v="0"/>
    <n v="0"/>
    <n v="0"/>
    <n v="0"/>
    <n v="7.08"/>
    <n v="0"/>
    <s v="Reserva importada do Sistema Lemontech. Solicitação: 17470558"/>
    <s v="Fornecedor não preenchido! (ACC01)"/>
    <s v="LEMONTECH"/>
    <s v="Falta de Fornecedor"/>
    <s v="Campo Fornecedor"/>
    <s v="Dados do Fornecedor"/>
    <s v="Qualidade dos dados"/>
    <s v="KONTIK BUSINESS TRAVEL"/>
  </r>
  <r>
    <n v="22875433"/>
    <n v="23654017"/>
    <s v="ACC01"/>
    <x v="196"/>
    <d v="2025-09-05T14:12:27"/>
    <s v="06 a 08 dias"/>
    <s v="06 a 08 dias"/>
    <s v="5JUNQL"/>
    <s v="LEMONTECH"/>
    <s v="ALBUQUERQUE/FELIPE"/>
    <s v="Lemontech"/>
    <s v="Lemontech"/>
    <x v="136"/>
    <n v="1746686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4"/>
    <n v="0"/>
    <n v="0"/>
    <n v="0"/>
    <n v="0"/>
    <n v="39.01"/>
    <n v="0"/>
    <s v="Reserva importada do Sistema Lemontech. Solicitação: 17466869"/>
    <s v="Fornecedor não preenchido! (ACC01)"/>
    <s v="LEMONTECH"/>
    <s v="Falta de Fornecedor"/>
    <s v="Campo Fornecedor"/>
    <s v="Dados do Fornecedor"/>
    <s v="Qualidade dos dados"/>
    <s v="KONTIK BUSINESS TRAVEL"/>
  </r>
  <r>
    <n v="22868841"/>
    <n v="23647971"/>
    <s v="ACC01"/>
    <x v="197"/>
    <d v="2025-09-04T15:14:09"/>
    <s v="06 a 08 dias"/>
    <s v="06 a 08 dias"/>
    <s v="5JHF3J"/>
    <s v="LEMONTECH"/>
    <s v="BARROS/GUILHERME"/>
    <s v="Lemontech"/>
    <s v="Lemontech"/>
    <x v="143"/>
    <n v="1742594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5"/>
    <n v="0"/>
    <n v="0"/>
    <n v="0"/>
    <n v="0"/>
    <n v="0"/>
    <n v="0"/>
    <s v="Reserva importada do Sistema Lemontech. Solicitação: 17425947"/>
    <s v="Fornecedor não preenchido! (ACC01)"/>
    <s v="LEMONTECH"/>
    <s v="Falta de Fornecedor"/>
    <s v="Campo Fornecedor"/>
    <s v="Dados do Fornecedor"/>
    <s v="Qualidade dos dados"/>
    <s v="KONTIK BUSINESS TRAVEL"/>
  </r>
  <r>
    <n v="22868860"/>
    <n v="23647993"/>
    <s v="ACC01"/>
    <x v="198"/>
    <d v="2025-09-04T15:19:39"/>
    <s v="06 a 08 dias"/>
    <s v="06 a 08 dias"/>
    <s v="5JXHC7"/>
    <s v="LEMONTECH"/>
    <s v="DA COSTA NETO/ARLINDO"/>
    <s v="Lemontech"/>
    <s v="Lemontech"/>
    <x v="143"/>
    <n v="1742916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6"/>
    <n v="0"/>
    <n v="0"/>
    <n v="0"/>
    <n v="0"/>
    <n v="0"/>
    <n v="0"/>
    <s v="Reserva importada do Sistema Lemontech. Solicitação: 17429164"/>
    <s v="Fornecedor não preenchido! (ACC01)"/>
    <s v="LEMONTECH"/>
    <s v="Falta de Fornecedor"/>
    <s v="Campo Fornecedor"/>
    <s v="Dados do Fornecedor"/>
    <s v="Qualidade dos dados"/>
    <s v="KONTIK BUSINESS TRAVEL"/>
  </r>
  <r>
    <n v="22869037"/>
    <n v="23648194"/>
    <s v="ACC01"/>
    <x v="199"/>
    <d v="2025-09-04T15:49:53"/>
    <s v="06 a 08 dias"/>
    <s v="06 a 08 dias"/>
    <s v="5JP847"/>
    <s v="LEMONTECH"/>
    <s v="SANTOS BRAGA/LAIS"/>
    <s v="Lemontech"/>
    <s v="Lemontech"/>
    <x v="138"/>
    <n v="1745986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7"/>
    <n v="0"/>
    <n v="0"/>
    <n v="0"/>
    <n v="0"/>
    <n v="0"/>
    <n v="0"/>
    <s v="Reserva importada do Sistema Lemontech. Solicitação: 17459866"/>
    <s v="Fornecedor não preenchido! (ACC01)"/>
    <s v="LEMONTECH"/>
    <s v="Falta de Fornecedor"/>
    <s v="Campo Fornecedor"/>
    <s v="Dados do Fornecedor"/>
    <s v="Qualidade dos dados"/>
    <s v="KONTIK BUSINESS TRAVEL"/>
  </r>
  <r>
    <n v="22835534"/>
    <n v="23620221"/>
    <s v="ACC01"/>
    <x v="200"/>
    <d v="2025-08-29T18:06:33"/>
    <s v="09 a 15 dias"/>
    <s v="09 a 15 dias"/>
    <s v="5JBSAM"/>
    <s v="LEMONTECH"/>
    <s v="MELLI/MARCUS"/>
    <s v="Lemontech"/>
    <s v="Lemontech"/>
    <x v="153"/>
    <n v="1738876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8"/>
    <n v="0"/>
    <n v="0"/>
    <n v="0"/>
    <n v="0"/>
    <n v="120"/>
    <n v="0"/>
    <s v="Reserva importada do Sistema Lemontech. Solicitação: 17388764"/>
    <s v="Fornecedor não preenchido! (ACC01)"/>
    <s v="LEMONTECH"/>
    <s v="Falta de Fornecedor"/>
    <s v="Campo Fornecedor"/>
    <s v="Dados do Fornecedor"/>
    <s v="Qualidade dos dados"/>
    <s v="KONTIK BUSINESS TRAVEL"/>
  </r>
  <r>
    <n v="22832275"/>
    <n v="23617064"/>
    <s v="ACC01"/>
    <x v="201"/>
    <d v="2025-08-29T08:19:03"/>
    <s v="09 a 15 dias"/>
    <s v="09 a 15 dias"/>
    <s v="5INW3O"/>
    <s v="LEMONTECH"/>
    <s v="BRESSAN/FILIPE"/>
    <s v="Lemontech"/>
    <s v="Lemontech"/>
    <x v="11"/>
    <n v="1740285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9"/>
    <n v="0"/>
    <n v="0"/>
    <n v="0"/>
    <n v="0"/>
    <n v="0"/>
    <n v="0"/>
    <s v="Reserva importada do Sistema Lemontech. Solicitação: 17402853"/>
    <s v="Fornecedor não preenchido! (ACC01)"/>
    <s v="LEMONTECH"/>
    <s v="Falta de Fornecedor"/>
    <s v="Campo Fornecedor"/>
    <s v="Dados do Fornecedor"/>
    <s v="Qualidade dos dados"/>
    <s v="KONTIK BUSINESS TRAVEL"/>
  </r>
  <r>
    <n v="22826782"/>
    <n v="23612054"/>
    <s v="ACC01"/>
    <x v="202"/>
    <d v="2025-08-28T11:38:06"/>
    <s v="09 a 15 dias"/>
    <s v="09 a 15 dias"/>
    <s v="5IDH87"/>
    <s v="LEMONTECH"/>
    <s v="LOPES/JANINE"/>
    <s v="Lemontech"/>
    <s v="Lemontech"/>
    <x v="160"/>
    <n v="1738026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0"/>
    <n v="0"/>
    <n v="0"/>
    <n v="0"/>
    <n v="0"/>
    <n v="6.67"/>
    <n v="0"/>
    <s v="Reserva importada do Sistema Lemontech. Solicitação: 17380261"/>
    <s v="Fornecedor não preenchido! (ACC01)"/>
    <s v="LEMONTECH"/>
    <s v="Falta de Fornecedor"/>
    <s v="Campo Fornecedor"/>
    <s v="Dados do Fornecedor"/>
    <s v="Qualidade dos dados"/>
    <s v="KONTIK BUSINESS TRAVEL"/>
  </r>
  <r>
    <n v="22813293"/>
    <n v="23600119"/>
    <s v="ACC01"/>
    <x v="203"/>
    <d v="2025-08-26T12:06:55"/>
    <s v="16 a 23 dias"/>
    <s v="16 a 23 dias"/>
    <s v="5IOEJV"/>
    <s v="LEMONTECH"/>
    <s v="CORREIA/LIVIA"/>
    <s v="Lemontech"/>
    <s v="Lemontech"/>
    <x v="160"/>
    <n v="1738048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1"/>
    <n v="0"/>
    <n v="0"/>
    <n v="0"/>
    <n v="0"/>
    <n v="10.24"/>
    <n v="0"/>
    <s v="Reserva importada do Sistema Lemontech. Solicitação: 17380486"/>
    <s v="Fornecedor não preenchido! (ACC01)"/>
    <s v="LEMONTECH"/>
    <s v="Falta de Fornecedor"/>
    <s v="Campo Fornecedor"/>
    <s v="Dados do Fornecedor"/>
    <s v="Qualidade dos dados"/>
    <s v="KONTIK BUSINESS TRAVEL"/>
  </r>
  <r>
    <n v="22826148"/>
    <n v="23611392"/>
    <s v="ACC01"/>
    <x v="204"/>
    <d v="2025-08-28T10:24:20"/>
    <s v="09 a 15 dias"/>
    <s v="09 a 15 dias"/>
    <s v="5IHRYJ"/>
    <s v="LEMONTECH"/>
    <s v="FARIA/LUCAS"/>
    <s v="Lemontech"/>
    <s v="Lemontech"/>
    <x v="153"/>
    <n v="1739669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0"/>
    <n v="0"/>
    <n v="0"/>
    <n v="0"/>
    <n v="0"/>
    <n v="19.899999999999999"/>
    <n v="0"/>
    <s v="Reserva importada do Sistema Lemontech. Solicitação: 17396695"/>
    <s v="Fornecedor não preenchido! (ACC01)"/>
    <s v="LEMONTECH"/>
    <s v="Falta de Fornecedor"/>
    <s v="Campo Fornecedor"/>
    <s v="Dados do Fornecedor"/>
    <s v="Qualidade dos dados"/>
    <s v="KONTIK BUSINESS TRAVEL"/>
  </r>
  <r>
    <n v="22826230"/>
    <n v="23611476"/>
    <s v="ACC01"/>
    <x v="205"/>
    <d v="2025-08-28T10:38:57"/>
    <s v="09 a 15 dias"/>
    <s v="09 a 15 dias"/>
    <s v="5IF1J7"/>
    <s v="LEMONTECH"/>
    <s v="DE MELO/MARIA"/>
    <s v="Lemontech"/>
    <s v="Lemontech"/>
    <x v="160"/>
    <n v="1738064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1"/>
    <n v="0"/>
    <n v="0"/>
    <n v="0"/>
    <n v="0"/>
    <n v="10.24"/>
    <n v="0"/>
    <s v="Reserva importada do Sistema Lemontech. Solicitação: 17380641"/>
    <s v="Fornecedor não preenchido! (ACC01)"/>
    <s v="LEMONTECH"/>
    <s v="Falta de Fornecedor"/>
    <s v="Campo Fornecedor"/>
    <s v="Dados do Fornecedor"/>
    <s v="Qualidade dos dados"/>
    <s v="KONTIK BUSINESS TRAVEL"/>
  </r>
  <r>
    <n v="22826316"/>
    <n v="23611556"/>
    <s v="ACC01"/>
    <x v="206"/>
    <d v="2025-08-28T10:50:28"/>
    <s v="09 a 15 dias"/>
    <s v="09 a 15 dias"/>
    <s v="5IKTUU"/>
    <s v="LEMONTECH"/>
    <s v="LIMA/JOAO"/>
    <s v="Lemontech"/>
    <s v="Lemontech"/>
    <x v="153"/>
    <n v="1738970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71"/>
    <n v="0"/>
    <n v="0"/>
    <n v="0"/>
    <n v="0"/>
    <n v="0"/>
    <n v="0"/>
    <s v="Reserva importada do Sistema Lemontech. Solicitação: 17389707"/>
    <s v="Fornecedor não preenchido! (ACC01)"/>
    <s v="LEMONTECH"/>
    <s v="Falta de Fornecedor"/>
    <s v="Campo Fornecedor"/>
    <s v="Dados do Fornecedor"/>
    <s v="Qualidade dos dados"/>
    <s v="KONTIK BUSINESS TRAVEL"/>
  </r>
  <r>
    <n v="22902946"/>
    <n v="23677027"/>
    <s v="ACC01"/>
    <x v="207"/>
    <d v="2025-09-10T16:13:19"/>
    <s v="0 a 02 dias"/>
    <s v="0 a 02 dias"/>
    <s v="5K3ZS5"/>
    <s v="LEMONTECH"/>
    <s v="ROCHA/PAULO"/>
    <s v="Lemontech"/>
    <s v="Lemontech"/>
    <x v="146"/>
    <n v="1750305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2"/>
    <n v="0"/>
    <n v="0"/>
    <n v="0"/>
    <n v="0"/>
    <n v="9.92"/>
    <n v="0"/>
    <s v="Reserva importada do Sistema Lemontech. Solicitação: 17503057"/>
    <s v="Fornecedor não preenchido! (ACC01)"/>
    <s v="LEMONTECH"/>
    <s v="Falta de Fornecedor"/>
    <s v="Campo Fornecedor"/>
    <s v="Dados do Fornecedor"/>
    <s v="Qualidade dos dados"/>
    <s v="KONTIK BUSINESS TRAVEL"/>
  </r>
  <r>
    <n v="22903217"/>
    <n v="23677311"/>
    <s v="ACC01"/>
    <x v="208"/>
    <d v="2025-09-10T17:13:00"/>
    <s v="0 a 02 dias"/>
    <s v="0 a 02 dias"/>
    <s v="5KHU2T"/>
    <s v="LEMONTECH"/>
    <s v="CORREIA/LIVIA"/>
    <s v="Lemontech"/>
    <s v="Lemontech"/>
    <x v="146"/>
    <n v="1750954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72"/>
    <n v="0"/>
    <n v="0"/>
    <n v="0"/>
    <n v="0"/>
    <n v="9.1"/>
    <n v="0"/>
    <s v="Reserva importada do Sistema Lemontech. Solicitação: 17509549"/>
    <s v="Fornecedor não preenchido! (ACC01)"/>
    <s v="LEMONTECH"/>
    <s v="Falta de Fornecedor"/>
    <s v="Campo Fornecedor"/>
    <s v="Dados do Fornecedor"/>
    <s v="Qualidade dos dados"/>
    <s v="KONTIK BUSINESS TRAVEL"/>
  </r>
  <r>
    <n v="22904392"/>
    <n v="23678447"/>
    <s v="ACC01"/>
    <x v="209"/>
    <d v="2025-09-10T19:06:53"/>
    <s v="0 a 02 dias"/>
    <s v="0 a 02 dias"/>
    <s v="5K97UT"/>
    <s v="LEMONTECH"/>
    <s v="MOSENA/IVAN"/>
    <s v="Lemontech"/>
    <s v="Lemontech"/>
    <x v="146"/>
    <n v="1751173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3"/>
    <n v="0"/>
    <n v="0"/>
    <n v="0"/>
    <n v="0"/>
    <n v="0"/>
    <n v="0"/>
    <s v="Reserva importada do Sistema Lemontech. Solicitação: 17511730"/>
    <s v="Fornecedor não preenchido! (ACC01)"/>
    <s v="LEMONTECH"/>
    <s v="Falta de Fornecedor"/>
    <s v="Campo Fornecedor"/>
    <s v="Dados do Fornecedor"/>
    <s v="Qualidade dos dados"/>
    <s v="KONTIK BUSINESS TRAVEL"/>
  </r>
  <r>
    <n v="22904831"/>
    <n v="23678842"/>
    <s v="ACC01"/>
    <x v="210"/>
    <d v="2025-09-10T20:06:30"/>
    <s v="0 a 02 dias"/>
    <s v="0 a 02 dias"/>
    <s v="5KM7O5"/>
    <s v="LEMONTECH"/>
    <s v="DE OLIVEIRA/FRANCISCO"/>
    <s v="Lemontech"/>
    <s v="Lemontech"/>
    <x v="146"/>
    <n v="1751179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3"/>
    <n v="0"/>
    <n v="0"/>
    <n v="0"/>
    <n v="0"/>
    <n v="0"/>
    <n v="0"/>
    <s v="Reserva importada do Sistema Lemontech. Solicitação: 17511798"/>
    <s v="Fornecedor não preenchido! (ACC01)"/>
    <s v="LEMONTECH"/>
    <s v="Falta de Fornecedor"/>
    <s v="Campo Fornecedor"/>
    <s v="Dados do Fornecedor"/>
    <s v="Qualidade dos dados"/>
    <s v="KONTIK BUSINESS TRAVEL"/>
  </r>
  <r>
    <n v="22900860"/>
    <n v="23675048"/>
    <s v="ACC01"/>
    <x v="211"/>
    <d v="2025-09-10T10:06:43"/>
    <s v="0 a 02 dias"/>
    <s v="0 a 02 dias"/>
    <s v="5KMS5F"/>
    <s v="LEMONTECH"/>
    <s v="ROCINHOLLI/LUCAS"/>
    <s v="Lemontech"/>
    <s v="Lemontech"/>
    <x v="146"/>
    <n v="1750420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4"/>
    <n v="0"/>
    <n v="0"/>
    <n v="0"/>
    <n v="0"/>
    <n v="0"/>
    <n v="0"/>
    <s v="Reserva importada do Sistema Lemontech. Solicitação: 17504201"/>
    <s v="Fornecedor não preenchido! (ACC01)"/>
    <s v="LEMONTECH"/>
    <s v="Falta de Fornecedor"/>
    <s v="Campo Fornecedor"/>
    <s v="Dados do Fornecedor"/>
    <s v="Qualidade dos dados"/>
    <s v="KONTIK BUSINESS TRAVEL"/>
  </r>
  <r>
    <n v="22901129"/>
    <n v="23675310"/>
    <s v="ACC01"/>
    <x v="212"/>
    <d v="2025-09-10T11:08:04"/>
    <s v="0 a 02 dias"/>
    <s v="0 a 02 dias"/>
    <s v="5KJ854"/>
    <s v="LEMONTECH"/>
    <s v="SOUZA GONCALVES/MARIANA"/>
    <s v="Lemontech"/>
    <s v="Lemontech"/>
    <x v="146"/>
    <n v="1750438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5"/>
    <n v="0"/>
    <n v="0"/>
    <n v="0"/>
    <n v="0"/>
    <n v="0"/>
    <n v="0"/>
    <s v="Reserva importada do Sistema Lemontech. Solicitação: 17504382"/>
    <s v="Fornecedor não preenchido! (ACC01)"/>
    <s v="LEMONTECH"/>
    <s v="Falta de Fornecedor"/>
    <s v="Campo Fornecedor"/>
    <s v="Dados do Fornecedor"/>
    <s v="Qualidade dos dados"/>
    <s v="KONTIK BUSINESS TRAVEL"/>
  </r>
  <r>
    <n v="22901130"/>
    <n v="23675311"/>
    <s v="ACC01"/>
    <x v="213"/>
    <d v="2025-09-10T11:08:06"/>
    <s v="0 a 02 dias"/>
    <s v="0 a 02 dias"/>
    <s v="5KI8TR"/>
    <s v="LEMONTECH"/>
    <s v="MORETI CARMINATI/HADRIEN"/>
    <s v="Lemontech"/>
    <s v="Lemontech"/>
    <x v="146"/>
    <n v="1750440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6"/>
    <n v="0"/>
    <n v="0"/>
    <n v="0"/>
    <n v="0"/>
    <n v="34.950000000000003"/>
    <n v="0"/>
    <s v="Reserva importada do Sistema Lemontech. Solicitação: 17504402"/>
    <s v="Fornecedor não preenchido! (ACC01)"/>
    <s v="LEMONTECH"/>
    <s v="Falta de Fornecedor"/>
    <s v="Campo Fornecedor"/>
    <s v="Dados do Fornecedor"/>
    <s v="Qualidade dos dados"/>
    <s v="KONTIK BUSINESS TRAVEL"/>
  </r>
  <r>
    <n v="22902372"/>
    <n v="23676473"/>
    <s v="ACC01"/>
    <x v="214"/>
    <d v="2025-09-10T14:06:32"/>
    <s v="0 a 02 dias"/>
    <s v="0 a 02 dias"/>
    <s v="5KO8BG"/>
    <s v="LEMONTECH"/>
    <s v="MEIRA/JAMILA"/>
    <s v="Lemontech"/>
    <s v="Lemontech"/>
    <x v="138"/>
    <n v="1745725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20.3"/>
    <n v="0"/>
    <s v="Reserva importada do Sistema Lemontech. Solicitação: 17457256"/>
    <s v="Fornecedor não preenchido! (ACC01)"/>
    <s v="LEMONTECH"/>
    <s v="Falta de Fornecedor"/>
    <s v="Campo Fornecedor"/>
    <s v="Dados do Fornecedor"/>
    <s v="Qualidade dos dados"/>
    <s v="KONTIK BUSINESS TRAVEL"/>
  </r>
  <r>
    <n v="22902373"/>
    <n v="23676474"/>
    <s v="ACC01"/>
    <x v="215"/>
    <d v="2025-09-10T14:06:34"/>
    <s v="0 a 02 dias"/>
    <s v="0 a 02 dias"/>
    <s v="5KBLMG"/>
    <s v="LEMONTECH"/>
    <s v="MEIRA/JAMILA"/>
    <s v="Lemontech"/>
    <s v="Lemontech"/>
    <x v="138"/>
    <n v="1745918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20.3"/>
    <n v="0"/>
    <s v="Reserva importada do Sistema Lemontech. Solicitação: 17459180"/>
    <s v="Fornecedor não preenchido! (ACC01)"/>
    <s v="LEMONTECH"/>
    <s v="Falta de Fornecedor"/>
    <s v="Campo Fornecedor"/>
    <s v="Dados do Fornecedor"/>
    <s v="Qualidade dos dados"/>
    <s v="KONTIK BUSINESS TRAVEL"/>
  </r>
  <r>
    <n v="22902374"/>
    <n v="23676475"/>
    <s v="ACC01"/>
    <x v="216"/>
    <d v="2025-09-10T14:06:35"/>
    <s v="0 a 02 dias"/>
    <s v="0 a 02 dias"/>
    <s v="5KAOP5"/>
    <s v="LEMONTECH"/>
    <s v="MEIRA/JAMILA"/>
    <s v="Lemontech"/>
    <s v="Lemontech"/>
    <x v="138"/>
    <n v="174592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20.3"/>
    <n v="0"/>
    <s v="Reserva importada do Sistema Lemontech. Solicitação: 17459245"/>
    <s v="Fornecedor não preenchido! (ACC01)"/>
    <s v="LEMONTECH"/>
    <s v="Falta de Fornecedor"/>
    <s v="Campo Fornecedor"/>
    <s v="Dados do Fornecedor"/>
    <s v="Qualidade dos dados"/>
    <s v="KONTIK BUSINESS TRAVEL"/>
  </r>
  <r>
    <n v="22895854"/>
    <n v="23670819"/>
    <s v="ACC01"/>
    <x v="217"/>
    <d v="2025-09-09T14:06:54"/>
    <s v="03 a 05 dias"/>
    <s v="03 a 05 dias"/>
    <s v="5KEH2C"/>
    <s v="LEMONTECH"/>
    <s v="MORALES/SERGIO"/>
    <s v="Lemontech"/>
    <s v="Lemontech"/>
    <x v="134"/>
    <n v="1749183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8"/>
    <n v="0"/>
    <n v="0"/>
    <n v="0"/>
    <n v="0"/>
    <n v="11.73"/>
    <n v="0"/>
    <s v="Reserva importada do Sistema Lemontech. Solicitação: 17491830"/>
    <s v="Fornecedor não preenchido! (ACC01)"/>
    <s v="LEMONTECH"/>
    <s v="Falta de Fornecedor"/>
    <s v="Campo Fornecedor"/>
    <s v="Dados do Fornecedor"/>
    <s v="Qualidade dos dados"/>
    <s v="KONTIK BUSINESS TRAVEL"/>
  </r>
  <r>
    <n v="22889715"/>
    <n v="23665207"/>
    <s v="ACC01"/>
    <x v="218"/>
    <d v="2025-09-08T15:07:35"/>
    <s v="03 a 05 dias"/>
    <s v="03 a 05 dias"/>
    <s v="5KUHGQ"/>
    <s v="LEMONTECH"/>
    <s v="GRUPPI/GLAUCIO"/>
    <s v="Lemontech"/>
    <s v="Lemontech"/>
    <x v="135"/>
    <n v="1748265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9"/>
    <n v="0"/>
    <n v="0"/>
    <n v="0"/>
    <n v="0"/>
    <n v="0"/>
    <n v="0"/>
    <s v="Reserva importada do Sistema Lemontech. Solicitação: 17482652"/>
    <s v="Fornecedor não preenchido! (ACC01)"/>
    <s v="LEMONTECH"/>
    <s v="Falta de Fornecedor"/>
    <s v="Campo Fornecedor"/>
    <s v="Dados do Fornecedor"/>
    <s v="Qualidade dos dados"/>
    <s v="KONTIK BUSINESS TRAVEL"/>
  </r>
  <r>
    <n v="22887717"/>
    <n v="23663138"/>
    <s v="ACC01"/>
    <x v="219"/>
    <d v="2025-09-08T10:01:33"/>
    <s v="03 a 05 dias"/>
    <s v="03 a 05 dias"/>
    <s v="5K1FIM"/>
    <s v="LEMONTECH"/>
    <s v="BISCOLI/GUSTAVO"/>
    <s v="Lemontech"/>
    <s v="Lemontech"/>
    <x v="138"/>
    <n v="1745731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0"/>
    <n v="0"/>
    <n v="0"/>
    <n v="0"/>
    <n v="0"/>
    <n v="12.18"/>
    <n v="0"/>
    <s v="Reserva importada do Sistema Lemontech. Solicitação: 17457313"/>
    <s v="Fornecedor não preenchido! (ACC01)"/>
    <s v="LEMONTECH"/>
    <s v="Falta de Fornecedor"/>
    <s v="Campo Fornecedor"/>
    <s v="Dados do Fornecedor"/>
    <s v="Qualidade dos dados"/>
    <s v="KONTIK BUSINESS TRAVEL"/>
  </r>
  <r>
    <n v="22887731"/>
    <n v="23663155"/>
    <s v="ACC01"/>
    <x v="220"/>
    <d v="2025-09-08T10:07:24"/>
    <s v="03 a 05 dias"/>
    <s v="03 a 05 dias"/>
    <s v="5K4G80"/>
    <s v="LEMONTECH"/>
    <s v="SOUZA CAVASSANA/GABRIEL"/>
    <s v="Lemontech"/>
    <s v="Lemontech"/>
    <x v="135"/>
    <n v="1748085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480859"/>
    <s v="Fornecedor não preenchido! (ACC01)"/>
    <s v="LEMONTECH"/>
    <s v="Falta de Fornecedor"/>
    <s v="Campo Fornecedor"/>
    <s v="Dados do Fornecedor"/>
    <s v="Qualidade dos dados"/>
    <s v="KONTIK BUSINESS TRAVEL"/>
  </r>
  <r>
    <n v="22887994"/>
    <n v="23663427"/>
    <s v="ACC01"/>
    <x v="221"/>
    <d v="2025-09-08T11:06:15"/>
    <s v="03 a 05 dias"/>
    <s v="03 a 05 dias"/>
    <s v="5KAEOB"/>
    <s v="LEMONTECH"/>
    <s v="DE SOUZA/ANDERSON"/>
    <s v="Lemontech"/>
    <s v="Lemontech"/>
    <x v="136"/>
    <n v="1747649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476494"/>
    <s v="Fornecedor não preenchido! (ACC01)"/>
    <s v="LEMONTECH"/>
    <s v="Falta de Fornecedor"/>
    <s v="Campo Fornecedor"/>
    <s v="Dados do Fornecedor"/>
    <s v="Qualidade dos dados"/>
    <s v="KONTIK BUSINESS TRAVEL"/>
  </r>
  <r>
    <n v="22888325"/>
    <n v="23663809"/>
    <s v="ACC01"/>
    <x v="222"/>
    <d v="2025-09-08T12:02:09"/>
    <s v="03 a 05 dias"/>
    <s v="03 a 05 dias"/>
    <s v="5KXMBQ"/>
    <s v="LEMONTECH"/>
    <s v="MOSELA VERALDO/GISLEIDE"/>
    <s v="Lemontech"/>
    <s v="Lemontech"/>
    <x v="136"/>
    <n v="1746918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3"/>
    <n v="0"/>
    <n v="0"/>
    <n v="0"/>
    <n v="0"/>
    <n v="6.74"/>
    <n v="0"/>
    <s v="Reserva importada do Sistema Lemontech. Solicitação: 17469184"/>
    <s v="Fornecedor não preenchido! (ACC01)"/>
    <s v="LEMONTECH"/>
    <s v="Falta de Fornecedor"/>
    <s v="Campo Fornecedor"/>
    <s v="Dados do Fornecedor"/>
    <s v="Qualidade dos dados"/>
    <s v="KONTIK BUSINESS TRAVEL"/>
  </r>
  <r>
    <n v="22897883"/>
    <n v="23672769"/>
    <s v="ACC01"/>
    <x v="223"/>
    <d v="2025-09-09T19:12:53"/>
    <s v="03 a 05 dias"/>
    <s v="03 a 05 dias"/>
    <s v="5KF79E"/>
    <s v="LEMONTECH"/>
    <s v="FONTOURA/GABRIELA"/>
    <s v="Lemontech"/>
    <s v="Lemontech"/>
    <x v="134"/>
    <n v="1750174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501744"/>
    <s v="Fornecedor não preenchido! (ACC01)"/>
    <s v="LEMONTECH"/>
    <s v="Falta de Fornecedor"/>
    <s v="Campo Fornecedor"/>
    <s v="Dados do Fornecedor"/>
    <s v="Qualidade dos dados"/>
    <s v="KONTIK BUSINESS TRAVEL"/>
  </r>
  <r>
    <n v="22896394"/>
    <n v="23671345"/>
    <s v="ACC01"/>
    <x v="224"/>
    <d v="2025-09-09T16:02:12"/>
    <s v="03 a 05 dias"/>
    <s v="03 a 05 dias"/>
    <s v="5KUTE3"/>
    <s v="LEMONTECH"/>
    <s v="CARVALHO NETTO/AGENOR"/>
    <s v="Lemontech"/>
    <s v="Lemontech"/>
    <x v="138"/>
    <n v="1746606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4"/>
    <n v="0"/>
    <n v="0"/>
    <n v="0"/>
    <n v="0"/>
    <n v="0"/>
    <n v="0"/>
    <s v="Reserva importada do Sistema Lemontech. Solicitação: 17466066"/>
    <s v="Fornecedor não preenchido! (ACC01)"/>
    <s v="LEMONTECH"/>
    <s v="Falta de Fornecedor"/>
    <s v="Campo Fornecedor"/>
    <s v="Dados do Fornecedor"/>
    <s v="Qualidade dos dados"/>
    <s v="KONTIK BUSINESS TRAVEL"/>
  </r>
  <r>
    <n v="22866336"/>
    <n v="23645516"/>
    <s v="ACC01"/>
    <x v="225"/>
    <d v="2025-09-04T08:06:50"/>
    <s v="06 a 08 dias"/>
    <s v="06 a 08 dias"/>
    <s v="5JA6YH"/>
    <s v="LEMONTECH"/>
    <s v="DE SOUZA/LUCAS"/>
    <s v="Lemontech"/>
    <s v="Lemontech"/>
    <x v="144"/>
    <n v="1745115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5"/>
    <n v="0"/>
    <n v="0"/>
    <n v="0"/>
    <n v="0"/>
    <n v="14.38"/>
    <n v="0"/>
    <s v="Reserva importada do Sistema Lemontech. Solicitação: 17451151"/>
    <s v="Fornecedor não preenchido! (ACC01)"/>
    <s v="LEMONTECH"/>
    <s v="Falta de Fornecedor"/>
    <s v="Campo Fornecedor"/>
    <s v="Dados do Fornecedor"/>
    <s v="Qualidade dos dados"/>
    <s v="KONTIK BUSINESS TRAVEL"/>
  </r>
  <r>
    <n v="22866190"/>
    <n v="23645378"/>
    <s v="ACC01"/>
    <x v="226"/>
    <d v="2025-09-04T07:43:30"/>
    <s v="06 a 08 dias"/>
    <s v="06 a 08 dias"/>
    <s v="5JTIGH"/>
    <s v="LEMONTECH"/>
    <s v="DE PAULA/SILVANA"/>
    <s v="Lemontech"/>
    <s v="Lemontech"/>
    <x v="140"/>
    <n v="1744234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6"/>
    <n v="0"/>
    <n v="0"/>
    <n v="0"/>
    <n v="0"/>
    <n v="0"/>
    <n v="0"/>
    <s v="Reserva importada do Sistema Lemontech. Solicitação: 17442344"/>
    <s v="Fornecedor não preenchido! (ACC01)"/>
    <s v="LEMONTECH"/>
    <s v="Falta de Fornecedor"/>
    <s v="Campo Fornecedor"/>
    <s v="Dados do Fornecedor"/>
    <s v="Qualidade dos dados"/>
    <s v="KONTIK BUSINESS TRAVEL"/>
  </r>
  <r>
    <n v="22866230"/>
    <n v="23645417"/>
    <s v="ACC01"/>
    <x v="227"/>
    <d v="2025-09-04T07:49:05"/>
    <s v="06 a 08 dias"/>
    <s v="06 a 08 dias"/>
    <s v="5JUMH6"/>
    <s v="LEMONTECH"/>
    <s v="CORREIA/LIVIA"/>
    <s v="Lemontech"/>
    <s v="Lemontech"/>
    <x v="144"/>
    <n v="174457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72"/>
    <n v="0"/>
    <n v="0"/>
    <n v="0"/>
    <n v="0"/>
    <n v="9.1"/>
    <n v="0"/>
    <s v="Reserva importada do Sistema Lemontech. Solicitação: 17445721"/>
    <s v="Fornecedor não preenchido! (ACC01)"/>
    <s v="LEMONTECH"/>
    <s v="Falta de Fornecedor"/>
    <s v="Campo Fornecedor"/>
    <s v="Dados do Fornecedor"/>
    <s v="Qualidade dos dados"/>
    <s v="KONTIK BUSINESS TRAVEL"/>
  </r>
  <r>
    <n v="22892071"/>
    <n v="23667593"/>
    <s v="ACC01"/>
    <x v="228"/>
    <d v="2025-09-08T20:06:39"/>
    <s v="03 a 05 dias"/>
    <s v="03 a 05 dias"/>
    <s v="5KKAVW"/>
    <s v="LEMONTECH"/>
    <s v="XAVIER/KRISLAINY"/>
    <s v="Lemontech"/>
    <s v="Lemontech"/>
    <x v="135"/>
    <n v="1749028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72"/>
    <n v="0"/>
    <n v="0"/>
    <n v="0"/>
    <n v="0"/>
    <n v="9.1"/>
    <n v="0"/>
    <s v="Reserva importada do Sistema Lemontech. Solicitação: 17490281"/>
    <s v="Fornecedor não preenchido! (ACC01)"/>
    <s v="LEMONTECH"/>
    <s v="Falta de Fornecedor"/>
    <s v="Campo Fornecedor"/>
    <s v="Dados do Fornecedor"/>
    <s v="Qualidade dos dados"/>
    <s v="KONTIK BUSINESS TRAVEL"/>
  </r>
  <r>
    <n v="22874922"/>
    <n v="23653551"/>
    <s v="ACC01"/>
    <x v="229"/>
    <d v="2025-09-11T13:54:36"/>
    <s v="0 a 02 dias"/>
    <s v="06 a 08 dias"/>
    <s v="5J2RBL"/>
    <s v="TMS"/>
    <s v="BRENDA SANTANA GARRIDO"/>
    <s v="JOSE ALEXANDRE SOARES CALDAS"/>
    <s v="JOSE ALEXANDRE SOARES CALDAS"/>
    <x v="161"/>
    <n v="7956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97"/>
    <n v="0"/>
    <n v="0"/>
    <n v="0"/>
    <n v="0"/>
    <n v="0"/>
    <n v="0"/>
    <s v="Reserva importada do Sistema TMS. OS: 79568"/>
    <s v="Fornecedor não preenchido! (ACC01)"/>
    <s v="ARGO(TMS)"/>
    <s v="Falta de Fornecedor"/>
    <s v="Campo Fornecedor"/>
    <s v="Dados do Fornecedor"/>
    <s v="Qualidade dos dados"/>
    <s v="KONTIK BUSINESS TRAVEL"/>
  </r>
  <r>
    <n v="22811098"/>
    <n v="23598421"/>
    <s v="ACC01"/>
    <x v="230"/>
    <d v="2025-09-12T06:10:42"/>
    <s v="0 a 02 dias"/>
    <s v="16 a 23 dias"/>
    <s v="5IABGF"/>
    <s v="TMS"/>
    <s v="DENIS CARDOZO"/>
    <s v="JOSE ALEXANDRE SOARES CALDAS"/>
    <s v="Tms"/>
    <x v="162"/>
    <n v="7759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98"/>
    <n v="50.16"/>
    <n v="0"/>
    <n v="0"/>
    <n v="0"/>
    <n v="0"/>
    <n v="0"/>
    <s v="Reserva importada do Sistema TMS. OS: 77595"/>
    <s v="Fornecedor não preenchido! (ACC01)"/>
    <s v="ARGO(TMS)"/>
    <s v="Falta de Fornecedor"/>
    <s v="Campo Fornecedor"/>
    <s v="Dados do Fornecedor"/>
    <s v="Qualidade dos dados"/>
    <s v="KONTIK BUSINESS TRAVEL"/>
  </r>
  <r>
    <n v="22899329"/>
    <n v="23673994"/>
    <s v="ACC01"/>
    <x v="231"/>
    <d v="2025-09-12T06:10:44"/>
    <s v="0 a 02 dias"/>
    <s v="0 a 02 dias"/>
    <s v="5KZPCR"/>
    <s v="TMS"/>
    <s v="LEANDRO DE MORAES"/>
    <s v="Nataly Franca Regal de Castro"/>
    <s v="Nataly Franca Regal de Castro"/>
    <x v="163"/>
    <n v="8006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99"/>
    <n v="10.95"/>
    <n v="0"/>
    <n v="0"/>
    <n v="0"/>
    <n v="0"/>
    <n v="0"/>
    <s v="Reserva importada do Sistema TMS. OS: 80065"/>
    <s v="Fornecedor não preenchido! (ACC01)"/>
    <s v="ARGO(TMS)"/>
    <s v="Falta de Fornecedor"/>
    <s v="Campo Fornecedor"/>
    <s v="Dados do Fornecedor"/>
    <s v="Qualidade dos dados"/>
    <s v="KONTIK BUSINESS TRAVEL"/>
  </r>
  <r>
    <n v="22895430"/>
    <n v="23670426"/>
    <s v="ACC01"/>
    <x v="232"/>
    <d v="2025-09-11T14:13:04"/>
    <s v="0 a 02 dias"/>
    <s v="03 a 05 dias"/>
    <s v="5K4W1D"/>
    <s v="TMS"/>
    <s v="DIEGO SILVA HORACIO"/>
    <s v="Nataly Franca Regal de Castro"/>
    <s v="Nataly Franca Regal de Castro"/>
    <x v="164"/>
    <n v="7959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0"/>
    <n v="0"/>
    <n v="0"/>
    <n v="0"/>
    <n v="0"/>
    <n v="0"/>
    <n v="0"/>
    <s v="Reserva importada do Sistema TMS. OS: 79595"/>
    <s v="Fornecedor não preenchido! (ACC01)"/>
    <s v="ARGO(TMS)"/>
    <s v="Falta de Fornecedor"/>
    <s v="Campo Fornecedor"/>
    <s v="Dados do Fornecedor"/>
    <s v="Qualidade dos dados"/>
    <s v="KONTIK BUSINESS TRAVEL"/>
  </r>
  <r>
    <n v="22817725"/>
    <n v="23604273"/>
    <s v="ACC01"/>
    <x v="233"/>
    <d v="2025-09-12T06:10:42"/>
    <s v="0 a 02 dias"/>
    <s v="16 a 23 dias"/>
    <s v="5IIGO5"/>
    <s v="TMS"/>
    <s v="NATALIA RONGETTA"/>
    <s v="Marlon Marques dos Santos"/>
    <s v="Tms"/>
    <x v="165"/>
    <n v="77871"/>
    <s v="-"/>
    <s v="OFF LINE"/>
    <s v="Invoice"/>
    <s v="Faturado"/>
    <s v="Serviço"/>
    <s v="N"/>
    <s v="Grupo Ocean Pact"/>
    <s v="Aiuka"/>
    <s v="-"/>
    <s v="-"/>
    <s v="-"/>
    <s v="-"/>
    <s v="-"/>
    <x v="201"/>
    <n v="18.420000000000002"/>
    <n v="0"/>
    <n v="0"/>
    <n v="0"/>
    <n v="0"/>
    <n v="0"/>
    <s v="Reserva importada do Sistema TMS. OS: 77871"/>
    <s v="Fornecedor não preenchido! (ACC01)"/>
    <s v="ARGO(TMS)"/>
    <s v="Falta de Fornecedor"/>
    <s v="Campo Fornecedor"/>
    <s v="Dados do Fornecedor"/>
    <s v="Qualidade dos dados"/>
    <s v="KONTIK BUSINESS TRAVEL"/>
  </r>
  <r>
    <n v="22838064"/>
    <n v="23622484"/>
    <s v="ACC01"/>
    <x v="234"/>
    <d v="2025-09-12T06:10:43"/>
    <s v="0 a 02 dias"/>
    <s v="09 a 15 dias"/>
    <s v="5JQ0MA"/>
    <s v="TMS"/>
    <s v="NATALIA RONGETTA"/>
    <s v="Marlon Marques dos Santos"/>
    <s v="Tms"/>
    <x v="166"/>
    <n v="78342"/>
    <s v="-"/>
    <s v="OFF LINE"/>
    <s v="Invoice"/>
    <s v="Faturado"/>
    <s v="Serviço"/>
    <s v="N"/>
    <s v="Grupo Ocean Pact"/>
    <s v="Aiuka"/>
    <s v="-"/>
    <s v="-"/>
    <s v="-"/>
    <s v="-"/>
    <s v="-"/>
    <x v="202"/>
    <n v="17.96"/>
    <n v="0"/>
    <n v="0"/>
    <n v="0"/>
    <n v="0"/>
    <n v="0"/>
    <s v="Reserva importada do Sistema TMS. OS: 78342"/>
    <s v="Fornecedor não preenchido! (ACC01)"/>
    <s v="ARGO(TMS)"/>
    <s v="Falta de Fornecedor"/>
    <s v="Campo Fornecedor"/>
    <s v="Dados do Fornecedor"/>
    <s v="Qualidade dos dados"/>
    <s v="KONTIK BUSINESS TRAVEL"/>
  </r>
  <r>
    <n v="22868099"/>
    <n v="23647178"/>
    <s v="ACC01"/>
    <x v="235"/>
    <d v="2025-09-11T13:45:30"/>
    <s v="0 a 02 dias"/>
    <s v="06 a 08 dias"/>
    <s v="5J9R1U"/>
    <s v="TMS"/>
    <s v="DOUGLAS LEITE"/>
    <s v="JOSE ALEXANDRE SOARES CALDAS"/>
    <s v="JOSE ALEXANDRE SOARES CALDAS"/>
    <x v="167"/>
    <n v="79397"/>
    <s v="-"/>
    <s v="OFF LINE"/>
    <s v="Cartão de crédito"/>
    <s v="Cartão de crédito"/>
    <s v="Serviço"/>
    <s v="N"/>
    <s v="Grupo Ocean Pact"/>
    <s v="Oceanpact Geociencias"/>
    <s v="-"/>
    <s v="-"/>
    <s v="-"/>
    <s v="KON-OPE-RIO-POS-OCEANPACT"/>
    <s v="-"/>
    <x v="203"/>
    <n v="0"/>
    <n v="0"/>
    <n v="0"/>
    <n v="0"/>
    <n v="0"/>
    <n v="0"/>
    <s v="Reserva importada do Sistema TMS. OS: 79397"/>
    <s v="Fornecedor não preenchido! (ACC01)"/>
    <s v="ARGO(TMS)"/>
    <s v="Falta de Fornecedor"/>
    <s v="Campo Fornecedor"/>
    <s v="Dados do Fornecedor"/>
    <s v="Qualidade dos dados"/>
    <s v="KONTIK BUSINESS TRAVEL"/>
  </r>
  <r>
    <n v="22854207"/>
    <n v="23635026"/>
    <s v="ACC01"/>
    <x v="236"/>
    <d v="2025-09-11T13:37:13"/>
    <s v="0 a 02 dias"/>
    <s v="09 a 15 dias"/>
    <s v="5JN1DE"/>
    <s v="TMS"/>
    <s v="FELIPE MATTOS"/>
    <s v="Nataly Franca Regal de Castro"/>
    <s v="Nataly Franca Regal de Castro"/>
    <x v="168"/>
    <n v="78811"/>
    <s v="-"/>
    <s v="OFF LINE"/>
    <s v="Invoice"/>
    <s v="Faturado"/>
    <s v="Serviço"/>
    <s v="N"/>
    <s v="Grupo Ocean Pact"/>
    <s v="Environpact Sustentabilidade e Resiliencia"/>
    <s v="-"/>
    <s v="-"/>
    <s v="-"/>
    <s v="KON-OPE-RIO-POS-OCEANPACT"/>
    <s v="-"/>
    <x v="204"/>
    <n v="0"/>
    <n v="0"/>
    <n v="0"/>
    <n v="0"/>
    <n v="0"/>
    <n v="0"/>
    <s v="Reserva importada do Sistema TMS. OS: 78811"/>
    <s v="Fornecedor não preenchido! (ACC01)"/>
    <s v="ARGO(TMS)"/>
    <s v="Falta de Fornecedor"/>
    <s v="Campo Fornecedor"/>
    <s v="Dados do Fornecedor"/>
    <s v="Qualidade dos dados"/>
    <s v="KONTIK BUSINESS TRAVEL"/>
  </r>
  <r>
    <n v="22872305"/>
    <n v="23651322"/>
    <s v="ACC01"/>
    <x v="237"/>
    <d v="2025-09-12T06:10:43"/>
    <s v="0 a 02 dias"/>
    <s v="06 a 08 dias"/>
    <s v="5JZJRI"/>
    <s v="TMS"/>
    <s v="MATHEUS BEZERRA MENDES"/>
    <s v="Tms"/>
    <s v="Tms"/>
    <x v="169"/>
    <n v="79441"/>
    <s v="-"/>
    <s v="OFF LINE"/>
    <s v="Invoice"/>
    <s v="Faturado"/>
    <s v="Serviço"/>
    <s v="N"/>
    <s v="Grupo Ocean Pact"/>
    <s v="Oceanpact Marau Navegacao"/>
    <s v="-"/>
    <s v="-"/>
    <s v="-"/>
    <s v="KON-OPE-RIO-POS-OCEANPACT"/>
    <s v="-"/>
    <x v="205"/>
    <n v="24.98"/>
    <n v="0"/>
    <n v="0"/>
    <n v="0"/>
    <n v="0"/>
    <n v="0"/>
    <s v="Reserva importada do Sistema TMS. OS: 79441"/>
    <s v="Fornecedor não preenchido! (ACC01)"/>
    <s v="ARGO(TMS)"/>
    <s v="Falta de Fornecedor"/>
    <s v="Campo Fornecedor"/>
    <s v="Dados do Fornecedor"/>
    <s v="Qualidade dos dados"/>
    <s v="KONTIK BUSINESS TRAVEL"/>
  </r>
  <r>
    <n v="22897767"/>
    <n v="23672652"/>
    <s v="ACC01"/>
    <x v="238"/>
    <d v="2025-09-11T14:18:22"/>
    <s v="0 a 02 dias"/>
    <s v="03 a 05 dias"/>
    <s v="5KKNID"/>
    <s v="TMS"/>
    <s v="JOAO DE MENDONCA"/>
    <s v="Nataly Franca Regal de Castro"/>
    <s v="Nataly Franca Regal de Castro"/>
    <x v="170"/>
    <n v="80010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206"/>
    <n v="0"/>
    <n v="0"/>
    <n v="0"/>
    <n v="0"/>
    <n v="0"/>
    <n v="0"/>
    <s v="Reserva importada do Sistema TMS. OS: 80010"/>
    <s v="Fornecedor não preenchido! (ACC01)"/>
    <s v="ARGO(TMS)"/>
    <s v="Falta de Fornecedor"/>
    <s v="Campo Fornecedor"/>
    <s v="Dados do Fornecedor"/>
    <s v="Qualidade dos dados"/>
    <s v="KONTIK BUSINESS TRAVEL"/>
  </r>
  <r>
    <n v="22911460"/>
    <n v="23684623"/>
    <s v="ACC01"/>
    <x v="239"/>
    <d v="2025-09-11T19:30:46"/>
    <s v="0 a 02 dias"/>
    <s v="0 a 02 dias"/>
    <s v="DGXYUST"/>
    <s v="SABRE"/>
    <s v="RODRIGUES ALVES DINIZ/LUCAS"/>
    <s v="WS"/>
    <s v="WS"/>
    <x v="171"/>
    <s v="DGXYUS"/>
    <s v="-"/>
    <s v="ON LINE"/>
    <s v="Pagamento direto"/>
    <s v="Pagamento direto"/>
    <s v="Hotel"/>
    <s v="N"/>
    <s v="Grupo Adidas"/>
    <s v="Adidas do Brasil Ltda"/>
    <s v="-"/>
    <s v="-"/>
    <s v="-"/>
    <s v="FCM-OPE-SAO-PVI-BTC-CONCUR"/>
    <s v="-"/>
    <x v="207"/>
    <n v="32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10809"/>
    <n v="23683994"/>
    <s v="ACC01"/>
    <x v="240"/>
    <d v="2025-09-11T19:51:31"/>
    <s v="0 a 02 dias"/>
    <s v="0 a 02 dias"/>
    <s v="5KIEBJ"/>
    <s v="TMS"/>
    <s v="GERALDO MORENO"/>
    <s v="Tms"/>
    <s v="Tms"/>
    <x v="172"/>
    <n v="26014"/>
    <s v="São Paulo / SAO"/>
    <s v="ON LINE"/>
    <s v="Invoice"/>
    <s v="Faturado"/>
    <s v="Carro"/>
    <s v="N"/>
    <s v="Grupo Enaex"/>
    <s v="Enaex"/>
    <s v="-"/>
    <s v="-"/>
    <s v="-"/>
    <s v="KON-OPE-RIO-PVI-ENAEX"/>
    <s v="-"/>
    <x v="208"/>
    <n v="0"/>
    <n v="0"/>
    <n v="0"/>
    <n v="0"/>
    <n v="0"/>
    <n v="0"/>
    <s v="Reserva importada do Sistema TMS. OS: 26014"/>
    <s v="Fornecedor não preenchido! (ACC01)"/>
    <s v="ARGO(TMS)"/>
    <s v="Falta de Fornecedor"/>
    <s v="Campo Fornecedor"/>
    <s v="Dados do Fornecedor"/>
    <s v="Qualidade dos dados"/>
    <s v="KONTIK BUSINESS TRAVEL"/>
  </r>
  <r>
    <n v="22910812"/>
    <n v="23683997"/>
    <s v="ACC01"/>
    <x v="241"/>
    <d v="2025-09-11T19:51:31"/>
    <s v="0 a 02 dias"/>
    <s v="0 a 02 dias"/>
    <s v="5KMFBU"/>
    <s v="TMS"/>
    <s v="PAULO SILVA"/>
    <s v="Tms"/>
    <s v="Tms"/>
    <x v="173"/>
    <n v="26006"/>
    <s v="Campo Grande / CGR"/>
    <s v="ON LINE"/>
    <s v="Invoice"/>
    <s v="Faturado"/>
    <s v="Carro"/>
    <s v="N"/>
    <s v="Grupo Enaex"/>
    <s v="Enaex"/>
    <s v="-"/>
    <s v="-"/>
    <s v="-"/>
    <s v="KON-OPE-RIO-PVI-ENAEX"/>
    <s v="-"/>
    <x v="209"/>
    <n v="0"/>
    <n v="0"/>
    <n v="0"/>
    <n v="0"/>
    <n v="0"/>
    <n v="0"/>
    <s v="Reserva importada do Sistema TMS. OS: 26006"/>
    <s v="Fornecedor não preenchido! (ACC01)"/>
    <s v="ARGO(TMS)"/>
    <s v="Falta de Fornecedor"/>
    <s v="Campo Fornecedor"/>
    <s v="Dados do Fornecedor"/>
    <s v="Qualidade dos dados"/>
    <s v="KONTIK BUSINESS TRAVEL"/>
  </r>
  <r>
    <n v="22910814"/>
    <n v="23683999"/>
    <s v="ACC01"/>
    <x v="242"/>
    <d v="2025-09-11T19:51:36"/>
    <s v="0 a 02 dias"/>
    <s v="0 a 02 dias"/>
    <s v="5KXFMU"/>
    <s v="TMS"/>
    <s v="CLEITON FAGUNDES"/>
    <s v="Tms"/>
    <s v="Tms"/>
    <x v="174"/>
    <n v="26001"/>
    <s v="Confins / CNF"/>
    <s v="ON LINE"/>
    <s v="Invoice"/>
    <s v="Faturado"/>
    <s v="Carro"/>
    <s v="N"/>
    <s v="Grupo Enaex"/>
    <s v="Enaex"/>
    <s v="-"/>
    <s v="-"/>
    <s v="-"/>
    <s v="KON-OPE-RIO-PVI-ENAEX"/>
    <s v="-"/>
    <x v="210"/>
    <n v="0"/>
    <n v="0"/>
    <n v="0"/>
    <n v="0"/>
    <n v="0"/>
    <n v="0"/>
    <s v="Reserva importada do Sistema TMS. OS: 26001"/>
    <s v="Fornecedor não preenchido! (ACC01)"/>
    <s v="ARGO(TMS)"/>
    <s v="Falta de Fornecedor"/>
    <s v="Campo Fornecedor"/>
    <s v="Dados do Fornecedor"/>
    <s v="Qualidade dos dados"/>
    <s v="KONTIK BUSINESS TRAVEL"/>
  </r>
  <r>
    <n v="22910818"/>
    <n v="23684003"/>
    <s v="ACC01"/>
    <x v="243"/>
    <d v="2025-09-11T19:51:41"/>
    <s v="0 a 02 dias"/>
    <s v="0 a 02 dias"/>
    <s v="5KR40J"/>
    <s v="TMS"/>
    <s v="LARISSA MORAES PERES"/>
    <s v="Tms"/>
    <s v="Tms"/>
    <x v="175"/>
    <n v="25997"/>
    <s v="Maceio / MCZ"/>
    <s v="ON LINE"/>
    <s v="Invoice"/>
    <s v="Faturado"/>
    <s v="Carro"/>
    <s v="N"/>
    <s v="Grupo Enaex"/>
    <s v="Enaex"/>
    <s v="-"/>
    <s v="-"/>
    <s v="-"/>
    <s v="KON-OPE-RIO-PVI-ENAEX"/>
    <s v="-"/>
    <x v="211"/>
    <n v="0"/>
    <n v="0"/>
    <n v="0"/>
    <n v="0"/>
    <n v="0"/>
    <n v="0"/>
    <s v="Reserva importada do Sistema TMS. OS: 25997"/>
    <s v="Fornecedor não preenchido! (ACC01)"/>
    <s v="ARGO(TMS)"/>
    <s v="Falta de Fornecedor"/>
    <s v="Campo Fornecedor"/>
    <s v="Dados do Fornecedor"/>
    <s v="Qualidade dos dados"/>
    <s v="KONTIK BUSINESS TRAVEL"/>
  </r>
  <r>
    <n v="22910638"/>
    <n v="23683825"/>
    <s v="ACC01"/>
    <x v="244"/>
    <d v="2025-09-11T18:25:33"/>
    <s v="0 a 02 dias"/>
    <s v="0 a 02 dias"/>
    <s v="AV8DV5444J4A"/>
    <s v="GOVER"/>
    <s v="Gabriel DIAS LOPES"/>
    <s v="Ana Carolina da Silva"/>
    <s v="Ana Carolina da Silva"/>
    <x v="176"/>
    <n v="4594923"/>
    <s v="Localiza - Br - Mg - Ouro Branco - Centro Endereço: Av Marisa de Sousa Mendes, 150"/>
    <s v="OFF LINE"/>
    <s v="Invoice"/>
    <s v="Faturado"/>
    <s v="Carro"/>
    <s v="N"/>
    <s v="Grupo Arcadis"/>
    <s v="Arcadis"/>
    <s v="-"/>
    <s v="-"/>
    <s v="-"/>
    <s v="FCM-OPE-SAO-PVI-ARCADIS"/>
    <s v="-"/>
    <x v="212"/>
    <n v="0"/>
    <n v="0"/>
    <n v="0"/>
    <n v="0"/>
    <n v="0"/>
    <n v="0"/>
    <s v="Reserva importada do sistema Gover. Id: 4594923"/>
    <s v="Fornecedor não preenchido! (ACC01)"/>
    <s v="GOVER"/>
    <s v="Falta de Fornecedor"/>
    <s v="Campo Fornecedor"/>
    <s v="Dados do Fornecedor"/>
    <s v="Qualidade dos dados"/>
    <s v="KONTIK BUSINESS TRAVEL"/>
  </r>
  <r>
    <n v="22856038"/>
    <n v="23636797"/>
    <s v="ACC01"/>
    <x v="245"/>
    <d v="2025-09-11T13:38:08"/>
    <s v="0 a 02 dias"/>
    <s v="09 a 15 dias"/>
    <s v="5J5O6C"/>
    <s v="TMS"/>
    <s v="DIOGO LUIZ CALIXTO DE ARAUJO"/>
    <s v="Tms"/>
    <s v="Tms"/>
    <x v="177"/>
    <n v="84880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3"/>
    <n v="0"/>
    <n v="0"/>
    <n v="0"/>
    <n v="0"/>
    <n v="7.45"/>
    <n v="0"/>
    <s v="Reserva importada do Sistema TMS. OS: 84880"/>
    <s v="Fornecedor não preenchido! (ACC01)"/>
    <s v="ARGO(TMS)"/>
    <s v="Falta de Fornecedor"/>
    <s v="Campo Fornecedor"/>
    <s v="Dados do Fornecedor"/>
    <s v="Sistêmico"/>
    <s v="GRUPO KONTIK"/>
  </r>
  <r>
    <n v="22813308"/>
    <n v="23600132"/>
    <s v="ACC01"/>
    <x v="246"/>
    <d v="2025-09-11T13:27:30"/>
    <s v="0 a 02 dias"/>
    <s v="16 a 23 dias"/>
    <s v="5I5V7V"/>
    <s v="TMS"/>
    <s v="MICHEL SANTOS"/>
    <s v="Tms"/>
    <s v="Tms"/>
    <x v="178"/>
    <n v="83770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4"/>
    <n v="0"/>
    <n v="0"/>
    <n v="0"/>
    <n v="0"/>
    <n v="26.5"/>
    <n v="0"/>
    <s v="Reserva importada do Sistema TMS. OS: 83770"/>
    <s v="Fornecedor não preenchido! (ACC01)"/>
    <s v="ARGO(TMS)"/>
    <s v="Falta de Fornecedor"/>
    <s v="Campo Fornecedor"/>
    <s v="Dados do Fornecedor"/>
    <s v="Sistêmico"/>
    <s v="GRUPO KONTIK"/>
  </r>
  <r>
    <n v="22808694"/>
    <n v="23596230"/>
    <s v="ACC01"/>
    <x v="247"/>
    <d v="2025-09-11T13:27:28"/>
    <s v="0 a 02 dias"/>
    <s v="16 a 23 dias"/>
    <s v="5IQDHE"/>
    <s v="TMS"/>
    <s v="SIMONE COELHO"/>
    <s v="Tms"/>
    <s v="Tms"/>
    <x v="179"/>
    <n v="83677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5"/>
    <n v="0"/>
    <n v="0"/>
    <n v="0"/>
    <n v="0"/>
    <n v="27.5"/>
    <n v="0"/>
    <s v="Reserva importada do Sistema TMS. OS: 83677"/>
    <s v="Fornecedor não preenchido! (ACC01)"/>
    <s v="ARGO(TMS)"/>
    <s v="Falta de Fornecedor"/>
    <s v="Campo Fornecedor"/>
    <s v="Dados do Fornecedor"/>
    <s v="Sistêmico"/>
    <s v="GRUPO KONTIK"/>
  </r>
  <r>
    <n v="22890674"/>
    <n v="23666236"/>
    <s v="ACC01"/>
    <x v="248"/>
    <d v="2025-09-11T14:02:50"/>
    <s v="0 a 02 dias"/>
    <s v="03 a 05 dias"/>
    <s v="5KSR71"/>
    <s v="TMS"/>
    <s v="DANIEL ABEID"/>
    <s v="Tms"/>
    <s v="Tms"/>
    <x v="180"/>
    <n v="86219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6"/>
    <n v="0"/>
    <n v="0"/>
    <n v="0"/>
    <n v="0"/>
    <n v="44.62"/>
    <n v="0"/>
    <s v="Reserva importada do Sistema TMS. OS: 86219"/>
    <s v="Fornecedor não preenchido! (ACC01)"/>
    <s v="ARGO(TMS)"/>
    <s v="Falta de Fornecedor"/>
    <s v="Campo Fornecedor"/>
    <s v="Dados do Fornecedor"/>
    <s v="Sistêmico"/>
    <s v="GRUPO KONTIK"/>
  </r>
  <r>
    <n v="22890697"/>
    <n v="23666255"/>
    <s v="ACC01"/>
    <x v="249"/>
    <d v="2025-09-11T14:02:50"/>
    <s v="0 a 02 dias"/>
    <s v="03 a 05 dias"/>
    <s v="5K3T7Q"/>
    <s v="TMS"/>
    <s v="DANIEL GOMES"/>
    <s v="Tms"/>
    <s v="Tms"/>
    <x v="181"/>
    <n v="86143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7"/>
    <n v="0"/>
    <n v="0"/>
    <n v="0"/>
    <n v="0"/>
    <n v="0"/>
    <n v="0"/>
    <s v="Reserva importada do Sistema TMS. OS: 86143"/>
    <s v="Fornecedor não preenchido! (ACC01)"/>
    <s v="ARGO(TMS)"/>
    <s v="Falta de Fornecedor"/>
    <s v="Campo Fornecedor"/>
    <s v="Dados do Fornecedor"/>
    <s v="Sistêmico"/>
    <s v="GRUPO KONTIK"/>
  </r>
  <r>
    <n v="22890700"/>
    <n v="23666258"/>
    <s v="ACC01"/>
    <x v="250"/>
    <d v="2025-09-11T14:02:51"/>
    <s v="0 a 02 dias"/>
    <s v="03 a 05 dias"/>
    <s v="5K45JA"/>
    <s v="TMS"/>
    <s v="DANIEL GOMES"/>
    <s v="Tms"/>
    <s v="Tms"/>
    <x v="181"/>
    <n v="86137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8"/>
    <n v="0"/>
    <n v="0"/>
    <n v="0"/>
    <n v="0"/>
    <n v="0"/>
    <n v="0"/>
    <s v="Reserva importada do Sistema TMS. OS: 86137"/>
    <s v="Fornecedor não preenchido! (ACC01)"/>
    <s v="ARGO(TMS)"/>
    <s v="Falta de Fornecedor"/>
    <s v="Campo Fornecedor"/>
    <s v="Dados do Fornecedor"/>
    <s v="Sistêmico"/>
    <s v="GRUPO KONTIK"/>
  </r>
  <r>
    <n v="22899047"/>
    <n v="23673746"/>
    <s v="ACC01"/>
    <x v="251"/>
    <d v="2025-09-11T14:21:40"/>
    <s v="0 a 02 dias"/>
    <s v="0 a 02 dias"/>
    <s v="5KIOZ4"/>
    <s v="TMS"/>
    <s v="VALERIA CABRAL"/>
    <s v="Tms"/>
    <s v="Tms"/>
    <x v="182"/>
    <n v="86605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19"/>
    <n v="0"/>
    <n v="0"/>
    <n v="0"/>
    <n v="0"/>
    <n v="22.36"/>
    <n v="0"/>
    <s v="Reserva importada do Sistema TMS. OS: 86605"/>
    <s v="Fornecedor não preenchido! (ACC01)"/>
    <s v="ARGO(TMS)"/>
    <s v="Falta de Fornecedor"/>
    <s v="Campo Fornecedor"/>
    <s v="Dados do Fornecedor"/>
    <s v="Sistêmico"/>
    <s v="GRUPO KONTIK"/>
  </r>
  <r>
    <n v="22876999"/>
    <n v="23655600"/>
    <s v="ACC01"/>
    <x v="252"/>
    <d v="2025-09-11T13:55:08"/>
    <s v="0 a 02 dias"/>
    <s v="06 a 08 dias"/>
    <s v="5JLPYL"/>
    <s v="TMS"/>
    <s v="MEIRE SILVA"/>
    <s v="Tms"/>
    <s v="Tms"/>
    <x v="183"/>
    <n v="8239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0"/>
    <n v="0"/>
    <n v="0"/>
    <n v="0"/>
    <n v="0"/>
    <n v="0"/>
    <n v="0"/>
    <s v="Reserva importada do Sistema TMS. OS: 82398"/>
    <s v="Fornecedor não preenchido! (ACC01)"/>
    <s v="ARGO(TMS)"/>
    <s v="Falta de Fornecedor"/>
    <s v="Campo Fornecedor"/>
    <s v="Dados do Fornecedor"/>
    <s v="Sistêmico"/>
    <s v="GRUPO KONTIK"/>
  </r>
  <r>
    <n v="22910433"/>
    <n v="23683632"/>
    <s v="ACC01"/>
    <x v="253"/>
    <d v="2025-09-11T19:00:18"/>
    <s v="0 a 02 dias"/>
    <s v="0 a 02 dias"/>
    <s v="5KPJI6"/>
    <s v="TMS"/>
    <s v="DEBORA SILVA"/>
    <s v="Ariane de Sousa Farias"/>
    <s v="Ariane de Sousa Farias"/>
    <x v="184"/>
    <n v="86054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1"/>
    <n v="0"/>
    <n v="0"/>
    <n v="0"/>
    <n v="0"/>
    <n v="2"/>
    <n v="0"/>
    <s v="Reserva importada do Sistema TMS. OS: 86054"/>
    <s v="Fornecedor não preenchido! (ACC01)"/>
    <s v="ARGO(TMS)"/>
    <s v="Falta de Fornecedor"/>
    <s v="Campo Fornecedor"/>
    <s v="Dados do Fornecedor"/>
    <s v="Qualidade dos dados"/>
    <s v="KONTIK BUSINESS TRAVEL"/>
  </r>
  <r>
    <n v="22912432"/>
    <n v="23685416"/>
    <s v="ACC01"/>
    <x v="254"/>
    <d v="2025-09-12T00:17:01"/>
    <s v="0 a 02 dias"/>
    <s v="0 a 02 dias"/>
    <s v="5KDE4J"/>
    <s v="TMS"/>
    <s v="MARCELO ALMEIDA"/>
    <s v="Ariane de Sousa Farias"/>
    <s v="Ariane de Sousa Farias"/>
    <x v="185"/>
    <n v="85481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22"/>
    <n v="0"/>
    <n v="0"/>
    <n v="0"/>
    <n v="0"/>
    <n v="155"/>
    <n v="0"/>
    <s v="Reserva importada do Sistema TMS. OS: 85481"/>
    <s v="Fornecedor não preenchido! (ACC01)"/>
    <s v="ARGO(TMS)"/>
    <s v="Falta de Fornecedor"/>
    <s v="Campo Fornecedor"/>
    <s v="Dados do Fornecedor"/>
    <s v="Qualidade dos dados"/>
    <s v="KONTIK BUSINESS TRAVEL"/>
  </r>
  <r>
    <n v="22836594"/>
    <n v="23621254"/>
    <s v="ACC01"/>
    <x v="255"/>
    <d v="2025-09-11T13:36:22"/>
    <s v="0 a 02 dias"/>
    <s v="09 a 15 dias"/>
    <s v="5JIJHB"/>
    <s v="TMS"/>
    <s v="DENISE HILLS LOPES"/>
    <s v="Tms"/>
    <s v="Tms"/>
    <x v="186"/>
    <n v="23248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223"/>
    <n v="0"/>
    <n v="0"/>
    <n v="0"/>
    <n v="0"/>
    <n v="60.15"/>
    <n v="0"/>
    <s v="Reserva importada do Sistema TMS. OS: 23248"/>
    <s v="Fornecedor não preenchido! (ACC01)"/>
    <s v="ARGO(TMS)"/>
    <s v="Falta de Fornecedor"/>
    <s v="Campo Fornecedor"/>
    <s v="Dados do Fornecedor"/>
    <s v="Sistêmico"/>
    <s v="GRUPO KONTIK"/>
  </r>
  <r>
    <n v="22908578"/>
    <n v="23681861"/>
    <s v="ACC01"/>
    <x v="256"/>
    <d v="2025-09-11T14:46:21"/>
    <s v="0 a 02 dias"/>
    <s v="0 a 02 dias"/>
    <s v="5KNZTY"/>
    <s v="TMS"/>
    <s v="RODRIGO DIAS"/>
    <s v="Marcelo Ignacio de Lima"/>
    <s v="Marcelo Ignacio de Lima"/>
    <x v="187"/>
    <n v="24111"/>
    <s v="-"/>
    <s v="OFF LINE"/>
    <s v="Cartão de crédito"/>
    <s v="Cartão de crédito"/>
    <s v="Hotel"/>
    <s v="N"/>
    <s v="Grupo Taesa"/>
    <s v="Taesa Matriz"/>
    <s v="-"/>
    <s v="-"/>
    <s v="-"/>
    <s v="KON-OPE-RIO-POS-TAESA"/>
    <s v="-"/>
    <x v="224"/>
    <n v="0"/>
    <n v="0"/>
    <n v="0"/>
    <n v="0"/>
    <n v="235.03"/>
    <n v="0"/>
    <s v="Reserva importada do Sistema TMS. OS: 24111"/>
    <s v="Fornecedor não preenchido! (ACC01)"/>
    <s v="ARGO(TMS)"/>
    <s v="Falta de Fornecedor"/>
    <s v="Campo Fornecedor"/>
    <s v="Dados do Fornecedor"/>
    <s v="Qualidade dos dados"/>
    <s v="KONTIK BUSINESS TRAVEL"/>
  </r>
  <r>
    <n v="22850255"/>
    <n v="23631805"/>
    <s v="ACC01"/>
    <x v="257"/>
    <d v="2025-09-11T13:37:10"/>
    <s v="0 a 02 dias"/>
    <s v="09 a 15 dias"/>
    <s v="5JKATS"/>
    <s v="TMS"/>
    <s v="ARTUR DOS SANTOS"/>
    <s v="Tms"/>
    <s v="Tms"/>
    <x v="188"/>
    <n v="23409"/>
    <s v="-"/>
    <s v="ON LINE"/>
    <s v="Cartão de crédito"/>
    <s v="Cartão de crédito"/>
    <s v="Hotel"/>
    <s v="N"/>
    <s v="Grupo Taesa"/>
    <s v="Ate Iii Transmissora de Energia Eletrica Sa"/>
    <s v="-"/>
    <s v="-"/>
    <s v="-"/>
    <s v="KON-OPE-RIO-POS-TAESA"/>
    <s v="-"/>
    <x v="225"/>
    <n v="0"/>
    <n v="0"/>
    <n v="0"/>
    <n v="0"/>
    <n v="0"/>
    <n v="0"/>
    <s v="Reserva importada do Sistema TMS. OS: 23409"/>
    <s v="Fornecedor não preenchido! (ACC01)"/>
    <s v="ARGO(TMS)"/>
    <s v="Falta de Fornecedor"/>
    <s v="Campo Fornecedor"/>
    <s v="Dados do Fornecedor"/>
    <s v="Sistêmico"/>
    <s v="GRUPO KONTIK"/>
  </r>
  <r>
    <n v="22879226"/>
    <n v="23657557"/>
    <s v="ACC01"/>
    <x v="258"/>
    <d v="2025-09-12T06:10:43"/>
    <s v="0 a 02 dias"/>
    <s v="06 a 08 dias"/>
    <s v="5K6J3M"/>
    <s v="TMS"/>
    <s v="HELDON SOARES"/>
    <s v="Marcia Fernandes de Sousa"/>
    <s v="Marcelo Ignacio de Lima"/>
    <x v="189"/>
    <n v="23518"/>
    <s v="-"/>
    <s v="OFF LINE"/>
    <s v="Invoice"/>
    <s v="Faturado"/>
    <s v="Serviço"/>
    <s v="N"/>
    <s v="Grupo Taesa"/>
    <s v="Nvt - Novatrans Energia"/>
    <s v="-"/>
    <s v="-"/>
    <s v="-"/>
    <s v="KON-OPE-RIO-POS-TAESA"/>
    <s v="-"/>
    <x v="226"/>
    <n v="0"/>
    <n v="0"/>
    <n v="0"/>
    <n v="0"/>
    <n v="0"/>
    <n v="0"/>
    <s v="Reserva importada do Sistema TMS. OS: 23518"/>
    <s v="Fornecedor não preenchido! (ACC01)"/>
    <s v="ARGO(TMS)"/>
    <s v="Falta de Fornecedor"/>
    <s v="Campo Fornecedor"/>
    <s v="Dados do Fornecedor"/>
    <s v="Qualidade dos dados"/>
    <s v="KONTIK BUSINESS TRAVEL"/>
  </r>
  <r>
    <n v="22879228"/>
    <n v="23657559"/>
    <s v="ACC01"/>
    <x v="259"/>
    <d v="2025-09-12T06:10:44"/>
    <s v="0 a 02 dias"/>
    <s v="06 a 08 dias"/>
    <s v="5KK7CP"/>
    <s v="TMS"/>
    <s v="MARCOS SOUSA DE OLIVEIRA"/>
    <s v="Marcia Fernandes de Sousa"/>
    <s v="Marcia Fernandes de Sousa"/>
    <x v="190"/>
    <n v="23482"/>
    <s v="-"/>
    <s v="OFF LINE"/>
    <s v="Invoice"/>
    <s v="Faturado"/>
    <s v="Serviço"/>
    <s v="N"/>
    <s v="Grupo Taesa"/>
    <s v="Nvt - Novatrans Energia"/>
    <s v="-"/>
    <s v="-"/>
    <s v="-"/>
    <s v="KON-OPE-RIO-POS-TAESA"/>
    <s v="-"/>
    <x v="227"/>
    <n v="0"/>
    <n v="0"/>
    <n v="0"/>
    <n v="0"/>
    <n v="0"/>
    <n v="0"/>
    <s v="Reserva importada do Sistema TMS. OS: 23482"/>
    <s v="Fornecedor não preenchido! (ACC01)"/>
    <s v="ARGO(TMS)"/>
    <s v="Falta de Fornecedor"/>
    <s v="Campo Fornecedor"/>
    <s v="Dados do Fornecedor"/>
    <s v="Qualidade dos dados"/>
    <s v="KONTIK BUSINESS TRAVEL"/>
  </r>
  <r>
    <n v="22829518"/>
    <n v="23614943"/>
    <s v="ACC01"/>
    <x v="260"/>
    <d v="2025-08-29T08:25:11"/>
    <s v="09 a 15 dias"/>
    <s v="09 a 15 dias"/>
    <s v="CPOCYVT"/>
    <s v="SABRE"/>
    <s v="SIMON/PRISCILA MS"/>
    <s v="WS"/>
    <s v="WS"/>
    <x v="191"/>
    <s v="CPOCYV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8"/>
    <n v="52.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88286"/>
    <n v="23663769"/>
    <s v="ACC01"/>
    <x v="261"/>
    <d v="2025-09-12T03:01:09"/>
    <s v="0 a 02 dias"/>
    <s v="03 a 05 dias"/>
    <s v="HVAXQGT"/>
    <s v="SABRE"/>
    <s v="DE SOUZA SAMPAIO/PAULO EDUARDO MR"/>
    <s v="WS"/>
    <s v="WS"/>
    <x v="192"/>
    <s v="HVAXQG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9"/>
    <n v="59.3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10833"/>
    <n v="23684016"/>
    <s v="ACC01"/>
    <x v="262"/>
    <d v="2025-09-11T19:55:50"/>
    <s v="0 a 02 dias"/>
    <s v="0 a 02 dias"/>
    <s v="5KE5PU"/>
    <s v="TMS"/>
    <s v="LUIZ OLIVEIRA"/>
    <s v="Tms"/>
    <s v="Tms"/>
    <x v="193"/>
    <n v="3848"/>
    <s v="Porto Alegre / POA"/>
    <s v="ON LINE"/>
    <s v="Invoice"/>
    <s v="Faturado"/>
    <s v="Carro"/>
    <s v="N"/>
    <s v="Grupo Epson"/>
    <s v="Epson"/>
    <s v="-"/>
    <s v="-"/>
    <s v="-"/>
    <s v="KON-OPE-SAO-PVI-BTC-ARGO"/>
    <s v="-"/>
    <x v="230"/>
    <n v="0"/>
    <n v="0"/>
    <n v="0"/>
    <n v="0"/>
    <n v="0"/>
    <n v="0"/>
    <s v="Reserva importada do Sistema TMS. OS: 3848"/>
    <s v="Fornecedor não preenchido! (ACC01)"/>
    <s v="ARGO(TMS)"/>
    <s v="Falta de Fornecedor"/>
    <s v="Campo Fornecedor"/>
    <s v="Dados do Fornecedor"/>
    <s v="Qualidade dos dados"/>
    <s v="KONTIK BUSINESS TRAVEL"/>
  </r>
  <r>
    <n v="22870111"/>
    <n v="23649385"/>
    <s v="ACC01"/>
    <x v="263"/>
    <d v="2025-09-04T18:31:53"/>
    <s v="06 a 08 dias"/>
    <s v="06 a 08 dias"/>
    <s v="HEBNUZT"/>
    <s v="SABRE"/>
    <s v="SCHLIEPER/LUCIA PAULA MRS"/>
    <s v="CT"/>
    <s v="CT"/>
    <x v="194"/>
    <s v="HEBNUZ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1"/>
    <n v="130.7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70112"/>
    <n v="23649386"/>
    <s v="ACC01"/>
    <x v="264"/>
    <d v="2025-09-04T18:31:54"/>
    <s v="06 a 08 dias"/>
    <s v="06 a 08 dias"/>
    <s v="HCYKJUT"/>
    <s v="SABRE"/>
    <s v="VITOR/SHEILA RODRIGUES MRS"/>
    <s v="CT"/>
    <s v="CT"/>
    <x v="195"/>
    <s v="HCYKJU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2"/>
    <n v="130.7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70114"/>
    <n v="23649388"/>
    <s v="ACC01"/>
    <x v="265"/>
    <d v="2025-09-04T18:31:56"/>
    <s v="06 a 08 dias"/>
    <s v="06 a 08 dias"/>
    <s v="SYPVJFT"/>
    <s v="SABRE"/>
    <s v="SHIBATA/INACIO HIDEO MR"/>
    <s v="CT"/>
    <s v="CT"/>
    <x v="196"/>
    <s v="SYPVJF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3"/>
    <n v="108.7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70116"/>
    <n v="23649390"/>
    <s v="ACC01"/>
    <x v="266"/>
    <d v="2025-09-04T18:31:57"/>
    <s v="06 a 08 dias"/>
    <s v="06 a 08 dias"/>
    <s v="OKQNMET"/>
    <s v="SABRE"/>
    <s v="YOSHIKAWA/MARCIO AKIO"/>
    <s v="CT"/>
    <s v="CT"/>
    <x v="197"/>
    <s v="OKQNME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4"/>
    <n v="108.7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127"/>
    <n v="23679095"/>
    <s v="ACC01"/>
    <x v="267"/>
    <d v="2025-09-10T21:27:36"/>
    <s v="0 a 02 dias"/>
    <s v="0 a 02 dias"/>
    <s v="EVTEDFT"/>
    <s v="SABRE"/>
    <s v="MARINHO KOITLA/ANETE"/>
    <s v="Renata Rosenthal dos Santos"/>
    <s v="Renata Rosenthal dos Santos"/>
    <x v="198"/>
    <s v="EVTEDF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98207"/>
    <n v="23673065"/>
    <s v="ACC01"/>
    <x v="268"/>
    <d v="2025-09-11T14:20:47"/>
    <s v="0 a 02 dias"/>
    <s v="03 a 05 dias"/>
    <s v="5KSBQV"/>
    <s v="TMS"/>
    <s v="SIDNEI SANTANA"/>
    <s v="Tms"/>
    <s v="Tms"/>
    <x v="199"/>
    <n v="27976"/>
    <s v="Lucas do Rio Verde / LVR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36"/>
    <n v="0"/>
    <n v="0"/>
    <n v="0"/>
    <n v="0"/>
    <n v="0"/>
    <n v="0"/>
    <s v="Reserva importada do Sistema TMS. OS: 27976"/>
    <s v="Fornecedor não preenchido! (ACC01)"/>
    <s v="ARGO(TMS)"/>
    <s v="Falta de Fornecedor"/>
    <s v="Campo Fornecedor"/>
    <s v="Dados do Fornecedor"/>
    <s v="Qualidade dos dados"/>
    <s v="KONTIK BUSINESS TRAVEL"/>
  </r>
  <r>
    <n v="22861468"/>
    <n v="23641462"/>
    <s v="ACC01"/>
    <x v="269"/>
    <d v="2025-09-03T13:40:38"/>
    <s v="09 a 15 dias"/>
    <s v="09 a 15 dias"/>
    <s v="MV2FU13M5OBR"/>
    <s v="GOVER"/>
    <s v="Icaro Alexandre Bortolin"/>
    <s v="Michelly Andrade Leandro da Silva"/>
    <s v="Michelly Andrade Leandro da Silva"/>
    <x v="200"/>
    <n v="4591950"/>
    <s v="Movida - Br - Sp - Sao Paulo - Itaim Bibi - Joa Fl Endereço: Av. Pres. Juscelino Kubitschek, 881"/>
    <s v="OFF LINE"/>
    <s v="Invoice"/>
    <s v="Faturado"/>
    <s v="Carro"/>
    <s v="N"/>
    <s v="Grupo Winity"/>
    <s v="Winity"/>
    <s v="-"/>
    <s v="-"/>
    <s v="-"/>
    <s v="KON-OPE-RIO-PVI-PATRIA"/>
    <s v="-"/>
    <x v="237"/>
    <n v="0"/>
    <n v="0"/>
    <n v="0"/>
    <n v="0"/>
    <n v="0"/>
    <n v="0"/>
    <s v="Reserva importada do sistema Gover. Id: 4591950"/>
    <s v="Fornecedor não preenchido! (ACC01)"/>
    <s v="GOVER"/>
    <s v="Falta de Fornecedor"/>
    <s v="Campo Fornecedor"/>
    <s v="Dados do Fornecedor"/>
    <s v="Qualidade dos dados"/>
    <s v="KONTIK BUSINESS TRAVEL"/>
  </r>
  <r>
    <n v="22903246"/>
    <n v="23677338"/>
    <s v="ACC01"/>
    <x v="270"/>
    <d v="2025-09-11T04:16:49"/>
    <s v="0 a 02 dias"/>
    <s v="0 a 02 dias"/>
    <s v="EOSUZM"/>
    <s v="GOVER"/>
    <s v="Dieres Goncalves Rocha"/>
    <s v="Gover"/>
    <s v="Gover"/>
    <x v="201"/>
    <n v="4595581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38"/>
    <n v="28.3"/>
    <n v="0"/>
    <n v="0"/>
    <n v="0"/>
    <n v="0"/>
    <n v="0"/>
    <s v="Reserva importada do sistema Gover. Id: 4595581"/>
    <s v="Fornecedor não preenchido! (ACC01)"/>
    <s v="GOVER"/>
    <s v="Falta de Fornecedor"/>
    <s v="Campo Fornecedor"/>
    <s v="Dados do Fornecedor"/>
    <s v="Sistêmico"/>
    <s v="GRUPO KONTIK"/>
  </r>
  <r>
    <n v="22903247"/>
    <n v="23677339"/>
    <s v="ACC01"/>
    <x v="271"/>
    <d v="2025-09-11T04:16:51"/>
    <s v="0 a 02 dias"/>
    <s v="0 a 02 dias"/>
    <s v="MHJOSJ"/>
    <s v="GOVER"/>
    <s v="Dieres Goncalves Rocha"/>
    <s v="Gover"/>
    <s v="Gover"/>
    <x v="202"/>
    <n v="4595589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38"/>
    <n v="28.3"/>
    <n v="0"/>
    <n v="0"/>
    <n v="0"/>
    <n v="0"/>
    <n v="0"/>
    <s v="Reserva importada do sistema Gover. Id: 4595589"/>
    <s v="Fornecedor não preenchido! (ACC01)"/>
    <s v="GOVER"/>
    <s v="Falta de Fornecedor"/>
    <s v="Campo Fornecedor"/>
    <s v="Dados do Fornecedor"/>
    <s v="Sistêmico"/>
    <s v="GRUPO KONTIK"/>
  </r>
  <r>
    <n v="22901242"/>
    <n v="23675401"/>
    <s v="ACC01"/>
    <x v="272"/>
    <d v="2025-09-11T03:49:11"/>
    <s v="0 a 02 dias"/>
    <s v="0 a 02 dias"/>
    <s v="WDSAMB"/>
    <s v="GOVER"/>
    <s v="IMAD UD DIN MUHAMMAD"/>
    <s v="Gover"/>
    <s v="Gover"/>
    <x v="203"/>
    <n v="4595363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39"/>
    <n v="0"/>
    <n v="0"/>
    <n v="0"/>
    <n v="0"/>
    <n v="0"/>
    <n v="0"/>
    <s v="Reserva importada do sistema Gover. Id: 4595363"/>
    <s v="Fornecedor não preenchido! (ACC01)"/>
    <s v="GOVER"/>
    <s v="Falta de Fornecedor"/>
    <s v="Campo Fornecedor"/>
    <s v="Dados do Fornecedor"/>
    <s v="Sistêmico"/>
    <s v="GRUPO KONTIK"/>
  </r>
  <r>
    <n v="22896637"/>
    <n v="23671556"/>
    <s v="ACC01"/>
    <x v="273"/>
    <d v="2025-09-10T03:48:59"/>
    <s v="0 a 02 dias"/>
    <s v="03 a 05 dias"/>
    <s v="RES003203-15153"/>
    <s v="GOVER"/>
    <s v="Marcos Ribeiro Cabral"/>
    <s v="Gover"/>
    <s v="Gover"/>
    <x v="204"/>
    <n v="4595035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40"/>
    <n v="37.35"/>
    <n v="0"/>
    <n v="0"/>
    <n v="0"/>
    <n v="0"/>
    <n v="0"/>
    <s v="Reserva importada do sistema Gover. Id: 4595035"/>
    <s v="Fornecedor não preenchido! (ACC01)"/>
    <s v="GOVER"/>
    <s v="Falta de Fornecedor"/>
    <s v="Campo Fornecedor"/>
    <s v="Dados do Fornecedor"/>
    <s v="Sistêmico"/>
    <s v="GRUPO KONTIK"/>
  </r>
  <r>
    <n v="22903053"/>
    <n v="23677158"/>
    <s v="ACC01"/>
    <x v="274"/>
    <d v="2025-09-11T04:09:48"/>
    <s v="0 a 02 dias"/>
    <s v="0 a 02 dias"/>
    <s v="HKNYHY"/>
    <s v="GOVER"/>
    <s v="Diego Antunes Campos"/>
    <s v="Jose Luiz Lace Rodrigues"/>
    <s v="Jose Luiz Lace Rodrigues"/>
    <x v="205"/>
    <n v="4595597"/>
    <s v="-"/>
    <s v="OFF LINE"/>
    <s v="Pagamento direto"/>
    <s v="Pagamento direto"/>
    <s v="Hotel"/>
    <s v="N"/>
    <s v="Grupo British American Tobacco"/>
    <s v="Souza Cruz"/>
    <s v="-"/>
    <s v="-"/>
    <s v="-"/>
    <s v="FCM-OPE-SAO-PVI-BAT"/>
    <s v="-"/>
    <x v="241"/>
    <n v="0"/>
    <n v="0"/>
    <n v="0"/>
    <n v="0"/>
    <n v="0"/>
    <n v="0"/>
    <s v="Reserva importada do sistema Gover. Id: 4595597"/>
    <s v="Fornecedor não preenchido! (ACC01)"/>
    <s v="GOVER"/>
    <s v="Falta de Fornecedor"/>
    <s v="Campo Fornecedor"/>
    <s v="Dados do Fornecedor"/>
    <s v="Sistêmico"/>
    <s v="GRUPO KONTIK"/>
  </r>
  <r>
    <n v="22903596"/>
    <n v="23677671"/>
    <s v="ACC01"/>
    <x v="275"/>
    <d v="2025-09-11T04:35:33"/>
    <s v="0 a 02 dias"/>
    <s v="0 a 02 dias"/>
    <s v="CF-8646ZIT0506"/>
    <s v="GOVER"/>
    <s v="David Jackson Vieira Borges"/>
    <s v="Sheila Ramos dos Santos"/>
    <s v="Sheila Ramos dos Santos"/>
    <x v="206"/>
    <n v="4595168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42"/>
    <n v="0"/>
    <n v="0"/>
    <n v="0"/>
    <n v="0"/>
    <n v="0"/>
    <n v="0"/>
    <s v="Reserva importada do sistema Gover. Id: 4595168"/>
    <s v="Fornecedor não preenchido! (ACC01)"/>
    <s v="GOVER"/>
    <s v="Falta de Fornecedor"/>
    <s v="Campo Fornecedor"/>
    <s v="Dados do Fornecedor"/>
    <s v="Sistêmico"/>
    <s v="GRUPO KONTIK"/>
  </r>
  <r>
    <n v="22889820"/>
    <n v="23665317"/>
    <s v="ACC01"/>
    <x v="276"/>
    <d v="2025-09-08T15:24:30"/>
    <s v="03 a 05 dias"/>
    <s v="03 a 05 dias"/>
    <s v="WQMDXCC"/>
    <s v="SABRE"/>
    <s v="FERNANDES/PEDRO FOIS MR"/>
    <s v="CT"/>
    <s v="CT"/>
    <x v="207"/>
    <s v="WQMDXC"/>
    <s v="BHZ"/>
    <s v="ON LINE"/>
    <s v="Invoice"/>
    <s v="Faturado"/>
    <s v="Carro"/>
    <s v="N"/>
    <s v="Grupo Innomotics"/>
    <s v="Innomotics Motores e Grandes Conversores Ltda"/>
    <s v="-"/>
    <s v="-"/>
    <s v="-"/>
    <s v="FCM-OPE-SAO-PVI-BTC"/>
    <s v="-"/>
    <x v="243"/>
    <n v="235.1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649"/>
    <n v="23682893"/>
    <s v="ACC01"/>
    <x v="277"/>
    <d v="2025-09-11T16:19:37"/>
    <s v="0 a 02 dias"/>
    <s v="0 a 02 dias"/>
    <s v="GDZQCCT"/>
    <s v="SABRE"/>
    <s v="SOUZA/MARCELA TRIGO DE MRS"/>
    <s v="CORA TORLAI CIRINO"/>
    <s v="CORA TORLAI CIRINO"/>
    <x v="208"/>
    <s v="GDZQCC"/>
    <s v="-"/>
    <s v="OFF LINE"/>
    <s v="Cartão de crédito"/>
    <s v="Cartão de crédito"/>
    <s v="Hotel"/>
    <s v="N"/>
    <s v="Grupo Baker Mckenzie"/>
    <s v="Baker Mckenzie - Rio de Janeiro"/>
    <s v="-"/>
    <s v="-"/>
    <s v="-"/>
    <s v="FCM-OPE-SAO-PVI-BTC"/>
    <s v="-"/>
    <x v="244"/>
    <n v="620.9199999999999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650"/>
    <n v="23682894"/>
    <s v="ACC01"/>
    <x v="278"/>
    <d v="2025-09-11T16:19:38"/>
    <s v="0 a 02 dias"/>
    <s v="0 a 02 dias"/>
    <s v="AULKGDT"/>
    <s v="SABRE"/>
    <s v="CASAGRANDE/PAULO LEONARDO MR"/>
    <s v="CORA TORLAI CIRINO"/>
    <s v="CORA TORLAI CIRINO"/>
    <x v="209"/>
    <s v="AULKGD"/>
    <s v="-"/>
    <s v="OFF LINE"/>
    <s v="Invoice"/>
    <s v="Faturado"/>
    <s v="Hotel"/>
    <s v="N"/>
    <s v="Grupo Baker Mckenzie"/>
    <s v="Baker Mckenzie - Sao Paulo"/>
    <s v="-"/>
    <s v="-"/>
    <s v="-"/>
    <s v="FCM-OPE-SAO-PVI-BTC"/>
    <s v="-"/>
    <x v="24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0"/>
    <n v="23679605"/>
    <s v="ACC01"/>
    <x v="279"/>
    <d v="2025-09-10T22:57:47"/>
    <s v="0 a 02 dias"/>
    <s v="0 a 02 dias"/>
    <s v="EJSKVAT"/>
    <s v="SABRE"/>
    <s v="BENITES/SANDRA"/>
    <s v="Ana Clara Brime"/>
    <s v="Ana Clara Brime"/>
    <x v="210"/>
    <s v="LDK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2"/>
    <n v="23679607"/>
    <s v="ACC01"/>
    <x v="280"/>
    <d v="2025-09-10T22:57:51"/>
    <s v="0 a 02 dias"/>
    <s v="0 a 02 dias"/>
    <s v="NARMXJT"/>
    <s v="SABRE"/>
    <s v="SILVA/WELLINGTON"/>
    <s v="Ana Clara Brime"/>
    <s v="Ana Clara Brime"/>
    <x v="211"/>
    <s v="LDG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4"/>
    <n v="23679609"/>
    <s v="ACC01"/>
    <x v="281"/>
    <d v="2025-09-10T22:57:54"/>
    <s v="0 a 02 dias"/>
    <s v="0 a 02 dias"/>
    <s v="OGMVHUT"/>
    <s v="SABRE"/>
    <s v="RONDON/LIDIANE"/>
    <s v="Ana Clara Brime"/>
    <s v="Ana Clara Brime"/>
    <x v="212"/>
    <s v="LDL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5"/>
    <n v="23679610"/>
    <s v="ACC01"/>
    <x v="282"/>
    <d v="2025-09-10T22:57:55"/>
    <s v="0 a 02 dias"/>
    <s v="0 a 02 dias"/>
    <s v="EUBJZLT"/>
    <s v="SABRE"/>
    <s v="SILVA/WELLINGTON"/>
    <s v="Ana Clara Brime"/>
    <s v="Ana Clara Brime"/>
    <x v="213"/>
    <s v="LDG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6"/>
    <n v="23679611"/>
    <s v="ACC01"/>
    <x v="283"/>
    <d v="2025-09-10T22:57:55"/>
    <s v="0 a 02 dias"/>
    <s v="0 a 02 dias"/>
    <s v="NCRPMDT"/>
    <s v="SABRE"/>
    <s v="RONDON/LIDIANE"/>
    <s v="Ana Clara Brime"/>
    <s v="Ana Clara Brime"/>
    <x v="214"/>
    <s v="LDL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7"/>
    <n v="23679612"/>
    <s v="ACC01"/>
    <x v="284"/>
    <d v="2025-09-10T22:57:56"/>
    <s v="0 a 02 dias"/>
    <s v="0 a 02 dias"/>
    <s v="WIVHNNT"/>
    <s v="SABRE"/>
    <s v="OLIVEIRA/HANNON"/>
    <s v="Ana Clara Brime"/>
    <s v="Ana Clara Brime"/>
    <x v="215"/>
    <s v="LDM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61"/>
    <n v="23679616"/>
    <s v="ACC01"/>
    <x v="285"/>
    <d v="2025-09-10T22:58:06"/>
    <s v="0 a 02 dias"/>
    <s v="0 a 02 dias"/>
    <s v="WKZFXOT"/>
    <s v="SABRE"/>
    <s v="BRACCINI/FERNANDA"/>
    <s v="Ana Clara Brime"/>
    <s v="Ana Clara Brime"/>
    <x v="216"/>
    <s v="LDP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64"/>
    <n v="23679619"/>
    <s v="ACC01"/>
    <x v="286"/>
    <d v="2025-09-10T22:58:13"/>
    <s v="0 a 02 dias"/>
    <s v="0 a 02 dias"/>
    <s v="WJZBWUT"/>
    <s v="SABRE"/>
    <s v="FERREIRA/FELIPE"/>
    <s v="Ana Clara Brime"/>
    <s v="Ana Clara Brime"/>
    <x v="217"/>
    <s v="LDF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76"/>
    <n v="23679631"/>
    <s v="ACC01"/>
    <x v="287"/>
    <d v="2025-09-10T23:06:17"/>
    <s v="0 a 02 dias"/>
    <s v="0 a 02 dias"/>
    <s v="SUWQBKT"/>
    <s v="SABRE"/>
    <s v="SILVA/RAFAEL"/>
    <s v="Ana Clara Brime"/>
    <s v="Ana Clara Brime"/>
    <x v="218"/>
    <s v="LDX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83"/>
    <n v="23679640"/>
    <s v="ACC01"/>
    <x v="288"/>
    <d v="2025-09-10T23:06:49"/>
    <s v="0 a 02 dias"/>
    <s v="0 a 02 dias"/>
    <s v="MGBBMET"/>
    <s v="SABRE"/>
    <s v="AJIKI/ALINE"/>
    <s v="Ana Clara Brime"/>
    <s v="Ana Clara Brime"/>
    <x v="120"/>
    <s v="LDW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91"/>
    <n v="23679648"/>
    <s v="ACC01"/>
    <x v="289"/>
    <d v="2025-09-10T23:07:04"/>
    <s v="0 a 02 dias"/>
    <s v="0 a 02 dias"/>
    <s v="DGUOHCT"/>
    <s v="SABRE"/>
    <s v="SEGATTO/FERNANDO"/>
    <s v="Ana Clara Brime"/>
    <s v="Ana Clara Brime"/>
    <x v="219"/>
    <s v="LDY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92"/>
    <n v="23679649"/>
    <s v="ACC01"/>
    <x v="290"/>
    <d v="2025-09-10T23:07:04"/>
    <s v="0 a 02 dias"/>
    <s v="0 a 02 dias"/>
    <s v="DFZRIAT"/>
    <s v="SABRE"/>
    <s v="MORAIS/THIAGO"/>
    <s v="Ana Clara Brime"/>
    <s v="Ana Clara Brime"/>
    <x v="74"/>
    <s v="LDX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749"/>
    <n v="23682991"/>
    <s v="ACC01"/>
    <x v="291"/>
    <d v="2025-09-11T16:32:19"/>
    <s v="0 a 02 dias"/>
    <s v="0 a 02 dias"/>
    <s v="MYCDZYT"/>
    <s v="SABRE"/>
    <s v="SILVA/GERLANDIA"/>
    <s v="Ana Clara Brime"/>
    <s v="Ana Clara Brime"/>
    <x v="220"/>
    <s v="LDV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27"/>
    <n v="23684687"/>
    <s v="ACC01"/>
    <x v="292"/>
    <d v="2025-09-11T19:41:25"/>
    <s v="0 a 02 dias"/>
    <s v="0 a 02 dias"/>
    <s v="ASJFUET"/>
    <s v="SABRE"/>
    <s v="SANTOS/MILSON"/>
    <s v="Ana Clara Brime"/>
    <s v="Ana Clara Brime"/>
    <x v="221"/>
    <s v="LDT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32"/>
    <n v="23684689"/>
    <s v="ACC01"/>
    <x v="293"/>
    <d v="2025-09-11T19:41:26"/>
    <s v="0 a 02 dias"/>
    <s v="0 a 02 dias"/>
    <s v="EHAAHRT"/>
    <s v="SABRE"/>
    <s v="SANTOS/MILSON"/>
    <s v="Ana Clara Brime"/>
    <s v="Ana Clara Brime"/>
    <x v="222"/>
    <s v="LDT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34"/>
    <n v="23684691"/>
    <s v="ACC01"/>
    <x v="294"/>
    <d v="2025-09-11T19:41:26"/>
    <s v="0 a 02 dias"/>
    <s v="0 a 02 dias"/>
    <s v="EWHTCWT"/>
    <s v="SABRE"/>
    <s v="VERONESE/FABIANO"/>
    <s v="Ana Clara Brime"/>
    <s v="Ana Clara Brime"/>
    <x v="223"/>
    <s v="LF3C"/>
    <s v="-"/>
    <s v="ON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36"/>
    <n v="23684693"/>
    <s v="ACC01"/>
    <x v="295"/>
    <d v="2025-09-11T19:41:26"/>
    <s v="0 a 02 dias"/>
    <s v="0 a 02 dias"/>
    <s v="ASXTVWT"/>
    <s v="SABRE"/>
    <s v="BARROS/NILSA"/>
    <s v="Ana Clara Brime"/>
    <s v="Ana Clara Brime"/>
    <x v="18"/>
    <s v="LF3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45"/>
    <n v="23684699"/>
    <s v="ACC01"/>
    <x v="296"/>
    <d v="2025-09-11T19:41:30"/>
    <s v="0 a 02 dias"/>
    <s v="0 a 02 dias"/>
    <s v="OBQZNFT"/>
    <s v="SABRE"/>
    <s v="BATISTA/LUCAS"/>
    <s v="Ana Clara Brime"/>
    <s v="Ana Clara Brime"/>
    <x v="224"/>
    <s v="LF3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5"/>
    <n v="23679583"/>
    <s v="ACC01"/>
    <x v="297"/>
    <d v="2025-09-10T22:52:51"/>
    <s v="0 a 02 dias"/>
    <s v="0 a 02 dias"/>
    <s v="KSSTBDT"/>
    <s v="SABRE"/>
    <s v="SANTOS/WELITON"/>
    <s v="Ana Clara Brime"/>
    <s v="Ana Clara Brime"/>
    <x v="225"/>
    <s v="LDN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88"/>
    <s v="ACC01"/>
    <x v="298"/>
    <d v="2025-09-10T22:53:07"/>
    <s v="0 a 02 dias"/>
    <s v="0 a 02 dias"/>
    <s v="HOOIKPT"/>
    <s v="SABRE"/>
    <s v="BARROS/NILSA"/>
    <s v="Ana Clara Brime"/>
    <s v="Ana Clara Brime"/>
    <x v="226"/>
    <s v="LDM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92"/>
    <s v="ACC05"/>
    <x v="298"/>
    <d v="2025-09-10T22:53:07"/>
    <s v="0 a 02 dias"/>
    <s v="0 a 02 dias"/>
    <s v="HOOIKPT"/>
    <s v="SABRE"/>
    <s v="BARROS/NILSA"/>
    <s v="Ana Clara Brime"/>
    <s v="Ana Clara Brime"/>
    <x v="226"/>
    <s v="LDM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9"/>
    <n v="23679593"/>
    <s v="ACC01"/>
    <x v="299"/>
    <d v="2025-09-10T22:53:07"/>
    <s v="0 a 02 dias"/>
    <s v="0 a 02 dias"/>
    <s v="KSTIDQT"/>
    <s v="SABRE"/>
    <s v="BARROS/NILSA"/>
    <s v="Ana Clara Brime"/>
    <s v="Ana Clara Brime"/>
    <x v="227"/>
    <s v="LDN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40"/>
    <n v="23679594"/>
    <s v="ACC01"/>
    <x v="300"/>
    <d v="2025-09-10T22:53:08"/>
    <s v="0 a 02 dias"/>
    <s v="0 a 02 dias"/>
    <s v="DJCWSAT"/>
    <s v="SABRE"/>
    <s v="MADRUGA/ADENILSON"/>
    <s v="Ana Clara Brime"/>
    <s v="Ana Clara Brime"/>
    <x v="228"/>
    <s v="LDK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4"/>
    <n v="23679580"/>
    <s v="ACC01"/>
    <x v="301"/>
    <d v="2025-09-10T22:52:50"/>
    <s v="0 a 02 dias"/>
    <s v="0 a 02 dias"/>
    <s v="SQBIFXT"/>
    <s v="SABRE"/>
    <s v="PEREIRA/JOSE"/>
    <s v="Ana Clara Brime"/>
    <s v="Ana Clara Brime"/>
    <x v="229"/>
    <s v="LDQ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4"/>
    <n v="23679581"/>
    <s v="ACC02"/>
    <x v="301"/>
    <d v="2025-09-10T22:52:50"/>
    <s v="0 a 02 dias"/>
    <s v="0 a 02 dias"/>
    <s v="SQBIFXT"/>
    <s v="SABRE"/>
    <s v="PEREIRA/JOSE"/>
    <s v="Ana Clara Brime"/>
    <s v="Ana Clara Brime"/>
    <x v="229"/>
    <s v="LDQ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15024"/>
    <n v="23601790"/>
    <s v="ACC02"/>
    <x v="302"/>
    <d v="2025-08-26T16:39:41"/>
    <s v="16 a 23 dias"/>
    <s v="16 a 23 dias"/>
    <s v="SHBZUTT"/>
    <s v="SABRE"/>
    <s v="PEREIRA/JOSE"/>
    <s v="Ana Clara Brime"/>
    <s v="Ana Clara Brime"/>
    <x v="230"/>
    <s v="SHBZU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874357"/>
    <n v="23652914"/>
    <s v="ACC01"/>
    <x v="303"/>
    <d v="2025-09-05T11:42:46"/>
    <s v="06 a 08 dias"/>
    <s v="06 a 08 dias"/>
    <s v="YOKNEWT"/>
    <s v="SABRE"/>
    <s v="MADRUGA/ADENILSON"/>
    <s v="Ana Clara Brime"/>
    <s v="Ana Clara Brime"/>
    <x v="231"/>
    <s v="LDK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4361"/>
    <n v="23652917"/>
    <s v="ACC01"/>
    <x v="304"/>
    <d v="2025-09-05T11:42:47"/>
    <s v="06 a 08 dias"/>
    <s v="06 a 08 dias"/>
    <s v="YORRUKT"/>
    <s v="SABRE"/>
    <s v="CORREA/ANDRE"/>
    <s v="Ana Clara Brime"/>
    <s v="Ana Clara Brime"/>
    <x v="232"/>
    <s v="LDG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6130"/>
    <n v="23654679"/>
    <s v="ACC01"/>
    <x v="305"/>
    <d v="2025-09-05T16:39:43"/>
    <s v="06 a 08 dias"/>
    <s v="06 a 08 dias"/>
    <s v="AUHFQFT"/>
    <s v="SABRE"/>
    <s v="SANTOS/DAISY"/>
    <s v="Ana Clara Brime"/>
    <s v="Ana Clara Brime"/>
    <x v="233"/>
    <s v="LDC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6132"/>
    <n v="23654681"/>
    <s v="ACC01"/>
    <x v="306"/>
    <d v="2025-09-05T16:39:44"/>
    <s v="06 a 08 dias"/>
    <s v="06 a 08 dias"/>
    <s v="EHCZUWT"/>
    <s v="SABRE"/>
    <s v="SILVA/ROSEANE"/>
    <s v="Ana Clara Brime"/>
    <s v="Ana Clara Brime"/>
    <x v="234"/>
    <s v="LDL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471"/>
    <n v="23646580"/>
    <s v="ACC01"/>
    <x v="307"/>
    <d v="2025-09-04T11:33:47"/>
    <s v="06 a 08 dias"/>
    <s v="06 a 08 dias"/>
    <s v="UFJFQTT"/>
    <s v="SABRE"/>
    <s v="SANTANA/EDSON"/>
    <s v="Ana Clara Brime"/>
    <s v="Ana Clara Brime"/>
    <x v="235"/>
    <s v="UFJFQ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472"/>
    <n v="23646581"/>
    <s v="ACC01"/>
    <x v="308"/>
    <d v="2025-09-04T11:33:49"/>
    <s v="06 a 08 dias"/>
    <s v="06 a 08 dias"/>
    <s v="KODHDOT"/>
    <s v="SABRE"/>
    <s v="AREIAS/RONALDO"/>
    <s v="Ana Clara Brime"/>
    <s v="Ana Clara Brime"/>
    <x v="236"/>
    <s v="KODHD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0159"/>
    <n v="23649433"/>
    <s v="ACC01"/>
    <x v="309"/>
    <d v="2025-09-04T18:45:56"/>
    <s v="06 a 08 dias"/>
    <s v="06 a 08 dias"/>
    <s v="DKPSKXT"/>
    <s v="SABRE"/>
    <s v="SILVA/WESLLEY"/>
    <s v="Ana Clara Brime"/>
    <s v="Ana Clara Brime"/>
    <x v="237"/>
    <s v="LDK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49"/>
    <n v="23652497"/>
    <s v="ACC01"/>
    <x v="310"/>
    <d v="2025-09-05T10:31:22"/>
    <s v="06 a 08 dias"/>
    <s v="06 a 08 dias"/>
    <s v="IDIQEBT"/>
    <s v="SABRE"/>
    <s v="SANTANA/EDSON"/>
    <s v="Ana Clara Brime"/>
    <s v="Ana Clara Brime"/>
    <x v="238"/>
    <s v="LD7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53"/>
    <n v="23652500"/>
    <s v="ACC01"/>
    <x v="311"/>
    <d v="2025-09-05T10:31:22"/>
    <s v="06 a 08 dias"/>
    <s v="06 a 08 dias"/>
    <s v="IHGILAT"/>
    <s v="SABRE"/>
    <s v="AREIAS/RONALDO"/>
    <s v="Ana Clara Brime"/>
    <s v="Ana Clara Brime"/>
    <x v="239"/>
    <s v="LD44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57"/>
    <n v="23652505"/>
    <s v="ACC01"/>
    <x v="312"/>
    <d v="2025-09-05T10:31:45"/>
    <s v="06 a 08 dias"/>
    <s v="06 a 08 dias"/>
    <s v="MVGDQUT"/>
    <s v="SABRE"/>
    <s v="SANTANA/EDSON"/>
    <s v="Ana Clara Brime"/>
    <s v="Ana Clara Brime"/>
    <x v="240"/>
    <s v="LD9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0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59"/>
    <n v="23652507"/>
    <s v="ACC01"/>
    <x v="313"/>
    <d v="2025-09-05T10:31:50"/>
    <s v="06 a 08 dias"/>
    <s v="06 a 08 dias"/>
    <s v="YRAHQZT"/>
    <s v="SABRE"/>
    <s v="SANTANA/EDSON"/>
    <s v="Ana Clara Brime"/>
    <s v="Ana Clara Brime"/>
    <x v="241"/>
    <s v="LD9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61"/>
    <n v="23652509"/>
    <s v="ACC01"/>
    <x v="314"/>
    <d v="2025-09-05T10:31:54"/>
    <s v="06 a 08 dias"/>
    <s v="06 a 08 dias"/>
    <s v="YPUFFGT"/>
    <s v="SABRE"/>
    <s v="SOUZA/JOSE"/>
    <s v="Ana Clara Brime"/>
    <s v="Ana Clara Brime"/>
    <x v="242"/>
    <s v="LD9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62"/>
    <n v="23652511"/>
    <s v="ACC01"/>
    <x v="315"/>
    <d v="2025-09-05T10:31:55"/>
    <s v="06 a 08 dias"/>
    <s v="06 a 08 dias"/>
    <s v="YQLBRDT"/>
    <s v="SABRE"/>
    <s v="SOUZA/JOSE"/>
    <s v="Ana Clara Brime"/>
    <s v="Ana Clara Brime"/>
    <x v="243"/>
    <s v="LD9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63"/>
    <n v="23652512"/>
    <s v="ACC01"/>
    <x v="316"/>
    <d v="2025-09-05T10:31:55"/>
    <s v="06 a 08 dias"/>
    <s v="06 a 08 dias"/>
    <s v="HEMFIZT"/>
    <s v="SABRE"/>
    <s v="JESUS/NILMARA"/>
    <s v="Ana Clara Brime"/>
    <s v="Ana Clara Brime"/>
    <x v="244"/>
    <s v="LD4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72"/>
    <n v="23652524"/>
    <s v="ACC01"/>
    <x v="317"/>
    <d v="2025-09-05T10:39:49"/>
    <s v="06 a 08 dias"/>
    <s v="06 a 08 dias"/>
    <s v="MVETLWT"/>
    <s v="SABRE"/>
    <s v="RODRIGUES/MATHEUS"/>
    <s v="Ana Clara Brime"/>
    <s v="Ana Clara Brime"/>
    <x v="245"/>
    <s v="LDC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50"/>
    <n v="23684704"/>
    <s v="ACC01"/>
    <x v="318"/>
    <d v="2025-09-11T19:37:13"/>
    <s v="0 a 02 dias"/>
    <s v="0 a 02 dias"/>
    <s v="MDWWEKT"/>
    <s v="SABRE"/>
    <s v="MAURICIO/FELIPE"/>
    <s v="WU"/>
    <s v="WU"/>
    <x v="246"/>
    <s v="MDWWEK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9"/>
    <n v="136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709"/>
    <n v="23679667"/>
    <s v="ACC01"/>
    <x v="319"/>
    <d v="2025-09-10T23:06:17"/>
    <s v="0 a 02 dias"/>
    <s v="0 a 02 dias"/>
    <s v="ULFOJCT"/>
    <s v="SABRE"/>
    <s v="DA SILVA/ERIVANIA FERREIRA MS"/>
    <s v="WS"/>
    <s v="WS"/>
    <x v="247"/>
    <s v="MAIL"/>
    <s v="-"/>
    <s v="OFF LINE"/>
    <s v="Invoice"/>
    <s v="Faturado"/>
    <s v="Hotel"/>
    <s v="N"/>
    <s v="Grupo Atento"/>
    <s v="Atento Brasil S/a"/>
    <s v="-"/>
    <s v="-"/>
    <s v="-"/>
    <s v="FCM-OPE-POA-PVI-ATENTO"/>
    <s v="-"/>
    <x v="280"/>
    <n v="79.84999999999999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712"/>
    <n v="23679670"/>
    <s v="ACC01"/>
    <x v="320"/>
    <d v="2025-09-10T23:06:17"/>
    <s v="0 a 02 dias"/>
    <s v="0 a 02 dias"/>
    <s v="YQTQKCT"/>
    <s v="SABRE"/>
    <s v="DA COSTA/DENISE"/>
    <s v="WS"/>
    <s v="WS"/>
    <x v="248"/>
    <s v="MAIL"/>
    <s v="-"/>
    <s v="OFF LINE"/>
    <s v="Invoice"/>
    <s v="Faturado"/>
    <s v="Hotel"/>
    <s v="N"/>
    <s v="Grupo Atento"/>
    <s v="Atento Brasil S/a"/>
    <s v="-"/>
    <s v="-"/>
    <s v="-"/>
    <s v="FCM-OPE-POA-PVI-ATENTO"/>
    <s v="-"/>
    <x v="280"/>
    <n v="79.84999999999999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714"/>
    <n v="23679672"/>
    <s v="ACC01"/>
    <x v="321"/>
    <d v="2025-09-10T23:06:18"/>
    <s v="0 a 02 dias"/>
    <s v="0 a 02 dias"/>
    <s v="UKSTJXT"/>
    <s v="SABRE"/>
    <s v="ANDRADE/MACSON ALYSSON VIEIRA"/>
    <s v="WS"/>
    <s v="WS"/>
    <x v="249"/>
    <s v="MAIL"/>
    <s v="-"/>
    <s v="OFF LINE"/>
    <s v="Invoice"/>
    <s v="Faturado"/>
    <s v="Hotel"/>
    <s v="N"/>
    <s v="Grupo Atento"/>
    <s v="Atento Brasil S/a"/>
    <s v="-"/>
    <s v="-"/>
    <s v="-"/>
    <s v="FCM-OPE-POA-PVI-ATENTO"/>
    <s v="-"/>
    <x v="280"/>
    <n v="79.84999999999999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718"/>
    <n v="23679676"/>
    <s v="ACC01"/>
    <x v="322"/>
    <d v="2025-09-10T23:06:41"/>
    <s v="0 a 02 dias"/>
    <s v="0 a 02 dias"/>
    <s v="OKSSKDT"/>
    <s v="SABRE"/>
    <s v="OLIVEIRA/ANTONIO GEISON FERREIRA"/>
    <s v="WS"/>
    <s v="WS"/>
    <x v="250"/>
    <s v="OKSSKD"/>
    <s v="-"/>
    <s v="ON LINE"/>
    <s v="Cartão de crédito"/>
    <s v="Cartão de crédito"/>
    <s v="Hotel"/>
    <s v="N"/>
    <s v="Grupo Atento"/>
    <s v="Atento Brasil S/a"/>
    <s v="-"/>
    <s v="-"/>
    <s v="-"/>
    <s v="FCM-OPE-POA-PVI-ATENTO"/>
    <s v="-"/>
    <x v="281"/>
    <n v="37.20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719"/>
    <n v="23679677"/>
    <s v="ACC01"/>
    <x v="323"/>
    <d v="2025-09-10T23:06:46"/>
    <s v="0 a 02 dias"/>
    <s v="0 a 02 dias"/>
    <s v="AEKKAUT"/>
    <s v="SABRE"/>
    <s v="VENTURA/RENATA DE OLIVEIRA"/>
    <s v="WS"/>
    <s v="WS"/>
    <x v="251"/>
    <s v="AEKKAU"/>
    <s v="-"/>
    <s v="ON LINE"/>
    <s v="Cartão de crédito"/>
    <s v="Cartão de crédito"/>
    <s v="Hotel"/>
    <s v="N"/>
    <s v="Grupo Atento"/>
    <s v="Atento Brasil S/a"/>
    <s v="-"/>
    <s v="-"/>
    <s v="-"/>
    <s v="FCM-OPE-POA-PVI-ATENTO"/>
    <s v="-"/>
    <x v="281"/>
    <n v="37.20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05720"/>
    <n v="23679678"/>
    <s v="ACC01"/>
    <x v="324"/>
    <d v="2025-09-10T23:06:47"/>
    <s v="0 a 02 dias"/>
    <s v="0 a 02 dias"/>
    <s v="AIEJFDT"/>
    <s v="SABRE"/>
    <s v="SANTOS/VANESSA ALVES DOS"/>
    <s v="WS"/>
    <s v="WS"/>
    <x v="252"/>
    <s v="AIEJFD"/>
    <s v="-"/>
    <s v="ON LINE"/>
    <s v="Cartão de crédito"/>
    <s v="Cartão de crédito"/>
    <s v="Hotel"/>
    <s v="N"/>
    <s v="Grupo Atento"/>
    <s v="Atento Brasil S/a"/>
    <s v="-"/>
    <s v="-"/>
    <s v="-"/>
    <s v="FCM-OPE-POA-PVI-ATENTO"/>
    <s v="-"/>
    <x v="281"/>
    <n v="37.20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91319"/>
    <n v="23666878"/>
    <s v="ACC01"/>
    <x v="325"/>
    <d v="2025-09-11T10:12:01"/>
    <s v="0 a 02 dias"/>
    <s v="03 a 05 dias"/>
    <s v="UFIQLDT"/>
    <s v="SABRE"/>
    <s v="OLIVEIRA/DIMITRIUS ROGERIO DE"/>
    <s v="Thais Matte Andreis"/>
    <s v="Thais Matte Andreis"/>
    <x v="253"/>
    <n v="9999"/>
    <s v="-"/>
    <s v="OFF LINE"/>
    <s v="Invoice"/>
    <s v="Faturado"/>
    <s v="Hotel"/>
    <s v="N"/>
    <s v="Grupo Atento"/>
    <s v="Atento Brasil S/a"/>
    <s v="-"/>
    <s v="-"/>
    <s v="-"/>
    <s v="FCM-OPE-POA-PVI-ATENTO"/>
    <s v="-"/>
    <x v="282"/>
    <n v="33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91319"/>
    <n v="23666880"/>
    <s v="ACC02"/>
    <x v="325"/>
    <d v="2025-09-11T10:12:01"/>
    <s v="0 a 02 dias"/>
    <s v="03 a 05 dias"/>
    <s v="UFIQLDT"/>
    <s v="SABRE"/>
    <s v="OLIVEIRA/DIMITRIUS ROGERIO DE"/>
    <s v="Thais Matte Andreis"/>
    <s v="Thais Matte Andreis"/>
    <x v="253"/>
    <n v="9999"/>
    <s v="-"/>
    <s v="OFF LINE"/>
    <s v="Invoice"/>
    <s v="Faturado"/>
    <s v="Hotel"/>
    <s v="N"/>
    <s v="Grupo Atento"/>
    <s v="Atento Brasil S/a"/>
    <s v="-"/>
    <s v="-"/>
    <s v="-"/>
    <s v="FCM-OPE-POA-PVI-ATENTO"/>
    <s v="-"/>
    <x v="283"/>
    <n v="42.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97792"/>
    <n v="23672677"/>
    <s v="ACC01"/>
    <x v="326"/>
    <d v="2025-09-11T14:18:23"/>
    <s v="0 a 02 dias"/>
    <s v="03 a 05 dias"/>
    <s v="5KH19E"/>
    <s v="TMS"/>
    <s v="REGINA CORRES BARRAGAN"/>
    <s v="Tms"/>
    <s v="Tms"/>
    <x v="254"/>
    <n v="2389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284"/>
    <n v="0"/>
    <n v="0"/>
    <n v="0"/>
    <n v="0"/>
    <n v="831.32"/>
    <n v="0"/>
    <s v="Reserva importada do Sistema TMS. OS: 2389"/>
    <s v="Fornecedor não preenchido! (ACC01)"/>
    <s v="ARGO(TMS)"/>
    <s v="Falta de Fornecedor"/>
    <s v="Campo Fornecedor"/>
    <s v="Dados do Fornecedor"/>
    <s v="Sistêmico"/>
    <s v="GRUPO KONTIK"/>
  </r>
  <r>
    <n v="22908559"/>
    <n v="23681842"/>
    <s v="ACC01"/>
    <x v="327"/>
    <d v="2025-09-11T14:45:47"/>
    <s v="0 a 02 dias"/>
    <s v="0 a 02 dias"/>
    <s v="5K11TH"/>
    <s v="TMS"/>
    <s v="NATALIA CATANI"/>
    <s v="Tms"/>
    <s v="Tms"/>
    <x v="255"/>
    <n v="2438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285"/>
    <n v="0"/>
    <n v="0"/>
    <n v="0"/>
    <n v="0"/>
    <n v="815.52"/>
    <n v="0"/>
    <s v="Reserva importada do Sistema TMS. OS: 2438"/>
    <s v="Fornecedor não preenchido! (ACC01)"/>
    <s v="ARGO(TMS)"/>
    <s v="Falta de Fornecedor"/>
    <s v="Campo Fornecedor"/>
    <s v="Dados do Fornecedor"/>
    <s v="Sistêmico"/>
    <s v="GRUPO KONTIK"/>
  </r>
  <r>
    <n v="22910484"/>
    <n v="23683679"/>
    <s v="ACC01"/>
    <x v="328"/>
    <d v="2025-09-11T19:20:41"/>
    <s v="0 a 02 dias"/>
    <s v="0 a 02 dias"/>
    <s v="5KSQNY"/>
    <s v="TMS"/>
    <s v="JOHNATA SANTOS"/>
    <s v="Tms"/>
    <s v="Tms"/>
    <x v="256"/>
    <n v="4173"/>
    <s v="-"/>
    <s v="ON LINE"/>
    <s v="Cartão de crédito"/>
    <s v="Faturado"/>
    <s v="Hotel"/>
    <s v="N"/>
    <s v="Grupo Bernoulli Educacao"/>
    <s v="Colegio e Pre-vestibular Bernoulli - Un. Raja"/>
    <s v="-"/>
    <s v="-"/>
    <s v="-"/>
    <s v="KON-OPE-SAO-PVI-BERNOULLI"/>
    <s v="-"/>
    <x v="286"/>
    <n v="0"/>
    <n v="0"/>
    <n v="0"/>
    <n v="0"/>
    <n v="21.64"/>
    <n v="0"/>
    <s v="Reserva importada do Sistema TMS. OS: 4173"/>
    <s v="Fornecedor não preenchido! (ACC01)"/>
    <s v="ARGO(TMS)"/>
    <s v="Falta de Fornecedor"/>
    <s v="Campo Fornecedor"/>
    <s v="Dados do Fornecedor"/>
    <s v="Sistêmico"/>
    <s v="GRUPO KONTIK"/>
  </r>
  <r>
    <n v="22910486"/>
    <n v="23683681"/>
    <s v="ACC01"/>
    <x v="329"/>
    <d v="2025-09-11T19:20:42"/>
    <s v="0 a 02 dias"/>
    <s v="0 a 02 dias"/>
    <s v="5KEQO6"/>
    <s v="TMS"/>
    <s v="WALLACE LAGE"/>
    <s v="Tms"/>
    <s v="Tms"/>
    <x v="256"/>
    <n v="4172"/>
    <s v="-"/>
    <s v="ON LINE"/>
    <s v="Cartão de crédito"/>
    <s v="Faturado"/>
    <s v="Hotel"/>
    <s v="N"/>
    <s v="Grupo Bernoulli Educacao"/>
    <s v="Colegio e Pre-vestibular Bernoulli - Un. Raja"/>
    <s v="-"/>
    <s v="-"/>
    <s v="-"/>
    <s v="KON-OPE-SAO-PVI-BERNOULLI"/>
    <s v="-"/>
    <x v="286"/>
    <n v="0"/>
    <n v="0"/>
    <n v="0"/>
    <n v="0"/>
    <n v="21.64"/>
    <n v="0"/>
    <s v="Reserva importada do Sistema TMS. OS: 4172"/>
    <s v="Fornecedor não preenchido! (ACC01)"/>
    <s v="ARGO(TMS)"/>
    <s v="Falta de Fornecedor"/>
    <s v="Campo Fornecedor"/>
    <s v="Dados do Fornecedor"/>
    <s v="Sistêmico"/>
    <s v="GRUPO KONTIK"/>
  </r>
  <r>
    <n v="22910488"/>
    <n v="23683683"/>
    <s v="ACC01"/>
    <x v="330"/>
    <d v="2025-09-11T19:20:42"/>
    <s v="0 a 02 dias"/>
    <s v="0 a 02 dias"/>
    <s v="5K4Z96"/>
    <s v="TMS"/>
    <s v="VITOR PEREIRA"/>
    <s v="Tms"/>
    <s v="Tms"/>
    <x v="257"/>
    <n v="4171"/>
    <s v="-"/>
    <s v="ON LINE"/>
    <s v="Cartão de crédito"/>
    <s v="Faturado"/>
    <s v="Hotel"/>
    <s v="N"/>
    <s v="Grupo Bernoulli Educacao"/>
    <s v="Colegio e Pre-vestibular Bernoulli - Un. Raja"/>
    <s v="-"/>
    <s v="-"/>
    <s v="-"/>
    <s v="KON-OPE-SAO-PVI-BERNOULLI"/>
    <s v="-"/>
    <x v="286"/>
    <n v="0"/>
    <n v="0"/>
    <n v="0"/>
    <n v="0"/>
    <n v="21.64"/>
    <n v="0"/>
    <s v="Reserva importada do Sistema TMS. OS: 4171"/>
    <s v="Fornecedor não preenchido! (ACC01)"/>
    <s v="ARGO(TMS)"/>
    <s v="Falta de Fornecedor"/>
    <s v="Campo Fornecedor"/>
    <s v="Dados do Fornecedor"/>
    <s v="Sistêmico"/>
    <s v="GRUPO KONTIK"/>
  </r>
  <r>
    <n v="22910508"/>
    <n v="23683699"/>
    <s v="ACC01"/>
    <x v="331"/>
    <d v="2025-09-11T19:25:53"/>
    <s v="0 a 02 dias"/>
    <s v="0 a 02 dias"/>
    <s v="5KRW9Y"/>
    <s v="TMS"/>
    <s v="CARMEN BELEM"/>
    <s v="Tms"/>
    <s v="Tms"/>
    <x v="258"/>
    <n v="4133"/>
    <s v="Porto Seguro / BPS"/>
    <s v="ON LINE"/>
    <s v="Invoice"/>
    <s v="Faturado"/>
    <s v="Carro"/>
    <s v="N"/>
    <s v="Grupo Bernoulli Educacao"/>
    <s v="Colegio e Pre-vestibular Bernoulli - Un. Raja"/>
    <s v="-"/>
    <s v="-"/>
    <s v="-"/>
    <s v="KON-OPE-SAO-PVI-BERNOULLI"/>
    <s v="-"/>
    <x v="287"/>
    <n v="0"/>
    <n v="0"/>
    <n v="0"/>
    <n v="0"/>
    <n v="0"/>
    <n v="0"/>
    <s v="Reserva importada do Sistema TMS. OS: 4133"/>
    <s v="Fornecedor não preenchido! (ACC01)"/>
    <s v="ARGO(TMS)"/>
    <s v="Falta de Fornecedor"/>
    <s v="Campo Fornecedor"/>
    <s v="Dados do Fornecedor"/>
    <s v="Qualidade dos dados"/>
    <s v="KONTIK BUSINESS TRAVEL"/>
  </r>
  <r>
    <n v="22910506"/>
    <n v="23683698"/>
    <s v="ACC01"/>
    <x v="332"/>
    <d v="2025-09-11T19:25:53"/>
    <s v="0 a 02 dias"/>
    <s v="0 a 02 dias"/>
    <s v="5KDXLY"/>
    <s v="TMS"/>
    <s v="CARMEN BELEM"/>
    <s v="Thais Peixoto de Melo"/>
    <s v="Thais Peixoto de Melo"/>
    <x v="259"/>
    <n v="4134"/>
    <s v="-"/>
    <s v="OFF LINE"/>
    <s v="Invoice"/>
    <s v="Faturado"/>
    <s v="Hotel"/>
    <s v="N"/>
    <s v="Grupo Bernoulli Educacao"/>
    <s v="Colegio e Pre-vestibular Bernoulli - Un. Raja"/>
    <s v="-"/>
    <s v="-"/>
    <s v="-"/>
    <s v="KON-OPE-SAO-PVI-BERNOULLI"/>
    <s v="-"/>
    <x v="288"/>
    <n v="0"/>
    <n v="0"/>
    <n v="0"/>
    <n v="0"/>
    <n v="0"/>
    <n v="0"/>
    <s v="Reserva importada do Sistema TMS. OS: 4134"/>
    <s v="Fornecedor não preenchido! (ACC01)"/>
    <s v="ARGO(TMS)"/>
    <s v="Falta de Fornecedor"/>
    <s v="Campo Fornecedor"/>
    <s v="Dados do Fornecedor"/>
    <s v="Qualidade dos dados"/>
    <s v="KONTIK BUSINESS TRAVEL"/>
  </r>
  <r>
    <n v="22837895"/>
    <n v="23622324"/>
    <s v="ACC01"/>
    <x v="333"/>
    <d v="2025-09-12T06:10:42"/>
    <s v="0 a 02 dias"/>
    <s v="09 a 15 dias"/>
    <s v="5J50LP"/>
    <s v="TMS"/>
    <s v="SORAYA OLIVEIRA"/>
    <s v="Renata Claudia de Oliveira"/>
    <s v="Thais Peixoto de Melo"/>
    <x v="260"/>
    <n v="3601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89"/>
    <n v="10.95"/>
    <n v="0"/>
    <n v="0"/>
    <n v="0"/>
    <n v="0"/>
    <n v="0"/>
    <s v="Reserva importada do Sistema TMS. OS: 3601"/>
    <s v="Fornecedor não preenchido! (ACC01)"/>
    <s v="ARGO(TMS)"/>
    <s v="Falta de Fornecedor"/>
    <s v="Campo Fornecedor"/>
    <s v="Dados do Fornecedor"/>
    <s v="Qualidade dos dados"/>
    <s v="KONTIK BUSINESS TRAVEL"/>
  </r>
  <r>
    <n v="22849637"/>
    <n v="23631201"/>
    <s v="ACC01"/>
    <x v="334"/>
    <d v="2025-09-11T13:37:09"/>
    <s v="0 a 02 dias"/>
    <s v="09 a 15 dias"/>
    <s v="5JJGWW"/>
    <s v="TMS"/>
    <s v="ANTONIO ANDRADE"/>
    <s v="Tms"/>
    <s v="Tms"/>
    <x v="261"/>
    <n v="3756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90"/>
    <n v="0"/>
    <n v="0"/>
    <n v="0"/>
    <n v="0"/>
    <n v="0"/>
    <n v="0"/>
    <s v="Reserva importada do Sistema TMS. OS: 3756"/>
    <s v="Fornecedor não preenchido! (ACC01)"/>
    <s v="ARGO(TMS)"/>
    <s v="Falta de Fornecedor"/>
    <s v="Campo Fornecedor"/>
    <s v="Dados do Fornecedor"/>
    <s v="Sistêmico"/>
    <s v="GRUPO KONTIK"/>
  </r>
  <r>
    <n v="22798596"/>
    <n v="23588492"/>
    <s v="ACC01"/>
    <x v="335"/>
    <d v="2025-09-11T13:26:28"/>
    <s v="0 a 02 dias"/>
    <s v="16 a 23 dias"/>
    <s v="5ITJ5W"/>
    <s v="TMS"/>
    <s v="TOMAZ TAVARES"/>
    <s v="Tms"/>
    <s v="Tms"/>
    <x v="262"/>
    <n v="3439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91"/>
    <n v="0"/>
    <n v="0"/>
    <n v="0"/>
    <n v="0"/>
    <n v="21.76"/>
    <n v="0"/>
    <s v="Reserva importada do Sistema TMS. OS: 3439"/>
    <s v="Fornecedor não preenchido! (ACC01)"/>
    <s v="ARGO(TMS)"/>
    <s v="Falta de Fornecedor"/>
    <s v="Campo Fornecedor"/>
    <s v="Dados do Fornecedor"/>
    <s v="Sistêmico"/>
    <s v="GRUPO KONTIK"/>
  </r>
  <r>
    <n v="22910517"/>
    <n v="23683707"/>
    <s v="ACC01"/>
    <x v="336"/>
    <d v="2025-09-11T19:25:59"/>
    <s v="0 a 02 dias"/>
    <s v="0 a 02 dias"/>
    <s v="5K7XNH"/>
    <s v="TMS"/>
    <s v="CLAUDIA VICENTINE"/>
    <s v="Tms"/>
    <s v="Tms"/>
    <x v="263"/>
    <n v="4119"/>
    <s v="Curitiba / CW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2"/>
    <n v="0"/>
    <n v="0"/>
    <n v="0"/>
    <n v="0"/>
    <n v="0"/>
    <n v="0"/>
    <s v="Reserva importada do Sistema TMS. OS: 4119"/>
    <s v="Fornecedor não preenchido! (ACC01)"/>
    <s v="ARGO(TMS)"/>
    <s v="Falta de Fornecedor"/>
    <s v="Campo Fornecedor"/>
    <s v="Dados do Fornecedor"/>
    <s v="Qualidade dos dados"/>
    <s v="KONTIK BUSINESS TRAVEL"/>
  </r>
  <r>
    <n v="22910492"/>
    <n v="23683687"/>
    <s v="ACC01"/>
    <x v="337"/>
    <d v="2025-09-11T19:25:46"/>
    <s v="0 a 02 dias"/>
    <s v="0 a 02 dias"/>
    <s v="5K7QNH"/>
    <s v="TMS"/>
    <s v="RAFAEL OLIVEIRA"/>
    <s v="Tms"/>
    <s v="Tms"/>
    <x v="258"/>
    <n v="4158"/>
    <s v="Salvador / SS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3"/>
    <n v="0"/>
    <n v="0"/>
    <n v="0"/>
    <n v="0"/>
    <n v="0"/>
    <n v="0"/>
    <s v="Reserva importada do Sistema TMS. OS: 4158"/>
    <s v="Fornecedor não preenchido! (ACC01)"/>
    <s v="ARGO(TMS)"/>
    <s v="Falta de Fornecedor"/>
    <s v="Campo Fornecedor"/>
    <s v="Dados do Fornecedor"/>
    <s v="Qualidade dos dados"/>
    <s v="KONTIK BUSINESS TRAVEL"/>
  </r>
  <r>
    <n v="22910495"/>
    <n v="23683690"/>
    <s v="ACC01"/>
    <x v="338"/>
    <d v="2025-09-11T19:25:49"/>
    <s v="0 a 02 dias"/>
    <s v="0 a 02 dias"/>
    <s v="5KOANH"/>
    <s v="TMS"/>
    <s v="ANA FLAVIA BISCAIA"/>
    <s v="Tms"/>
    <s v="Tms"/>
    <x v="263"/>
    <n v="4153"/>
    <s v="Curitiba / CW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4"/>
    <n v="0"/>
    <n v="0"/>
    <n v="0"/>
    <n v="0"/>
    <n v="0"/>
    <n v="0"/>
    <s v="Reserva importada do Sistema TMS. OS: 4153"/>
    <s v="Fornecedor não preenchido! (ACC01)"/>
    <s v="ARGO(TMS)"/>
    <s v="Falta de Fornecedor"/>
    <s v="Campo Fornecedor"/>
    <s v="Dados do Fornecedor"/>
    <s v="Qualidade dos dados"/>
    <s v="KONTIK BUSINESS TRAVEL"/>
  </r>
  <r>
    <n v="22910501"/>
    <n v="23683694"/>
    <s v="ACC01"/>
    <x v="339"/>
    <d v="2025-09-11T19:25:50"/>
    <s v="0 a 02 dias"/>
    <s v="0 a 02 dias"/>
    <s v="5KMSLH"/>
    <s v="TMS"/>
    <s v="CAMILA SANTOS"/>
    <s v="Tms"/>
    <s v="Tms"/>
    <x v="263"/>
    <n v="4140"/>
    <s v="São José dos Campos / SJK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5"/>
    <n v="0"/>
    <n v="0"/>
    <n v="0"/>
    <n v="0"/>
    <n v="0"/>
    <n v="0"/>
    <s v="Reserva importada do Sistema TMS. OS: 4140"/>
    <s v="Fornecedor não preenchido! (ACC01)"/>
    <s v="ARGO(TMS)"/>
    <s v="Falta de Fornecedor"/>
    <s v="Campo Fornecedor"/>
    <s v="Dados do Fornecedor"/>
    <s v="Qualidade dos dados"/>
    <s v="KONTIK BUSINESS TRAVEL"/>
  </r>
  <r>
    <n v="22910503"/>
    <n v="23683696"/>
    <s v="ACC01"/>
    <x v="340"/>
    <d v="2025-09-11T19:25:50"/>
    <s v="0 a 02 dias"/>
    <s v="0 a 02 dias"/>
    <s v="5KASL6"/>
    <s v="TMS"/>
    <s v="CAMILA SANTOS"/>
    <s v="Tms"/>
    <s v="Tms"/>
    <x v="263"/>
    <n v="4138"/>
    <s v="São José dos Campos / SJK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6"/>
    <n v="0"/>
    <n v="0"/>
    <n v="0"/>
    <n v="0"/>
    <n v="0"/>
    <n v="0"/>
    <s v="Reserva importada do Sistema TMS. OS: 4138"/>
    <s v="Fornecedor não preenchido! (ACC01)"/>
    <s v="ARGO(TMS)"/>
    <s v="Falta de Fornecedor"/>
    <s v="Campo Fornecedor"/>
    <s v="Dados do Fornecedor"/>
    <s v="Qualidade dos dados"/>
    <s v="KONTIK BUSINESS TRAVEL"/>
  </r>
  <r>
    <n v="22892804"/>
    <n v="23668166"/>
    <s v="ACC01"/>
    <x v="341"/>
    <d v="2025-09-11T14:10:47"/>
    <s v="0 a 02 dias"/>
    <s v="03 a 05 dias"/>
    <s v="5KXJVX"/>
    <s v="TMS"/>
    <s v="HELOISA BALDO"/>
    <s v="Tms"/>
    <s v="Tms"/>
    <x v="264"/>
    <n v="4006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97"/>
    <n v="0"/>
    <n v="0"/>
    <n v="0"/>
    <n v="0"/>
    <n v="44.16"/>
    <n v="0"/>
    <s v="Reserva importada do Sistema TMS. OS: 4006"/>
    <s v="Fornecedor não preenchido! (ACC01)"/>
    <s v="ARGO(TMS)"/>
    <s v="Falta de Fornecedor"/>
    <s v="Campo Fornecedor"/>
    <s v="Dados do Fornecedor"/>
    <s v="Sistêmico"/>
    <s v="GRUPO KONTIK"/>
  </r>
  <r>
    <n v="22858205"/>
    <n v="23638717"/>
    <s v="ACC01"/>
    <x v="342"/>
    <d v="2025-09-11T13:40:40"/>
    <s v="0 a 02 dias"/>
    <s v="09 a 15 dias"/>
    <s v="5JAO44"/>
    <s v="TMS"/>
    <s v="FLAVIA DIAS"/>
    <s v="Tms"/>
    <s v="Tms"/>
    <x v="265"/>
    <n v="3819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98"/>
    <n v="0"/>
    <n v="0"/>
    <n v="0"/>
    <n v="0"/>
    <n v="0"/>
    <n v="0"/>
    <s v="Reserva importada do Sistema TMS. OS: 3819"/>
    <s v="Fornecedor não preenchido! (ACC01)"/>
    <s v="ARGO(TMS)"/>
    <s v="Falta de Fornecedor"/>
    <s v="Campo Fornecedor"/>
    <s v="Dados do Fornecedor"/>
    <s v="Sistêmico"/>
    <s v="GRUPO KONTIK"/>
  </r>
  <r>
    <n v="22858206"/>
    <n v="23638718"/>
    <s v="ACC01"/>
    <x v="343"/>
    <d v="2025-09-11T13:40:40"/>
    <s v="0 a 02 dias"/>
    <s v="09 a 15 dias"/>
    <s v="5JXLFF"/>
    <s v="TMS"/>
    <s v="FLAVIA DIAS"/>
    <s v="Tms"/>
    <s v="Tms"/>
    <x v="265"/>
    <n v="3818"/>
    <s v="-"/>
    <s v="ON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299"/>
    <n v="0"/>
    <n v="0"/>
    <n v="0"/>
    <n v="0"/>
    <n v="0"/>
    <n v="0"/>
    <s v="Reserva importada do Sistema TMS. OS: 3818"/>
    <s v="Fornecedor não preenchido! (ACC01)"/>
    <s v="ARGO(TMS)"/>
    <s v="Falta de Fornecedor"/>
    <s v="Campo Fornecedor"/>
    <s v="Dados do Fornecedor"/>
    <s v="Sistêmico"/>
    <s v="GRUPO KONTIK"/>
  </r>
  <r>
    <n v="22895317"/>
    <n v="23670313"/>
    <s v="ACC01"/>
    <x v="344"/>
    <d v="2025-09-11T14:12:59"/>
    <s v="0 a 02 dias"/>
    <s v="03 a 05 dias"/>
    <s v="5K9GM3"/>
    <s v="TMS"/>
    <s v="LUCAS CENCI ARAGAO"/>
    <s v="Tms"/>
    <s v="Tms"/>
    <x v="266"/>
    <n v="42198"/>
    <s v="-"/>
    <s v="ON LINE"/>
    <s v="Cartão de crédito"/>
    <s v="Cartão de crédito"/>
    <s v="Hotel"/>
    <s v="N"/>
    <s v="Grupo Motiva"/>
    <s v="Sorocabana"/>
    <s v="-"/>
    <s v="-"/>
    <s v="-"/>
    <s v="KON-OPE-SAO-PVI-CCR"/>
    <s v="-"/>
    <x v="300"/>
    <n v="0"/>
    <n v="0"/>
    <n v="0"/>
    <n v="0"/>
    <n v="30.75"/>
    <n v="0"/>
    <s v="Reserva importada do Sistema TMS. OS: 42198"/>
    <s v="Fornecedor não preenchido! (ACC01)"/>
    <s v="ARGO(TMS)"/>
    <s v="Falta de Fornecedor"/>
    <s v="Campo Fornecedor"/>
    <s v="Dados do Fornecedor"/>
    <s v="Sistêmico"/>
    <s v="GRUPO KONTIK"/>
  </r>
  <r>
    <n v="22911025"/>
    <n v="23684209"/>
    <s v="ACC01"/>
    <x v="345"/>
    <d v="2025-09-11T20:16:16"/>
    <s v="0 a 02 dias"/>
    <s v="0 a 02 dias"/>
    <s v="5KAFAJ"/>
    <s v="TMS"/>
    <s v="SAMUEL ROSSINI MARCONDES"/>
    <s v="Tms"/>
    <s v="Tms"/>
    <x v="267"/>
    <n v="42215"/>
    <s v="Curitiba / CWB"/>
    <s v="ON LINE"/>
    <s v="Invoice"/>
    <s v="Faturado"/>
    <s v="Carro"/>
    <s v="N"/>
    <s v="Grupo Motiva"/>
    <s v="Motiva Filial"/>
    <s v="-"/>
    <s v="-"/>
    <s v="-"/>
    <s v="KON-OPE-SAO-PVI-CCR"/>
    <s v="-"/>
    <x v="301"/>
    <n v="0"/>
    <n v="0"/>
    <n v="0"/>
    <n v="0"/>
    <n v="0"/>
    <n v="0"/>
    <s v="Reserva importada do Sistema TMS. OS: 42215"/>
    <s v="Fornecedor não preenchido! (ACC01)"/>
    <s v="ARGO(TMS)"/>
    <s v="Falta de Fornecedor"/>
    <s v="Campo Fornecedor"/>
    <s v="Dados do Fornecedor"/>
    <s v="Qualidade dos dados"/>
    <s v="KONTIK BUSINESS TRAVEL"/>
  </r>
  <r>
    <n v="22910988"/>
    <n v="23684172"/>
    <s v="ACC01"/>
    <x v="346"/>
    <d v="2025-09-11T20:11:03"/>
    <s v="0 a 02 dias"/>
    <s v="0 a 02 dias"/>
    <s v="5KIBQ7"/>
    <s v="TMS"/>
    <s v="DANIEL MICELLI"/>
    <s v="Tms"/>
    <s v="Tms"/>
    <x v="268"/>
    <n v="42433"/>
    <s v="Sao Carlos / QSC"/>
    <s v="ON LINE"/>
    <s v="Invoice"/>
    <s v="Faturado"/>
    <s v="Carro"/>
    <s v="N"/>
    <s v="Grupo Motiva"/>
    <s v="Motiva Filial"/>
    <s v="-"/>
    <s v="-"/>
    <s v="-"/>
    <s v="KON-OPE-SAO-PVI-CCR"/>
    <s v="-"/>
    <x v="302"/>
    <n v="0"/>
    <n v="0"/>
    <n v="0"/>
    <n v="0"/>
    <n v="0"/>
    <n v="0"/>
    <s v="Reserva importada do Sistema TMS. OS: 42433"/>
    <s v="Fornecedor não preenchido! (ACC01)"/>
    <s v="ARGO(TMS)"/>
    <s v="Falta de Fornecedor"/>
    <s v="Campo Fornecedor"/>
    <s v="Dados do Fornecedor"/>
    <s v="Qualidade dos dados"/>
    <s v="KONTIK BUSINESS TRAVEL"/>
  </r>
  <r>
    <n v="22910994"/>
    <n v="23684178"/>
    <s v="ACC01"/>
    <x v="347"/>
    <d v="2025-09-11T20:11:20"/>
    <s v="0 a 02 dias"/>
    <s v="0 a 02 dias"/>
    <s v="5KEQZJ"/>
    <s v="TMS"/>
    <s v="FRANCINE LUZ DOS SANTOS"/>
    <s v="Tms"/>
    <s v="Tms"/>
    <x v="269"/>
    <n v="42424"/>
    <s v="Londrina / LDB"/>
    <s v="ON LINE"/>
    <s v="Invoice"/>
    <s v="Faturado"/>
    <s v="Carro"/>
    <s v="N"/>
    <s v="Grupo Motiva"/>
    <s v="Motiva Filial"/>
    <s v="-"/>
    <s v="-"/>
    <s v="-"/>
    <s v="KON-OPE-SAO-PVI-CCR"/>
    <s v="-"/>
    <x v="303"/>
    <n v="0"/>
    <n v="0"/>
    <n v="0"/>
    <n v="0"/>
    <n v="0"/>
    <n v="0"/>
    <s v="Reserva importada do Sistema TMS. OS: 42424"/>
    <s v="Fornecedor não preenchido! (ACC01)"/>
    <s v="ARGO(TMS)"/>
    <s v="Falta de Fornecedor"/>
    <s v="Campo Fornecedor"/>
    <s v="Dados do Fornecedor"/>
    <s v="Qualidade dos dados"/>
    <s v="KONTIK BUSINESS TRAVEL"/>
  </r>
  <r>
    <n v="22912695"/>
    <n v="23685653"/>
    <s v="ACC01"/>
    <x v="348"/>
    <d v="2025-09-12T00:51:12"/>
    <s v="0 a 02 dias"/>
    <s v="0 a 02 dias"/>
    <s v="5KJJGU"/>
    <s v="TMS"/>
    <s v="LUCAS LEANDRO LIMA"/>
    <s v="Tms"/>
    <s v="Tms"/>
    <x v="270"/>
    <n v="42443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04"/>
    <n v="0"/>
    <n v="0"/>
    <n v="0"/>
    <n v="0"/>
    <n v="0"/>
    <n v="0"/>
    <s v="Reserva importada do Sistema TMS. OS: 42443"/>
    <s v="Fornecedor não preenchido! (ACC01)"/>
    <s v="ARGO(TMS)"/>
    <s v="Falta de Fornecedor"/>
    <s v="Campo Fornecedor"/>
    <s v="Dados do Fornecedor"/>
    <s v="Sistêmico"/>
    <s v="GRUPO KONTIK"/>
  </r>
  <r>
    <n v="22877529"/>
    <n v="23656115"/>
    <s v="ACC01"/>
    <x v="349"/>
    <d v="2025-09-11T13:55:15"/>
    <s v="0 a 02 dias"/>
    <s v="06 a 08 dias"/>
    <s v="5JMH89"/>
    <s v="TMS"/>
    <s v="GUILHERME CLARO FRARE"/>
    <s v="Tms"/>
    <s v="Tms"/>
    <x v="271"/>
    <n v="41957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05"/>
    <n v="0"/>
    <n v="0"/>
    <n v="0"/>
    <n v="0"/>
    <n v="0"/>
    <n v="0"/>
    <s v="Reserva importada do Sistema TMS. OS: 41957"/>
    <s v="Fornecedor não preenchido! (ACC01)"/>
    <s v="ARGO(TMS)"/>
    <s v="Falta de Fornecedor"/>
    <s v="Campo Fornecedor"/>
    <s v="Dados do Fornecedor"/>
    <s v="Sistêmico"/>
    <s v="GRUPO KONTIK"/>
  </r>
  <r>
    <n v="22877538"/>
    <n v="23656124"/>
    <s v="ACC01"/>
    <x v="350"/>
    <d v="2025-09-11T13:55:16"/>
    <s v="0 a 02 dias"/>
    <s v="06 a 08 dias"/>
    <s v="5JGHIO"/>
    <s v="TMS"/>
    <s v="THIAGO ARAUJO DA SILVA"/>
    <s v="Tms"/>
    <s v="Tms"/>
    <x v="272"/>
    <n v="41947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06"/>
    <n v="0"/>
    <n v="0"/>
    <n v="0"/>
    <n v="0"/>
    <n v="0"/>
    <n v="0"/>
    <s v="Reserva importada do Sistema TMS. OS: 41947"/>
    <s v="Fornecedor não preenchido! (ACC01)"/>
    <s v="ARGO(TMS)"/>
    <s v="Falta de Fornecedor"/>
    <s v="Campo Fornecedor"/>
    <s v="Dados do Fornecedor"/>
    <s v="Sistêmico"/>
    <s v="GRUPO KONTIK"/>
  </r>
  <r>
    <n v="22877584"/>
    <n v="23656162"/>
    <s v="ACC01"/>
    <x v="351"/>
    <d v="2025-09-11T13:55:17"/>
    <s v="0 a 02 dias"/>
    <s v="06 a 08 dias"/>
    <s v="5JT78L"/>
    <s v="TMS"/>
    <s v="ALEXANDRE APOSTOLOPOULOS"/>
    <s v="Tms"/>
    <s v="Tms"/>
    <x v="273"/>
    <n v="41920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07"/>
    <n v="0"/>
    <n v="0"/>
    <n v="0"/>
    <n v="0"/>
    <n v="0"/>
    <n v="0"/>
    <s v="Reserva importada do Sistema TMS. OS: 41920"/>
    <s v="Fornecedor não preenchido! (ACC01)"/>
    <s v="ARGO(TMS)"/>
    <s v="Falta de Fornecedor"/>
    <s v="Campo Fornecedor"/>
    <s v="Dados do Fornecedor"/>
    <s v="Sistêmico"/>
    <s v="GRUPO KONTIK"/>
  </r>
  <r>
    <n v="22911002"/>
    <n v="23684186"/>
    <s v="ACC01"/>
    <x v="352"/>
    <d v="2025-09-11T20:11:28"/>
    <s v="0 a 02 dias"/>
    <s v="0 a 02 dias"/>
    <s v="5KU1AU"/>
    <s v="TMS"/>
    <s v="SERGIO JOSE FERREIRA"/>
    <s v="Valeria Bottino da Silva"/>
    <s v="Valeria Bottino da Silva"/>
    <x v="274"/>
    <n v="42406"/>
    <s v="-"/>
    <s v="OFF LINE"/>
    <s v="Cartão de crédito"/>
    <s v="Cartão de crédito"/>
    <s v="Hotel"/>
    <s v="N"/>
    <s v="Grupo Motiva"/>
    <s v="Motiva Filial"/>
    <s v="-"/>
    <s v="-"/>
    <s v="-"/>
    <s v="KON-OPE-SAO-PVI-CCR"/>
    <s v="-"/>
    <x v="194"/>
    <n v="0"/>
    <n v="0"/>
    <n v="0"/>
    <n v="0"/>
    <n v="0"/>
    <n v="0"/>
    <s v="Reserva importada do Sistema TMS. OS: 42406"/>
    <s v="Fornecedor não preenchido! (ACC01)"/>
    <s v="ARGO(TMS)"/>
    <s v="Falta de Fornecedor"/>
    <s v="Campo Fornecedor"/>
    <s v="Dados do Fornecedor"/>
    <s v="Qualidade dos dados"/>
    <s v="KONTIK BUSINESS TRAVEL"/>
  </r>
  <r>
    <n v="22911003"/>
    <n v="23684187"/>
    <s v="ACC01"/>
    <x v="353"/>
    <d v="2025-09-11T20:15:19"/>
    <s v="0 a 02 dias"/>
    <s v="0 a 02 dias"/>
    <s v="5K8QAJ"/>
    <s v="TMS"/>
    <s v="RODRIGO CESAR PAVRET"/>
    <s v="Valeria Bottino da Silva"/>
    <s v="Valeria Bottino da Silva"/>
    <x v="275"/>
    <n v="42405"/>
    <s v="-"/>
    <s v="OFF LINE"/>
    <s v="Cartão de crédito"/>
    <s v="Cartão de crédito"/>
    <s v="Hotel"/>
    <s v="N"/>
    <s v="Grupo Motiva"/>
    <s v="Motiva Filial"/>
    <s v="-"/>
    <s v="-"/>
    <s v="-"/>
    <s v="KON-OPE-SAO-PVI-CCR"/>
    <s v="-"/>
    <x v="194"/>
    <n v="0"/>
    <n v="0"/>
    <n v="0"/>
    <n v="0"/>
    <n v="0"/>
    <n v="0"/>
    <s v="Reserva importada do Sistema TMS. OS: 42405"/>
    <s v="Fornecedor não preenchido! (ACC01)"/>
    <s v="ARGO(TMS)"/>
    <s v="Falta de Fornecedor"/>
    <s v="Campo Fornecedor"/>
    <s v="Dados do Fornecedor"/>
    <s v="Qualidade dos dados"/>
    <s v="KONTIK BUSINESS TRAVEL"/>
  </r>
  <r>
    <n v="22833882"/>
    <n v="23618656"/>
    <s v="ACC03"/>
    <x v="354"/>
    <d v="2025-08-29T12:54:25"/>
    <s v="09 a 15 dias"/>
    <s v="09 a 15 dias"/>
    <s v="AIZPOZT"/>
    <s v="SABRE"/>
    <s v="BARROS/NILSA"/>
    <s v="Ana Clara Brime"/>
    <s v="Ana Clara Brime"/>
    <x v="276"/>
    <s v="AIZPO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03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863316"/>
    <n v="23643191"/>
    <s v="ACC01"/>
    <x v="355"/>
    <d v="2025-09-11T13:43:17"/>
    <s v="0 a 02 dias"/>
    <s v="09 a 15 dias"/>
    <s v="5JXTIT"/>
    <s v="TMS"/>
    <s v="SERGIO OLIVEIRA"/>
    <s v="Catia Leite Oliveira"/>
    <s v="Catia Leite Oliveira"/>
    <x v="277"/>
    <n v="41733"/>
    <s v="Santa Catarina / SC, Brasil (C23)"/>
    <s v="OFF LINE"/>
    <s v="Invoice"/>
    <s v="Faturado"/>
    <s v="Carro"/>
    <s v="N"/>
    <s v="Grupo Motiva"/>
    <s v="Viacosteira"/>
    <s v="-"/>
    <s v="-"/>
    <s v="-"/>
    <s v="KON-OPE-SAO-PVI-CCR"/>
    <s v="-"/>
    <x v="308"/>
    <n v="0"/>
    <n v="0"/>
    <n v="0"/>
    <n v="0"/>
    <n v="0"/>
    <n v="0"/>
    <s v="Reserva importada do Sistema TMS. OS: 41733"/>
    <s v="Fornecedor não preenchido! (ACC01)"/>
    <s v="ARGO(TMS)"/>
    <s v="Falta de Fornecedor"/>
    <s v="Campo Fornecedor"/>
    <s v="Dados do Fornecedor"/>
    <s v="Qualidade dos dados"/>
    <s v="KONTIK BUSINESS TRAVEL"/>
  </r>
  <r>
    <n v="22910999"/>
    <n v="23684183"/>
    <s v="ACC01"/>
    <x v="356"/>
    <d v="2025-09-11T20:11:24"/>
    <s v="0 a 02 dias"/>
    <s v="0 a 02 dias"/>
    <s v="5K5QZ7"/>
    <s v="TMS"/>
    <s v="SERGIO GUSTAVO MASSARO"/>
    <s v="Jeane Alencar Pereira"/>
    <s v="Jeane Alencar Pereira"/>
    <x v="278"/>
    <n v="42410"/>
    <s v="Sao Jose / SC, Brasil (FLN)"/>
    <s v="OFF LINE"/>
    <s v="Invoice"/>
    <s v="Faturado"/>
    <s v="Carro"/>
    <s v="N"/>
    <s v="Grupo Motiva"/>
    <s v="Viacosteira"/>
    <s v="-"/>
    <s v="-"/>
    <s v="-"/>
    <s v="KON-OPE-SAO-PVI-CCR"/>
    <s v="-"/>
    <x v="309"/>
    <n v="0"/>
    <n v="4416"/>
    <n v="0"/>
    <n v="0"/>
    <n v="0"/>
    <n v="0"/>
    <s v="Reserva importada do Sistema TMS. OS: 42410"/>
    <s v="Fornecedor não preenchido! (ACC01)"/>
    <s v="ARGO(TMS)"/>
    <s v="Falta de Fornecedor"/>
    <s v="Campo Fornecedor"/>
    <s v="Dados do Fornecedor"/>
    <s v="Qualidade dos dados"/>
    <s v="KONTIK BUSINESS TRAVEL"/>
  </r>
  <r>
    <n v="22816113"/>
    <n v="23602868"/>
    <s v="ACC01"/>
    <x v="357"/>
    <d v="2025-09-11T13:28:21"/>
    <s v="0 a 02 dias"/>
    <s v="16 a 23 dias"/>
    <s v="5I3Z55"/>
    <s v="TMS"/>
    <s v="ADEMIR APARECIDO DE CAMPOS JUNIOR"/>
    <s v="Flavio Roberto Ferreira"/>
    <s v="Flavio Roberto Ferreira"/>
    <x v="279"/>
    <n v="40908"/>
    <s v="-"/>
    <s v="OFF LINE"/>
    <s v="Invoice"/>
    <s v="Faturado"/>
    <s v="Serviço"/>
    <s v="N"/>
    <s v="Grupo Motiva"/>
    <s v="Riosp"/>
    <s v="-"/>
    <s v="-"/>
    <s v="-"/>
    <s v="KON-OPE-SAO-PVI-CCR"/>
    <s v="-"/>
    <x v="310"/>
    <n v="0"/>
    <n v="0"/>
    <n v="0"/>
    <n v="0"/>
    <n v="0"/>
    <n v="0"/>
    <s v="Reserva importada do Sistema TMS. OS: 40908"/>
    <s v="Fornecedor não preenchido! (ACC01)"/>
    <s v="ARGO(TMS)"/>
    <s v="Falta de Fornecedor"/>
    <s v="Campo Fornecedor"/>
    <s v="Dados do Fornecedor"/>
    <s v="Qualidade dos dados"/>
    <s v="KONTIK BUSINESS TRAVEL"/>
  </r>
  <r>
    <n v="22854434"/>
    <n v="23635240"/>
    <s v="ACC01"/>
    <x v="358"/>
    <d v="2025-09-02T18:05:16"/>
    <s v="09 a 15 dias"/>
    <s v="09 a 15 dias"/>
    <s v="QVSGAH"/>
    <s v="GOVER"/>
    <s v="Sueli Santos Silva"/>
    <s v="Gover"/>
    <s v="Gover"/>
    <x v="280"/>
    <n v="4591469"/>
    <s v="CPQC05 Endereço: "/>
    <s v="ON LINE"/>
    <s v="Invoice"/>
    <s v="Faturado"/>
    <s v="Carro"/>
    <s v="N"/>
    <s v="Grupo Bosch Consierge"/>
    <s v="Bosch Concierge"/>
    <s v="-"/>
    <s v="-"/>
    <s v="-"/>
    <s v="FCM-OPE-SAO-PVI-BOSCH"/>
    <s v="-"/>
    <x v="311"/>
    <n v="74.58"/>
    <n v="0"/>
    <n v="0"/>
    <n v="0"/>
    <n v="0"/>
    <n v="0"/>
    <s v="Reserva importada do sistema Gover. Id: 4591469"/>
    <s v="Fornecedor não preenchido! (ACC01)"/>
    <s v="GOVER"/>
    <s v="Falta de Fornecedor"/>
    <s v="Campo Fornecedor"/>
    <s v="Dados do Fornecedor"/>
    <s v="Sistêmico"/>
    <s v="GRUPO KONTIK"/>
  </r>
  <r>
    <n v="22909826"/>
    <n v="23683059"/>
    <s v="ACC01"/>
    <x v="359"/>
    <d v="2025-09-11T16:44:42"/>
    <s v="0 a 02 dias"/>
    <s v="0 a 02 dias"/>
    <s v="KQCQLR"/>
    <s v="GOVER"/>
    <s v="SIMONE GUERRERO DAVID"/>
    <s v="Juliana dos Santos Pinto"/>
    <s v="Juliana dos Santos Pinto"/>
    <x v="281"/>
    <n v="4594695"/>
    <s v="-"/>
    <s v="OFF LINE"/>
    <s v="Cartão de crédito"/>
    <s v="Cartão AMEX"/>
    <s v="Aéreo"/>
    <s v="N"/>
    <s v="Grupo Isdin"/>
    <s v="Isdin Sp"/>
    <s v="-"/>
    <s v="Gol Linhas Aereas"/>
    <n v="2144310685"/>
    <s v="KON-OPE-RIO-PVI-BTC RJ"/>
    <s v="-"/>
    <x v="6"/>
    <n v="0"/>
    <n v="0"/>
    <n v="0"/>
    <n v="0"/>
    <n v="0"/>
    <n v="0"/>
    <s v="Reserva importada do sistema Gover. Id: 4594695"/>
    <s v="Tarifa mínima não preenchida! (ACC01) Tarifa máxima não preenchida! (ACC01)"/>
    <s v="GOVER"/>
    <s v="Mais de um campo não preenchido"/>
    <s v="Falta de informação Gerencial"/>
    <s v="Dados do Fornecedor"/>
    <s v="Qualidade dos dados"/>
    <s v="GRUPO KONTIK"/>
  </r>
  <r>
    <n v="22909827"/>
    <n v="23683060"/>
    <s v="ACC01"/>
    <x v="360"/>
    <d v="2025-09-11T16:44:43"/>
    <s v="0 a 02 dias"/>
    <s v="0 a 02 dias"/>
    <s v="LBNZQN"/>
    <s v="GOVER"/>
    <s v="ALANA DE SOUZA DE OLIVEIRA"/>
    <s v="Juliana dos Santos Pinto"/>
    <s v="Juliana dos Santos Pinto"/>
    <x v="281"/>
    <n v="4594695"/>
    <s v="-"/>
    <s v="OFF LINE"/>
    <s v="Cartão de crédito"/>
    <s v="Cartão AMEX"/>
    <s v="Aéreo"/>
    <s v="N"/>
    <s v="Grupo Isdin"/>
    <s v="Isdin Sp"/>
    <s v="-"/>
    <s v="Gol Linhas Aereas"/>
    <n v="2144312554"/>
    <s v="KON-OPE-RIO-PVI-BTC RJ"/>
    <s v="-"/>
    <x v="6"/>
    <n v="0"/>
    <n v="0"/>
    <n v="0"/>
    <n v="0"/>
    <n v="0"/>
    <n v="0"/>
    <s v="Reserva importada do sistema Gover. Id: 4594695"/>
    <s v="Tarifa mínima não preenchida! (ACC01) Tarifa máxima não preenchida! (ACC01)"/>
    <s v="GOVER"/>
    <s v="Mais de um campo não preenchido"/>
    <s v="Falta de informação Gerencial"/>
    <s v="Dados do Fornecedor"/>
    <s v="Qualidade dos dados"/>
    <s v="GRUPO KONTIK"/>
  </r>
  <r>
    <n v="22828482"/>
    <n v="23613921"/>
    <s v="ACC01"/>
    <x v="361"/>
    <d v="2025-08-28T17:21:59"/>
    <s v="09 a 15 dias"/>
    <s v="09 a 15 dias"/>
    <s v="CNRVXB"/>
    <s v="GOVER"/>
    <s v="Roberta Lamim Sardá"/>
    <s v="Gover"/>
    <s v="Gover"/>
    <x v="282"/>
    <n v="4589663"/>
    <s v="-"/>
    <s v="ON LINE"/>
    <s v="Cartão de crédito"/>
    <s v="Cartão AMEX"/>
    <s v="Aéreo"/>
    <s v="N"/>
    <s v="Grupo Isdin"/>
    <s v="Isdin Sp"/>
    <s v="-"/>
    <s v="Gol Linhas Aereas"/>
    <n v="2144315740"/>
    <s v="KON-OPE-RIO-PVI-BTC RJ"/>
    <s v="-"/>
    <x v="312"/>
    <n v="60.62"/>
    <n v="0"/>
    <n v="0"/>
    <n v="0"/>
    <n v="0"/>
    <n v="0"/>
    <s v="Reserva importada do sistema Gover. Id: 458966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2877465"/>
    <n v="23656054"/>
    <s v="ACC01"/>
    <x v="362"/>
    <d v="2025-09-05T19:30:45"/>
    <s v="06 a 08 dias"/>
    <s v="06 a 08 dias"/>
    <s v="JZSMRX0"/>
    <s v="TMS"/>
    <s v="LUIZ ASSIS"/>
    <s v="Juliana dos Santos Pinto"/>
    <s v="Juliana dos Santos Pinto"/>
    <x v="283"/>
    <n v="5560"/>
    <s v="-"/>
    <s v="OFF LINE"/>
    <s v="Cartão de crédito"/>
    <s v="Cartão de crédito"/>
    <s v="Aéreo"/>
    <s v="N"/>
    <s v="Grupo Hpe"/>
    <s v="Hpe Automotores - Sao Paulo"/>
    <s v="-"/>
    <s v="Gol Linhas Aereas"/>
    <n v="2144852505"/>
    <s v="KON-OPE-SAO-PVI-BTC-ARGO"/>
    <s v="-"/>
    <x v="6"/>
    <n v="0"/>
    <n v="0"/>
    <n v="0"/>
    <n v="0"/>
    <n v="0"/>
    <n v="0"/>
    <s v="Reserva importada do Sistema TMS. OS: 5560"/>
    <s v="Tarifa mínima não preenchida! (ACC01)"/>
    <s v="ARGO(TMS)"/>
    <s v="Tarifa mínima"/>
    <s v="Falta de informação Gerencial"/>
    <s v="Dados do Fornecedor"/>
    <s v="Qualidade dos dados"/>
    <s v="GRUPO KONTIK"/>
  </r>
  <r>
    <n v="22910642"/>
    <n v="23683829"/>
    <s v="ACC01"/>
    <x v="363"/>
    <d v="2025-09-11T18:28:30"/>
    <s v="0 a 02 dias"/>
    <s v="0 a 02 dias"/>
    <s v="NWZUWL"/>
    <s v="GOVER"/>
    <s v="Alexandre da Silva Melo"/>
    <s v="Juliana dos Santos Pinto"/>
    <s v="Juliana dos Santos Pinto"/>
    <x v="284"/>
    <n v="4595879"/>
    <s v="-"/>
    <s v="OFF LINE"/>
    <s v="Cartão de crédito"/>
    <s v="Cartão de crédito"/>
    <s v="Aéreo"/>
    <s v="N"/>
    <s v="Grupo Atlas Copco"/>
    <s v="Atlas Copco Brasil Ltda"/>
    <s v="-"/>
    <s v="Gol Linhas Aereas"/>
    <n v="2145230136"/>
    <s v="FCM-OPE-SAO-PVI-BTC"/>
    <s v="-"/>
    <x v="313"/>
    <n v="400"/>
    <n v="0"/>
    <n v="0"/>
    <n v="0"/>
    <n v="0"/>
    <n v="0"/>
    <s v="Reserva importada do sistema Gover. Id: 459587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892025"/>
    <n v="23667555"/>
    <s v="ACC01"/>
    <x v="364"/>
    <d v="2025-09-11T13:28:10"/>
    <s v="0 a 02 dias"/>
    <s v="03 a 05 dias"/>
    <s v="UMMBCB"/>
    <s v="SABRE"/>
    <s v="JOAQUIM/RINALDO GERONIMO"/>
    <s v="WS"/>
    <s v="WS"/>
    <x v="285"/>
    <s v="GWNLBK"/>
    <s v="-"/>
    <s v="ON LINE"/>
    <s v="Cartão de crédito"/>
    <s v="Cartão AMEX"/>
    <s v="Aéreo"/>
    <s v="N"/>
    <s v="Grupo Sibelco"/>
    <s v="Sibelco - Jaguaruna - Filial"/>
    <s v="-"/>
    <s v="Gol Linhas Aereas"/>
    <n v="7700076893"/>
    <s v="FCM-OPE-SAO-PVI-BTC-CONCUR-SIBELCO"/>
    <s v="-"/>
    <x v="314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892026"/>
    <n v="23667556"/>
    <s v="ACC01"/>
    <x v="365"/>
    <d v="2025-09-11T13:28:11"/>
    <s v="0 a 02 dias"/>
    <s v="03 a 05 dias"/>
    <s v="MUABUV"/>
    <s v="SABRE"/>
    <s v="JOAQUIM/RINALDO GERONIMO"/>
    <s v="WS"/>
    <s v="WS"/>
    <x v="286"/>
    <s v="IGCRHT"/>
    <s v="-"/>
    <s v="ON LINE"/>
    <s v="Cartão de crédito"/>
    <s v="Cartão AMEX"/>
    <s v="Aéreo"/>
    <s v="N"/>
    <s v="Grupo Sibelco"/>
    <s v="Sibelco - Jaguaruna - Filial"/>
    <s v="-"/>
    <s v="Gol Linhas Aereas"/>
    <n v="7700076894"/>
    <s v="FCM-OPE-SAO-PVI-BTC-CONCUR-SIBELCO"/>
    <s v="-"/>
    <x v="31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892027"/>
    <n v="23667557"/>
    <s v="ACC01"/>
    <x v="366"/>
    <d v="2025-09-11T13:28:12"/>
    <s v="0 a 02 dias"/>
    <s v="03 a 05 dias"/>
    <s v="UKHIKR"/>
    <s v="SABRE"/>
    <s v="JOAQUIM/RINALDO GERONIMO"/>
    <s v="WS"/>
    <s v="WS"/>
    <x v="287"/>
    <s v="IHOHZI"/>
    <s v="-"/>
    <s v="ON LINE"/>
    <s v="Cartão de crédito"/>
    <s v="Cartão AMEX"/>
    <s v="Aéreo"/>
    <s v="N"/>
    <s v="Grupo Sibelco"/>
    <s v="Sibelco - Jaguaruna - Filial"/>
    <s v="-"/>
    <s v="Gol Linhas Aereas"/>
    <n v="7700076895"/>
    <s v="FCM-OPE-SAO-PVI-BTC-CONCUR-SIBELCO"/>
    <s v="-"/>
    <x v="316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868673"/>
    <n v="23647755"/>
    <s v="ACC01"/>
    <x v="367"/>
    <d v="2025-09-11T13:28:05"/>
    <s v="0 a 02 dias"/>
    <s v="06 a 08 dias"/>
    <s v="EMETUC"/>
    <s v="SABRE"/>
    <s v="FIOROTTI/MARCOS DANIEL"/>
    <s v="CT"/>
    <s v="CT"/>
    <x v="288"/>
    <s v="F272VWBJ4"/>
    <s v="-"/>
    <s v="ON LINE"/>
    <s v="Cartão de crédito"/>
    <s v="Cartão AMEX"/>
    <s v="Aéreo"/>
    <s v="N"/>
    <s v="Grupo Basf"/>
    <s v="Suvinil"/>
    <s v="-"/>
    <s v="Gol Linhas Aereas"/>
    <n v="7700076672"/>
    <s v="FCM-OPE-SAO-PVI-BASF"/>
    <s v="-"/>
    <x v="317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878342"/>
    <n v="23656874"/>
    <s v="ACC01"/>
    <x v="368"/>
    <d v="2025-09-11T13:25:40"/>
    <s v="0 a 02 dias"/>
    <s v="06 a 08 dias"/>
    <s v="KNEPGP010"/>
    <s v="TMS"/>
    <s v="MAYRA SANTOS"/>
    <s v="Tuane Cristina Alves de Oliveira"/>
    <s v="Tuane Cristina Alves de Oliveira"/>
    <x v="289"/>
    <n v="231448"/>
    <s v="-"/>
    <s v="OFF LINE"/>
    <s v="Cartão de crédito"/>
    <s v="Cartão de crédito"/>
    <s v="Aéreo"/>
    <s v="N"/>
    <s v="Grupo Kpmg"/>
    <s v="Kpmg Assessores"/>
    <s v="-"/>
    <s v="Gol Linhas Aereas"/>
    <n v="2144726639"/>
    <s v="KON-OPE-SAO-PVI-KPMG"/>
    <s v="-"/>
    <x v="318"/>
    <n v="0"/>
    <n v="0"/>
    <n v="0"/>
    <n v="0"/>
    <n v="0"/>
    <n v="0"/>
    <s v="Reserva importada do Sistema TMS. OS: 231448"/>
    <s v="Verificação de bilhetes: Bilhete 2144726639 já sendo utilizado para este fornecedor."/>
    <s v="ARGO(TMS)"/>
    <s v="Bilhete duplicado"/>
    <s v="Bilhete Já Contabilizado"/>
    <s v="Duplicidade de Contabilização"/>
    <s v="Qualidade dos dados"/>
    <s v="GRUPO KONTIK"/>
  </r>
  <r>
    <n v="22909375"/>
    <n v="23682579"/>
    <s v="ACC01"/>
    <x v="369"/>
    <d v="2025-09-11T15:19:17"/>
    <s v="0 a 02 dias"/>
    <s v="0 a 02 dias"/>
    <s v="HGREKE"/>
    <s v="EBOOKING"/>
    <s v="Joaquim Araujo/Antonio"/>
    <s v="Kontrip"/>
    <s v="Kontrip"/>
    <x v="290"/>
    <s v="-"/>
    <s v="-"/>
    <s v="OFF LINE"/>
    <s v="Cartão de crédito"/>
    <s v="Cartão de crédito"/>
    <s v="Aéreo"/>
    <s v="N"/>
    <s v="Grupo Kontrip"/>
    <s v="Cda"/>
    <s v="-"/>
    <s v="Gol Linhas Aereas"/>
    <n v="2145214886"/>
    <s v="KONTRIP"/>
    <s v="-"/>
    <x v="319"/>
    <n v="51.66"/>
    <n v="0"/>
    <n v="0"/>
    <n v="0"/>
    <n v="0"/>
    <n v="94.91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09351"/>
    <n v="23682559"/>
    <s v="ACC01"/>
    <x v="370"/>
    <d v="2025-09-11T15:13:55"/>
    <s v="0 a 02 dias"/>
    <s v="0 a 02 dias"/>
    <s v="CONUCR"/>
    <s v="EBOOKING"/>
    <s v="SADER/MARCELO"/>
    <s v="Kontrip"/>
    <s v="Kontrip"/>
    <x v="291"/>
    <s v="-"/>
    <s v="-"/>
    <s v="OFF LINE"/>
    <s v="Cartão de crédito"/>
    <s v="Cartão de crédito"/>
    <s v="Aéreo"/>
    <s v="N"/>
    <s v="Grupo Kontrip"/>
    <s v="Cda"/>
    <s v="-"/>
    <s v="Gol Linhas Aereas"/>
    <n v="2145214845"/>
    <s v="KONTRIP"/>
    <s v="-"/>
    <x v="320"/>
    <n v="112.28"/>
    <n v="0"/>
    <n v="0"/>
    <n v="0"/>
    <n v="0"/>
    <n v="204.65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12227"/>
    <n v="23685269"/>
    <s v="ACC01"/>
    <x v="371"/>
    <d v="2025-09-11T22:51:58"/>
    <s v="0 a 02 dias"/>
    <s v="0 a 02 dias"/>
    <s v="KRJOTN"/>
    <s v="EBOOKING"/>
    <s v="Ribeiro/Aldo"/>
    <s v="Kontrip"/>
    <s v="Kontrip"/>
    <x v="292"/>
    <s v="-"/>
    <s v="-"/>
    <s v="OFF LINE"/>
    <s v="Cartão de crédito"/>
    <s v="Cartão de crédito"/>
    <s v="Aéreo"/>
    <s v="N"/>
    <s v="Grupo Kontrip"/>
    <s v="Pessoa e Pessoa Advogados Associados"/>
    <s v="-"/>
    <s v="Gol Linhas Aereas"/>
    <n v="2145247985"/>
    <s v="KONTRIP"/>
    <s v="-"/>
    <x v="321"/>
    <n v="44.27"/>
    <n v="0"/>
    <n v="0"/>
    <n v="0"/>
    <n v="0"/>
    <n v="44.0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909965"/>
    <n v="23683184"/>
    <s v="ACC01"/>
    <x v="372"/>
    <d v="2025-09-11T17:01:45"/>
    <s v="0 a 02 dias"/>
    <s v="0 a 02 dias"/>
    <s v="COMIVJ"/>
    <s v="EBOOKING"/>
    <s v="BLENDO FERREIRA SILVA/WILLIAN"/>
    <s v="Kontrip"/>
    <s v="Kontrip"/>
    <x v="293"/>
    <s v="-"/>
    <s v="-"/>
    <s v="OFF LINE"/>
    <s v="Cartão de crédito"/>
    <s v="Cartão de crédito"/>
    <s v="Aéreo"/>
    <s v="N"/>
    <s v="Grupo Kontrip"/>
    <s v="Rcs Tecnologia S/a"/>
    <s v="-"/>
    <s v="Gol Linhas Aereas"/>
    <n v="2145198044"/>
    <s v="KONTRIP"/>
    <s v="-"/>
    <x v="322"/>
    <n v="32.869999999999997"/>
    <n v="0"/>
    <n v="0"/>
    <n v="0"/>
    <n v="0"/>
    <n v="16.670000000000002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10005"/>
    <n v="23683224"/>
    <s v="ACC01"/>
    <x v="373"/>
    <d v="2025-09-11T17:13:13"/>
    <s v="0 a 02 dias"/>
    <s v="0 a 02 dias"/>
    <s v="JHVCDE"/>
    <s v="EBOOKING"/>
    <s v="ARAGAO MACEDO/ROGER"/>
    <s v="Kontrip"/>
    <s v="Kontrip"/>
    <x v="294"/>
    <s v="-"/>
    <s v="-"/>
    <s v="OFF LINE"/>
    <s v="Cartão de crédito"/>
    <s v="Cartão de crédito"/>
    <s v="Aéreo"/>
    <s v="N"/>
    <s v="Grupo Kontrip"/>
    <s v="Grant Thornton Auditores Independentes"/>
    <s v="-"/>
    <s v="Gol Linhas Aereas"/>
    <n v="2145225407"/>
    <s v="KONTRIP"/>
    <s v="-"/>
    <x v="323"/>
    <n v="99.82"/>
    <n v="0"/>
    <n v="0"/>
    <n v="0"/>
    <n v="0"/>
    <n v="156.11000000000001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09453"/>
    <n v="23682661"/>
    <s v="ACC01"/>
    <x v="374"/>
    <d v="2025-09-11T15:32:23"/>
    <s v="0 a 02 dias"/>
    <s v="0 a 02 dias"/>
    <s v="DKPNID"/>
    <s v="EBOOKING"/>
    <s v="Schwind/Luís"/>
    <s v="Kontrip"/>
    <s v="Kontrip"/>
    <x v="295"/>
    <s v="-"/>
    <s v="-"/>
    <s v="OFF LINE"/>
    <s v="Cartão de crédito"/>
    <s v="Cartão de crédito"/>
    <s v="Aéreo"/>
    <s v="N"/>
    <s v="Grupo Kontrip"/>
    <s v="Basso e Pancotte Ltda"/>
    <s v="-"/>
    <s v="Gol Linhas Aereas"/>
    <n v="660876"/>
    <s v="KONTRIP"/>
    <s v="-"/>
    <x v="324"/>
    <n v="47.02"/>
    <n v="0"/>
    <n v="0"/>
    <n v="0"/>
    <n v="0"/>
    <n v="229.37"/>
    <s v="obs"/>
    <s v="Verificação de bilhetes: Bilhete 660876 já sendo utilizado para este fornecedor."/>
    <s v="KONTRIP"/>
    <s v="Bilhete duplicado"/>
    <s v="Bilhete Já Contabilizado"/>
    <s v="Duplicidade de Contabilização"/>
    <s v="Qualidade dos dados"/>
    <s v="KONTRIP VIAGENS"/>
  </r>
  <r>
    <n v="22909453"/>
    <n v="23682662"/>
    <s v="ACC02"/>
    <x v="374"/>
    <d v="2025-09-11T15:32:23"/>
    <s v="0 a 02 dias"/>
    <s v="0 a 02 dias"/>
    <s v="DKPNID"/>
    <s v="EBOOKING"/>
    <s v="Bonvini/Bianca"/>
    <s v="Kontrip"/>
    <s v="Kontrip"/>
    <x v="295"/>
    <s v="-"/>
    <s v="-"/>
    <s v="OFF LINE"/>
    <s v="Cartão de crédito"/>
    <s v="Cartão de crédito"/>
    <s v="Aéreo"/>
    <s v="N"/>
    <s v="Grupo Kontrip"/>
    <s v="Basso e Pancotte Ltda"/>
    <s v="-"/>
    <s v="Gol Linhas Aereas"/>
    <n v="660876"/>
    <s v="KONTRIP"/>
    <s v="-"/>
    <x v="324"/>
    <n v="47.02"/>
    <n v="0"/>
    <n v="0"/>
    <n v="0"/>
    <n v="0"/>
    <n v="0"/>
    <s v="obs"/>
    <s v="Verificação de bilhetes: Bilhete 660876 já sendo utilizado para este fornecedor."/>
    <s v="KONTRIP"/>
    <s v="Bilhete duplicado"/>
    <s v="Bilhete Já Contabilizado"/>
    <s v="Duplicidade de Contabilização"/>
    <s v="Qualidade dos dados"/>
    <s v="KONTRIP VIAGENS"/>
  </r>
  <r>
    <n v="22909453"/>
    <n v="23682663"/>
    <s v="ACC03"/>
    <x v="374"/>
    <d v="2025-09-11T15:32:23"/>
    <s v="0 a 02 dias"/>
    <s v="0 a 02 dias"/>
    <s v="DKPNID"/>
    <s v="EBOOKING"/>
    <s v="Harami/Priscila"/>
    <s v="Kontrip"/>
    <s v="Kontrip"/>
    <x v="295"/>
    <s v="-"/>
    <s v="-"/>
    <s v="OFF LINE"/>
    <s v="Cartão de crédito"/>
    <s v="Cartão de crédito"/>
    <s v="Aéreo"/>
    <s v="N"/>
    <s v="Grupo Kontrip"/>
    <s v="Basso e Pancotte Ltda"/>
    <s v="-"/>
    <s v="Gol Linhas Aereas"/>
    <n v="660876"/>
    <s v="KONTRIP"/>
    <s v="-"/>
    <x v="324"/>
    <n v="47.02"/>
    <n v="0"/>
    <n v="0"/>
    <n v="0"/>
    <n v="0"/>
    <n v="0"/>
    <s v="obs"/>
    <s v="Verificação de bilhetes: Bilhete 660876 já sendo utilizado para este fornecedor."/>
    <s v="KONTRIP"/>
    <s v="Bilhete duplicado"/>
    <s v="Bilhete Já Contabilizado"/>
    <s v="Duplicidade de Contabilização"/>
    <s v="Qualidade dos dados"/>
    <s v="KONTRIP VIAGENS"/>
  </r>
  <r>
    <n v="22909453"/>
    <n v="23682664"/>
    <s v="ACC04"/>
    <x v="374"/>
    <d v="2025-09-11T15:32:23"/>
    <s v="0 a 02 dias"/>
    <s v="0 a 02 dias"/>
    <s v="DKPNID"/>
    <s v="EBOOKING"/>
    <s v="Schwind/Amanda"/>
    <s v="Kontrip"/>
    <s v="Kontrip"/>
    <x v="295"/>
    <s v="-"/>
    <s v="-"/>
    <s v="OFF LINE"/>
    <s v="Cartão de crédito"/>
    <s v="Cartão de crédito"/>
    <s v="Aéreo"/>
    <s v="N"/>
    <s v="Grupo Kontrip"/>
    <s v="Basso e Pancotte Ltda"/>
    <s v="-"/>
    <s v="Gol Linhas Aereas"/>
    <n v="827692"/>
    <s v="KONTRIP"/>
    <s v="-"/>
    <x v="324"/>
    <n v="47.02"/>
    <n v="0"/>
    <n v="0"/>
    <n v="0"/>
    <n v="0"/>
    <n v="0"/>
    <s v="obs"/>
    <s v="Verificação de bilhetes: Bilhete 660876 já sendo utilizado para este fornecedor."/>
    <s v="KONTRIP"/>
    <s v="Bilhete duplicado"/>
    <s v="Bilhete Já Contabilizado"/>
    <s v="Duplicidade de Contabilização"/>
    <s v="Qualidade dos dados"/>
    <s v="KONTRIP VIAGENS"/>
  </r>
  <r>
    <n v="22911675"/>
    <n v="23684815"/>
    <s v="ACC01"/>
    <x v="375"/>
    <d v="2025-09-11T20:08:47"/>
    <s v="0 a 02 dias"/>
    <s v="0 a 02 dias"/>
    <s v="HISMVW"/>
    <s v="GOVER"/>
    <s v="Bruna Beatriz Sousa Silva "/>
    <s v="Juliana dos Santos Pinto"/>
    <s v="Juliana dos Santos Pinto"/>
    <x v="296"/>
    <n v="4596384"/>
    <s v="-"/>
    <s v="OFF LINE"/>
    <s v="Cartão de crédito"/>
    <s v="Cartão de crédito"/>
    <s v="Aéreo"/>
    <s v="N"/>
    <s v="Grupo Light"/>
    <s v="Light Servicos de Eletricidade S/a"/>
    <s v="-"/>
    <s v="Gol Linhas Aereas"/>
    <n v="2145236777"/>
    <s v="KON-OPE-RIO-PVI-BTC-LIGHT"/>
    <s v="-"/>
    <x v="325"/>
    <n v="900"/>
    <n v="0"/>
    <n v="0"/>
    <n v="0"/>
    <n v="0"/>
    <n v="0"/>
    <s v="Reserva importada do sistema Gover. Id: 459638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10679"/>
    <n v="23683871"/>
    <s v="ACC01"/>
    <x v="376"/>
    <d v="2025-09-11T18:46:01"/>
    <s v="0 a 02 dias"/>
    <s v="0 a 02 dias"/>
    <s v="KPEYVO1"/>
    <s v="TMS"/>
    <s v="ALECSANDRO OLIVEIRA"/>
    <s v="Herbert Amancio de Santana"/>
    <s v="Herbert Amancio de Santana"/>
    <x v="297"/>
    <n v="84936"/>
    <s v="-"/>
    <s v="OFF LINE"/>
    <s v="Invoice"/>
    <s v="Faturado"/>
    <s v="Aéreo"/>
    <s v="N"/>
    <s v="Grupo Claro Sa"/>
    <s v="Claro Sao Paulo (santo Amaro)"/>
    <s v="-"/>
    <s v="Gol Linhas Aereas"/>
    <n v="2145127676"/>
    <s v="KON-OPE-SAO-POS-CLARO"/>
    <s v="-"/>
    <x v="6"/>
    <n v="0"/>
    <n v="0"/>
    <n v="0"/>
    <n v="0"/>
    <n v="0"/>
    <n v="0"/>
    <s v="Reserva importada do Sistema TMS. OS: 84936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887870"/>
    <n v="23663293"/>
    <s v="ACC01"/>
    <x v="377"/>
    <d v="2025-09-11T13:28:07"/>
    <s v="0 a 02 dias"/>
    <s v="03 a 05 dias"/>
    <s v="DZWIPC"/>
    <s v="SABRE"/>
    <s v="SAVOIA/HENRIQUE JOSE"/>
    <s v="WS"/>
    <s v="WS"/>
    <x v="298"/>
    <s v="DZWIPC"/>
    <s v="-"/>
    <s v="ON LINE"/>
    <s v="Cartão de crédito"/>
    <s v="Cartão de crédito"/>
    <s v="Aéreo"/>
    <s v="N"/>
    <s v="Grupo Glory"/>
    <s v="Glory"/>
    <s v="-"/>
    <s v="Gol Linhas Aereas"/>
    <n v="2144880653"/>
    <s v="FCM-OPE-SAO-PVI-BTC-CONCUR"/>
    <s v="-"/>
    <x v="326"/>
    <n v="65.37"/>
    <n v="0"/>
    <n v="0"/>
    <n v="0"/>
    <n v="0"/>
    <n v="0"/>
    <s v="Reserva importada por HubTravel"/>
    <s v="Matrícula não preenchida! (ACC01) Informação referencial 2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2910937"/>
    <n v="23684114"/>
    <s v="ACC01"/>
    <x v="378"/>
    <d v="2025-09-11T19:12:37"/>
    <s v="0 a 02 dias"/>
    <s v="0 a 02 dias"/>
    <s v="FGGGH"/>
    <s v="TMS"/>
    <s v="LUCAS SANTOS KCS"/>
    <s v="Tms"/>
    <s v="Tms"/>
    <x v="299"/>
    <n v="44"/>
    <s v="-"/>
    <s v="OFF LINE"/>
    <s v="Invoice"/>
    <s v="Faturado"/>
    <s v="Aéreo"/>
    <s v="N"/>
    <s v="Grupo Benner"/>
    <s v="Benner Sistemas - Blumenau"/>
    <s v="-"/>
    <s v="Gol Linhas Aereas"/>
    <n v="336592215"/>
    <s v="-"/>
    <s v="-"/>
    <x v="327"/>
    <n v="70"/>
    <n v="0"/>
    <n v="0"/>
    <n v="0"/>
    <n v="0"/>
    <n v="0"/>
    <s v="Reserva importada do Sistema TMS. OS: 44"/>
    <s v="Empenho/departamento não preenchido! (ACC01) Canal de venda não preenchido! (ACC01)"/>
    <s v="ARGO(TMS)"/>
    <s v="Mais de um campo não preenchido"/>
    <s v="Falta de informação Gerencial"/>
    <s v="Dados do Fornecedor"/>
    <s v="Qualidade dos dados"/>
    <s v="KONTIK BUSINESS TRAVEL"/>
  </r>
  <r>
    <n v="22857365"/>
    <n v="23638099"/>
    <s v="ACC01"/>
    <x v="379"/>
    <d v="2025-09-02T22:22:16"/>
    <s v="09 a 15 dias"/>
    <s v="09 a 15 dias"/>
    <s v="HEDIKT1"/>
    <s v="TMS"/>
    <s v="JESSICA VELOSO"/>
    <s v="Juliana dos Santos Pinto"/>
    <s v="Juliana dos Santos Pinto"/>
    <x v="300"/>
    <n v="11424"/>
    <s v="-"/>
    <s v="OFF LINE"/>
    <s v="Cartão de crédito"/>
    <s v="Cartão AMEX"/>
    <s v="Aéreo"/>
    <s v="N"/>
    <s v="Grupo Braskem"/>
    <s v="Braskem - Camacari"/>
    <s v="-"/>
    <s v="Gol Linhas Aereas"/>
    <n v="2143885228"/>
    <s v="KON-OPE-SAO-PVI-BRASKEM"/>
    <s v="-"/>
    <x v="6"/>
    <n v="0"/>
    <n v="0"/>
    <n v="0"/>
    <n v="0"/>
    <n v="0"/>
    <n v="0"/>
    <s v="Reserva importada do Sistema TMS. OS: 11424"/>
    <s v="Tarifa mínima não preenchida! (ACC01)"/>
    <s v="ARGO(TMS)"/>
    <s v="Tarifa mínima"/>
    <s v="Falta de informação Gerencial"/>
    <s v="Dados do Fornecedor"/>
    <s v="Qualidade dos dados"/>
    <s v="GRUPO KONTIK"/>
  </r>
  <r>
    <n v="22909711"/>
    <n v="23682948"/>
    <s v="ACC01"/>
    <x v="380"/>
    <d v="2025-09-11T17:06:11"/>
    <s v="0 a 02 dias"/>
    <s v="0 a 02 dias"/>
    <s v="CSLWHF"/>
    <s v="SABRE"/>
    <s v="CAMPOS/TIAGO"/>
    <s v="CT"/>
    <s v="CT"/>
    <x v="301"/>
    <s v="CSLWHF"/>
    <s v="-"/>
    <s v="OFF LINE"/>
    <s v="Cartão de crédito"/>
    <s v="Cartão AMEX"/>
    <s v="Aéreo"/>
    <s v="N"/>
    <s v="Grupo Bosch"/>
    <s v="Robert Bosch Limitada - 9087"/>
    <s v="Cliente FEE no POS"/>
    <s v="Gol Linhas Aereas"/>
    <n v="7700077064"/>
    <s v="FCM-OPE-SAO-PVI-BOSCH"/>
    <s v="-"/>
    <x v="6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909716"/>
    <n v="23682954"/>
    <s v="ACC01"/>
    <x v="381"/>
    <d v="2025-09-11T17:06:12"/>
    <s v="0 a 02 dias"/>
    <s v="0 a 02 dias"/>
    <s v="UGNLQU"/>
    <s v="SABRE"/>
    <s v="CELETE/VIVIANE VEDOVATTO"/>
    <s v="CT"/>
    <s v="CT"/>
    <x v="302"/>
    <s v="UGNLQU"/>
    <s v="-"/>
    <s v="OFF LINE"/>
    <s v="Cartão de crédito"/>
    <s v="Cartão AMEX"/>
    <s v="Aéreo"/>
    <s v="N"/>
    <s v="Grupo Bosch"/>
    <s v="Robert Bosch Limitada - 9087"/>
    <s v="Cliente FEE no POS"/>
    <s v="Gol Linhas Aereas"/>
    <n v="7700077065"/>
    <s v="FCM-OPE-SAO-PVI-BOSCH"/>
    <s v="-"/>
    <x v="6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909717"/>
    <n v="23682955"/>
    <s v="ACC01"/>
    <x v="382"/>
    <d v="2025-09-11T17:06:13"/>
    <s v="0 a 02 dias"/>
    <s v="0 a 02 dias"/>
    <s v="URBTTY"/>
    <s v="SABRE"/>
    <s v="PAVARINA/ADRIANA"/>
    <s v="CT"/>
    <s v="CT"/>
    <x v="303"/>
    <s v="URBTTY"/>
    <s v="-"/>
    <s v="OFF LINE"/>
    <s v="Cartão de crédito"/>
    <s v="Cartão AMEX"/>
    <s v="Aéreo"/>
    <s v="N"/>
    <s v="Grupo Bosch"/>
    <s v="Robert Bosch Limitada - 9087"/>
    <s v="Cliente FEE no POS"/>
    <s v="Gol Linhas Aereas"/>
    <n v="7700077066"/>
    <s v="FCM-OPE-SAO-PVI-BOSCH"/>
    <s v="-"/>
    <x v="6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909719"/>
    <n v="23682957"/>
    <s v="ACC01"/>
    <x v="383"/>
    <d v="2025-09-11T17:06:14"/>
    <s v="0 a 02 dias"/>
    <s v="0 a 02 dias"/>
    <s v="AVWIPE"/>
    <s v="SABRE"/>
    <s v="ANDRE/MARIANA"/>
    <s v="CT"/>
    <s v="CT"/>
    <x v="304"/>
    <s v="AVWIPE"/>
    <s v="-"/>
    <s v="OFF LINE"/>
    <s v="Cartão de crédito"/>
    <s v="Cartão AMEX"/>
    <s v="Aéreo"/>
    <s v="N"/>
    <s v="Grupo Bosch"/>
    <s v="Robert Bosch Limitada - 9087"/>
    <s v="Cliente FEE no POS"/>
    <s v="Gol Linhas Aereas"/>
    <n v="7700077067"/>
    <s v="FCM-OPE-SAO-PVI-BOSCH"/>
    <s v="-"/>
    <x v="6"/>
    <n v="0"/>
    <n v="0"/>
    <n v="0"/>
    <n v="0"/>
    <n v="0"/>
    <n v="0"/>
    <s v="Reserva importada por HubTravel"/>
    <s v="Tarifa mínima não preenchida! (ACC01) Tarifa máxima não preenchida! (ACC01)"/>
    <s v="SABRE"/>
    <s v="Mais de um campo não preenchido"/>
    <s v="Falta de informação Gerencial"/>
    <s v="Dados do Fornecedor"/>
    <s v="Qualidade dos dados"/>
    <s v="KONTIK BUSINESS TRAVEL"/>
  </r>
  <r>
    <n v="22877781"/>
    <n v="23656348"/>
    <s v="ACC01"/>
    <x v="384"/>
    <d v="2025-09-11T13:28:05"/>
    <s v="0 a 02 dias"/>
    <s v="06 a 08 dias"/>
    <s v="GJHPYH"/>
    <s v="SABRE"/>
    <s v="AVILA/BRUNO CLEMENTE GONCALVES DE"/>
    <s v="CT"/>
    <s v="CT"/>
    <x v="305"/>
    <s v="GJHPYH"/>
    <s v="-"/>
    <s v="ON LINE"/>
    <s v="Cartão de crédito"/>
    <s v="Cartão AMEX"/>
    <s v="Aéreo"/>
    <s v="N"/>
    <s v="Grupo Bosch"/>
    <s v="Jvl - Planta Joinville"/>
    <s v="Cliente FEE no POS"/>
    <s v="Gol Linhas Aereas"/>
    <n v="7700076804"/>
    <s v="FCM-OPE-SAO-PVI-BOSCH"/>
    <s v="-"/>
    <x v="6"/>
    <n v="30.32"/>
    <n v="0"/>
    <n v="0"/>
    <n v="0"/>
    <n v="0"/>
    <n v="19.11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861685"/>
    <n v="23641631"/>
    <s v="ACC01"/>
    <x v="385"/>
    <d v="2025-09-03T14:40:55"/>
    <s v="09 a 15 dias"/>
    <s v="09 a 15 dias"/>
    <s v="CCIMEA"/>
    <s v="EBOOKING"/>
    <s v="Venceslau dos Santos/Alisson"/>
    <s v="Kontrip"/>
    <s v="Kontrip"/>
    <x v="306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4712008"/>
    <s v="KONTRIP"/>
    <s v="-"/>
    <x v="328"/>
    <n v="44.27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861689"/>
    <n v="23641636"/>
    <s v="ACC01"/>
    <x v="386"/>
    <d v="2025-09-03T14:43:47"/>
    <s v="09 a 15 dias"/>
    <s v="09 a 15 dias"/>
    <s v="CVENDX"/>
    <s v="EBOOKING"/>
    <s v="Vilela/Lidiany"/>
    <s v="Kontrip"/>
    <s v="Kontrip"/>
    <x v="307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4711372"/>
    <s v="KONTRIP"/>
    <s v="-"/>
    <x v="329"/>
    <n v="44.27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2862473"/>
    <n v="23642350"/>
    <s v="ACC01"/>
    <x v="387"/>
    <d v="2025-09-03T17:27:56"/>
    <s v="09 a 15 dias"/>
    <s v="09 a 15 dias"/>
    <s v="HRLZLB"/>
    <s v="EBOOKING"/>
    <s v="ANGE ARAUJO/ENY"/>
    <s v="Kontrip"/>
    <s v="Kontrip"/>
    <x v="308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4726580"/>
    <s v="KONTRIP"/>
    <s v="-"/>
    <x v="330"/>
    <n v="60.62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2862473"/>
    <n v="23642351"/>
    <s v="ACC02"/>
    <x v="387"/>
    <d v="2025-09-03T17:27:56"/>
    <s v="09 a 15 dias"/>
    <s v="09 a 15 dias"/>
    <s v="HRLZLB"/>
    <s v="EBOOKING"/>
    <s v="OLIVEIRA/PRISCILA"/>
    <s v="Kontrip"/>
    <s v="Kontrip"/>
    <x v="308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4726581"/>
    <s v="KONTRIP"/>
    <s v="-"/>
    <x v="330"/>
    <n v="60.62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2894843"/>
    <n v="23669825"/>
    <s v="ACC01"/>
    <x v="388"/>
    <d v="2025-09-09T11:36:48"/>
    <s v="03 a 05 dias"/>
    <s v="03 a 05 dias"/>
    <s v="5KF58X"/>
    <s v="MANUAL"/>
    <s v="SOUZA/BERNARDO"/>
    <s v="Tms"/>
    <s v="Ananda Maia Fernandes"/>
    <x v="309"/>
    <n v="126244"/>
    <s v="-"/>
    <s v="OFF LINE"/>
    <s v="Invoice"/>
    <s v="Faturado"/>
    <s v="Aéreo"/>
    <s v="N"/>
    <s v="Independente"/>
    <s v="Ipiranga Produtos de Petroleo S.a."/>
    <s v="-"/>
    <s v="Gol Linhas Aereas"/>
    <n v="4431140399"/>
    <s v="KON-OPE-SAO-PVI-ULTRA"/>
    <s v="-"/>
    <x v="6"/>
    <n v="0"/>
    <n v="0"/>
    <n v="0"/>
    <n v="0"/>
    <n v="0"/>
    <n v="0"/>
    <s v="Reserva importada do Sistema TMS. OS: 126244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877787"/>
    <n v="23656354"/>
    <s v="ACC01"/>
    <x v="389"/>
    <d v="2025-09-11T13:28:06"/>
    <s v="0 a 02 dias"/>
    <s v="06 a 08 dias"/>
    <s v="GDBYTR"/>
    <s v="SABRE"/>
    <s v="SOUZA/MARCIO HENRIQUE DE"/>
    <s v="CT"/>
    <s v="CT"/>
    <x v="310"/>
    <s v="GDBYTR"/>
    <s v="-"/>
    <s v="ON LINE"/>
    <s v="Cartão de crédito"/>
    <s v="Cartão AMEX"/>
    <s v="Aéreo"/>
    <s v="N"/>
    <s v="Grupo Bosch"/>
    <s v="Dcbr - Rexroth"/>
    <s v="Cliente FEE no POS"/>
    <s v="Gol Linhas Aereas"/>
    <n v="7700076806"/>
    <s v="FCM-OPE-SAO-PVI-BOSCH"/>
    <s v="-"/>
    <x v="6"/>
    <n v="0"/>
    <n v="0"/>
    <n v="0"/>
    <n v="0"/>
    <n v="0"/>
    <n v="19.11"/>
    <s v="Reserva importada por HubTravel"/>
    <s v="Autorização do cartão da forma de pagamento não preenchida! (ACC01) Autorização do cartão da forma de recebimento não preenchida! (ACC01) Tarifa "/>
    <s v="SABRE"/>
    <s v="Mais de um campo não preenchido"/>
    <s v="Falta de informação Gerencial"/>
    <s v="Dados do Fornecedor"/>
    <s v="Qualidade dos dados"/>
    <s v="KONTIK BUSINESS TRAVEL"/>
  </r>
  <r>
    <n v="22911977"/>
    <n v="23685059"/>
    <s v="ACC02"/>
    <x v="390"/>
    <d v="2025-09-11T21:40:55"/>
    <s v="0 a 02 dias"/>
    <s v="0 a 02 dias"/>
    <s v="MIDOZN"/>
    <s v="SABRE"/>
    <s v="NEVES/VICTOR BOROTO"/>
    <s v="Clayton Alves de Rezende"/>
    <s v="CT"/>
    <x v="136"/>
    <s v="MIDOZN"/>
    <s v="-"/>
    <s v="OFF LINE"/>
    <s v="Cartão de crédito"/>
    <s v="Cartão AMEX"/>
    <s v="Aéreo"/>
    <s v="N"/>
    <s v="Grupo Bosch"/>
    <s v="Robert Bosch Limitada - 9087"/>
    <s v="Cliente FEE no POS"/>
    <s v="Avianca Internacional"/>
    <n v="2953011480"/>
    <s v="FCM-OPE-SAO-PVI-BOSCH"/>
    <s v="-"/>
    <x v="331"/>
    <n v="0"/>
    <n v="404.01"/>
    <n v="0"/>
    <n v="0"/>
    <n v="0"/>
    <n v="0"/>
    <s v="Reserva importada por HubTravel"/>
    <s v="Falta informar o status no trecho da accounting aérea (Bilhete: 2953011480)"/>
    <s v="SABRE"/>
    <s v="Falta informação nos trechos"/>
    <s v="Atualização de Trechos"/>
    <s v="Dados do Fornecedor"/>
    <s v="Qualidade dos dados"/>
    <s v="GRUPO KONTIK"/>
  </r>
  <r>
    <n v="22911977"/>
    <n v="23685061"/>
    <s v="ACC04"/>
    <x v="390"/>
    <d v="2025-09-11T21:40:55"/>
    <s v="0 a 02 dias"/>
    <s v="0 a 02 dias"/>
    <s v="MIDOZN"/>
    <s v="SABRE"/>
    <s v="NEVES/VICTOR BOROTO"/>
    <s v="Clayton Alves de Rezende"/>
    <s v="CT"/>
    <x v="136"/>
    <s v="MIDOZN"/>
    <s v="-"/>
    <s v="OFF LINE"/>
    <s v="?"/>
    <s v="TKT"/>
    <s v="Aéreo"/>
    <s v="N"/>
    <s v="Grupo Bosch"/>
    <s v="Robert Bosch Limitada - 9087"/>
    <s v="Cliente FEE no POS"/>
    <s v="Avianca Internacional"/>
    <n v="2953011480"/>
    <s v="FCM-OPE-SAO-PVI-BOSCH"/>
    <s v="-"/>
    <x v="6"/>
    <n v="0"/>
    <n v="0"/>
    <n v="0"/>
    <n v="0"/>
    <n v="0"/>
    <n v="0"/>
    <s v="Reserva importada por HubTravel"/>
    <s v="Falta informar o status no trecho da accounting aérea (Bilhete: 2953011480)"/>
    <s v="SABRE"/>
    <s v="Falta informação nos trechos"/>
    <s v="Atualização de Trechos"/>
    <s v="Dados do Fornecedor"/>
    <s v="Qualidade dos dados"/>
    <s v="GRUPO KONTIK"/>
  </r>
  <r>
    <n v="22911977"/>
    <n v="23685062"/>
    <s v="ACC05"/>
    <x v="390"/>
    <d v="2025-09-11T21:40:55"/>
    <s v="0 a 02 dias"/>
    <s v="0 a 02 dias"/>
    <s v="MIDOZN"/>
    <s v="SABRE"/>
    <s v="NEVES/VICTOR BOROTO"/>
    <s v="Clayton Alves de Rezende"/>
    <s v="CT"/>
    <x v="136"/>
    <s v="MIDOZN"/>
    <s v="-"/>
    <s v="OFF LINE"/>
    <s v="Cartão de crédito"/>
    <s v="Cartão AMEX"/>
    <s v="Aéreo"/>
    <s v="N"/>
    <s v="Grupo Bosch"/>
    <s v="Robert Bosch Limitada - 9087"/>
    <s v="Cliente FEE no POS"/>
    <s v="Avianca Internacional"/>
    <n v="2953011480"/>
    <s v="FCM-OPE-SAO-PVI-BOSCH"/>
    <s v="-"/>
    <x v="332"/>
    <n v="0"/>
    <n v="0"/>
    <n v="0"/>
    <n v="0"/>
    <n v="0"/>
    <n v="0"/>
    <s v="Reserva importada por HubTravel"/>
    <s v="Falta informar o status no trecho da accounting aérea (Bilhete: 2953011480)"/>
    <s v="SABRE"/>
    <s v="Falta informação nos trechos"/>
    <s v="Atualização de Trechos"/>
    <s v="Dados do Fornecedor"/>
    <s v="Qualidade dos dados"/>
    <s v="GRUPO KONTIK"/>
  </r>
  <r>
    <n v="22812302"/>
    <n v="23599118"/>
    <s v="ACC01"/>
    <x v="391"/>
    <d v="2025-09-11T13:27:30"/>
    <s v="0 a 02 dias"/>
    <s v="16 a 23 dias"/>
    <s v="ELYXYT"/>
    <s v="SABRE"/>
    <s v="NATIS JORDAO/DANIELLE"/>
    <s v="Clayton Alves de Rezende"/>
    <s v="WS"/>
    <x v="311"/>
    <s v="ELYXYT"/>
    <s v="-"/>
    <s v="ON LINE"/>
    <s v="Cartão de crédito"/>
    <s v="Cartão AMEX"/>
    <s v="Aéreo"/>
    <s v="N"/>
    <s v="Grupo Adidas"/>
    <s v="Adidas do Brasil Ltda"/>
    <s v="-"/>
    <s v="Avianca Internacional"/>
    <n v="2952853385"/>
    <s v="FCM-OPE-SAO-PVI-BTC-CONCUR"/>
    <s v="-"/>
    <x v="333"/>
    <n v="59.54"/>
    <n v="350.89"/>
    <n v="0"/>
    <n v="59.54"/>
    <n v="0"/>
    <n v="0"/>
    <s v="Reserva importada por HubTravel"/>
    <s v="Pnr já existente. A duplicidade de rloc é permitida apenas 6 meses após o último pnr emitido"/>
    <s v="SABRE"/>
    <s v="Duplicidade de RLOC"/>
    <s v="Campo RLOC"/>
    <s v="Duplicidade de Contabilização"/>
    <s v="Qualidade dos dados"/>
    <s v="GRUPO KONTIK"/>
  </r>
  <r>
    <n v="22910822"/>
    <n v="23684006"/>
    <s v="ACC01"/>
    <x v="392"/>
    <d v="2025-09-11T18:58:19"/>
    <s v="0 a 02 dias"/>
    <s v="0 a 02 dias"/>
    <s v="FPGIOB"/>
    <s v="TMS"/>
    <s v="BRUNO SCHMIDT"/>
    <s v="Alexandre Isidio da Silva"/>
    <s v="Alexandre Isidio da Silva"/>
    <x v="312"/>
    <n v="25987"/>
    <s v="-"/>
    <s v="OFF LINE"/>
    <s v="Cartão de crédito"/>
    <s v="Cartão de crédito"/>
    <s v="Aéreo"/>
    <s v="N"/>
    <s v="Grupo Enaex"/>
    <s v="Enaex"/>
    <s v="-"/>
    <s v="Latam Airlines Brasil"/>
    <n v="2953012862"/>
    <s v="KON-OPE-RIO-PVI-ENAEX"/>
    <s v="-"/>
    <x v="334"/>
    <n v="897.46"/>
    <n v="0"/>
    <n v="0"/>
    <n v="0"/>
    <n v="0"/>
    <n v="0"/>
    <s v="Reserva importada do Sistema TMS. OS: 25987"/>
    <s v="Verificação de bilhetes: Bilhete 2953012862 já sendo utilizado para este fornecedor."/>
    <s v="ARGO(TMS)"/>
    <s v="Bilhete duplicado"/>
    <s v="Bilhete Já Contabilizado"/>
    <s v="Duplicidade de Contabilização"/>
    <s v="Qualidade dos dados"/>
    <s v="GRUPO KONTIK"/>
  </r>
  <r>
    <n v="22828088"/>
    <n v="23613507"/>
    <s v="ACC01"/>
    <x v="393"/>
    <d v="2025-09-11T13:27:31"/>
    <s v="0 a 02 dias"/>
    <s v="09 a 15 dias"/>
    <s v="DTPWUG"/>
    <s v="SABRE"/>
    <s v="LIE/JI YOUNG"/>
    <s v="Itamar de Souza"/>
    <s v="Adriana Vieira de Freitas dos Santos"/>
    <x v="160"/>
    <s v="EMAIL"/>
    <s v="-"/>
    <s v="OFF LINE"/>
    <s v="Invoice"/>
    <s v="Faturado"/>
    <s v="Aéreo"/>
    <s v="N"/>
    <s v="Grupo Shell"/>
    <s v="Shell"/>
    <s v="-"/>
    <s v="Latam Airlines Brasil"/>
    <n v="2971581545"/>
    <s v="FCM-OPE-SAO-PVI-SHELL"/>
    <s v="-"/>
    <x v="335"/>
    <n v="120.57"/>
    <n v="0"/>
    <n v="0"/>
    <n v="120.57"/>
    <n v="0"/>
    <n v="0"/>
    <s v="Reserva importada por HubTravel"/>
    <s v="Falta informar o status no trecho da accounting aérea (Bilhete: 2971581545)"/>
    <s v="SABRE"/>
    <s v="Falta informação nos trechos"/>
    <s v="Atualização de Trechos"/>
    <s v="Dados do Fornecedor"/>
    <s v="Qualidade dos dados"/>
    <s v="GRUPO KONTIK"/>
  </r>
  <r>
    <n v="22828088"/>
    <n v="23613508"/>
    <s v="ACC02"/>
    <x v="393"/>
    <d v="2025-09-11T13:27:31"/>
    <s v="0 a 02 dias"/>
    <s v="09 a 15 dias"/>
    <s v="DTPWUG"/>
    <s v="SABRE"/>
    <s v="LEE/JI YOUNG"/>
    <s v="Itamar de Souza"/>
    <s v="Adriana Vieira de Freitas dos Santos"/>
    <x v="160"/>
    <s v="EMAIL"/>
    <s v="-"/>
    <s v="OFF LINE"/>
    <s v="Invoice"/>
    <s v="TKT"/>
    <s v="Aéreo"/>
    <s v="N"/>
    <s v="Grupo Shell"/>
    <s v="Shell"/>
    <s v="-"/>
    <s v="Latam Airlines Brasil"/>
    <n v="2971581545"/>
    <s v="FCM-OPE-SAO-PVI-SHELL"/>
    <s v="-"/>
    <x v="6"/>
    <n v="0"/>
    <n v="0"/>
    <n v="0"/>
    <n v="0"/>
    <n v="0"/>
    <n v="0"/>
    <s v="Reserva importada por HubTravel"/>
    <s v="Falta informar o status no trecho da accounting aérea (Bilhete: 2971581545)"/>
    <s v="SABRE"/>
    <s v="Falta informação nos trechos"/>
    <s v="Atualização de Trechos"/>
    <s v="Dados do Fornecedor"/>
    <s v="Qualidade dos dados"/>
    <s v="GRUPO KONTIK"/>
  </r>
  <r>
    <n v="22911927"/>
    <n v="23685012"/>
    <s v="ACC01"/>
    <x v="394"/>
    <d v="2025-09-11T21:36:45"/>
    <s v="0 a 02 dias"/>
    <s v="0 a 02 dias"/>
    <s v="STUYFH"/>
    <s v="SABRE"/>
    <s v="TARDIVO/CRISTIANE MEIRA"/>
    <s v="Itamar de Souza"/>
    <s v="WS"/>
    <x v="313"/>
    <s v="STUYFH"/>
    <s v="-"/>
    <s v="ON LINE"/>
    <s v="?"/>
    <s v="TKT"/>
    <s v="Aéreo"/>
    <s v="N"/>
    <s v="Grupo Adidas"/>
    <s v="Adidas do Brasil Ltda"/>
    <s v="-"/>
    <s v="Latam Airlines Brasil"/>
    <n v="2953012923"/>
    <s v="FCM-OPE-SAO-PVI-BTC-CONCUR"/>
    <s v="-"/>
    <x v="6"/>
    <n v="22.13"/>
    <n v="0"/>
    <n v="0"/>
    <n v="22.1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1986"/>
    <n v="23685073"/>
    <s v="ACC01"/>
    <x v="395"/>
    <d v="2025-09-11T21:54:49"/>
    <s v="0 a 02 dias"/>
    <s v="0 a 02 dias"/>
    <s v="HMFXST"/>
    <s v="SABRE"/>
    <s v="PALASTHY/THIAGO CASARIN"/>
    <s v="Itamar de Souza"/>
    <s v="WS"/>
    <x v="313"/>
    <s v="HMFXST"/>
    <s v="-"/>
    <s v="ON LINE"/>
    <s v="?"/>
    <s v="TKT"/>
    <s v="Aéreo"/>
    <s v="N"/>
    <s v="Grupo Adidas"/>
    <s v="Adidas do Brasil Ltda"/>
    <s v="-"/>
    <s v="Latam Airlines Brasil"/>
    <n v="2953012922"/>
    <s v="FCM-OPE-SAO-PVI-BTC-CONCUR"/>
    <s v="-"/>
    <x v="6"/>
    <n v="13.95"/>
    <n v="447.75"/>
    <n v="0"/>
    <n v="13.9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1987"/>
    <n v="23685074"/>
    <s v="ACC01"/>
    <x v="396"/>
    <d v="2025-09-11T21:54:51"/>
    <s v="0 a 02 dias"/>
    <s v="0 a 02 dias"/>
    <s v="ALUPEK"/>
    <s v="SABRE"/>
    <s v="SANTOS/JONATAS SOUZA DOS"/>
    <s v="Itamar de Souza"/>
    <s v="WS"/>
    <x v="313"/>
    <s v="ALUPEK"/>
    <s v="-"/>
    <s v="ON LINE"/>
    <s v="?"/>
    <s v="TKT"/>
    <s v="Aéreo"/>
    <s v="N"/>
    <s v="Grupo Adidas"/>
    <s v="Adidas do Brasil Ltda"/>
    <s v="-"/>
    <s v="Latam Airlines Brasil"/>
    <n v="2953012918"/>
    <s v="FCM-OPE-SAO-PVI-BTC-CONCUR"/>
    <s v="-"/>
    <x v="6"/>
    <n v="14.5"/>
    <n v="395.94"/>
    <n v="0"/>
    <n v="14.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1988"/>
    <n v="23685075"/>
    <s v="ACC01"/>
    <x v="397"/>
    <d v="2025-09-11T21:54:54"/>
    <s v="0 a 02 dias"/>
    <s v="0 a 02 dias"/>
    <s v="UFOGLE"/>
    <s v="SABRE"/>
    <s v="DE MELO BATISTA/ANASTACIA MEL"/>
    <s v="Itamar de Souza"/>
    <s v="WS"/>
    <x v="313"/>
    <s v="UFOGLE"/>
    <s v="-"/>
    <s v="ON LINE"/>
    <s v="?"/>
    <s v="TKT"/>
    <s v="Aéreo"/>
    <s v="N"/>
    <s v="Grupo Adidas"/>
    <s v="Adidas do Brasil Ltda"/>
    <s v="-"/>
    <s v="Latam Airlines Brasil"/>
    <n v="2953012917"/>
    <s v="FCM-OPE-SAO-PVI-BTC-CONCUR"/>
    <s v="-"/>
    <x v="6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0077"/>
    <n v="23683275"/>
    <s v="ACC01"/>
    <x v="398"/>
    <d v="2025-09-11T17:28:21"/>
    <s v="0 a 02 dias"/>
    <s v="0 a 02 dias"/>
    <s v="HALUOJ"/>
    <s v="GOVER"/>
    <s v="Simone MARQUES"/>
    <s v="Ana Carolina da Silva"/>
    <s v="Ana Carolina da Silva"/>
    <x v="314"/>
    <n v="4595260"/>
    <s v="-"/>
    <s v="OFF LINE"/>
    <s v="Cartão de crédito"/>
    <s v="Cartão de crédito"/>
    <s v="Aéreo"/>
    <s v="N"/>
    <s v="Grupo Arcadis"/>
    <s v="Arcadis"/>
    <s v="-"/>
    <s v="Latam Airlines Brasil"/>
    <n v="4457412049"/>
    <s v="FCM-OPE-SAO-PVI-ARCADIS"/>
    <s v="-"/>
    <x v="203"/>
    <n v="0"/>
    <n v="0"/>
    <n v="0"/>
    <n v="0"/>
    <n v="0"/>
    <n v="0"/>
    <s v="Reserva importada do sistema Gover. Id: 4595260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889102"/>
    <n v="23664595"/>
    <s v="ACC01"/>
    <x v="399"/>
    <d v="2025-09-12T02:57:18"/>
    <s v="0 a 02 dias"/>
    <s v="03 a 05 dias"/>
    <s v="HXBFUU"/>
    <s v="SABRE"/>
    <s v="KUMMER DA ROCHA SANTIAGO/SAND"/>
    <s v="Itamar de Souza"/>
    <s v="WS"/>
    <x v="315"/>
    <s v="HXBFUU"/>
    <s v="-"/>
    <s v="ON LINE"/>
    <s v="Cartão de crédito"/>
    <s v="Cartão de crédito"/>
    <s v="Aéreo"/>
    <s v="N"/>
    <s v="Grupo Sep"/>
    <s v="Sep Global Informacoes do Brasil Ltda"/>
    <s v="Cliente FEE no POS"/>
    <s v="Latam Airlines Brasil"/>
    <n v="2952963668"/>
    <s v="FCM-OPE-SAO-PVI-BTC"/>
    <s v="-"/>
    <x v="6"/>
    <n v="0"/>
    <n v="450"/>
    <n v="0"/>
    <n v="23.03"/>
    <n v="0"/>
    <n v="0"/>
    <s v="Reserva importada por HubTravel"/>
    <s v="Verificação de bilhetes: Bilhete 2952963668 já sendo utilizado para este fornecedor."/>
    <s v="SABRE"/>
    <s v="Bilhete duplicado"/>
    <s v="Bilhete Já Contabilizado"/>
    <s v="Duplicidade de Contabilização"/>
    <s v="Qualidade dos dados"/>
    <s v="GRUPO KONTIK"/>
  </r>
  <r>
    <n v="22911930"/>
    <n v="23685015"/>
    <s v="ACC01"/>
    <x v="400"/>
    <d v="2025-09-11T21:33:41"/>
    <s v="0 a 02 dias"/>
    <s v="0 a 02 dias"/>
    <s v="ATRUGD"/>
    <s v="SABRE"/>
    <s v="GEISENDORF/CARLO"/>
    <s v="Itamar de Souza"/>
    <s v="WS"/>
    <x v="223"/>
    <s v="ATRUGD"/>
    <s v="-"/>
    <s v="ON LINE"/>
    <s v="?"/>
    <s v="TKT"/>
    <s v="Aéreo"/>
    <s v="N"/>
    <s v="Grupo Sep"/>
    <s v="Sep Global Informacoes do Brasil Ltda"/>
    <s v="Cliente FEE no POS"/>
    <s v="Latam Airlines Brasil"/>
    <n v="2953012925"/>
    <s v="FCM-OPE-SAO-PVI-BTC"/>
    <s v="-"/>
    <x v="6"/>
    <n v="62.7"/>
    <n v="450"/>
    <n v="0"/>
    <n v="62.7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2905475"/>
    <n v="23679414"/>
    <s v="ACC01"/>
    <x v="401"/>
    <d v="2025-09-12T03:03:15"/>
    <s v="0 a 02 dias"/>
    <s v="0 a 02 dias"/>
    <s v="GMXYRO"/>
    <s v="SABRE"/>
    <s v="DINIZ FALEIROS/GABRIEL"/>
    <s v="Itamar de Souza"/>
    <s v="Marcia Pereira dos Santos Soares"/>
    <x v="316"/>
    <s v="SP2808251147"/>
    <s v="-"/>
    <s v="OFF LINE"/>
    <s v="Cartão de crédito"/>
    <s v="Cartão de crédito"/>
    <s v="Aéreo"/>
    <s v="N"/>
    <s v="Grupo Sep"/>
    <s v="Sep Global Informacoes do Brasil Ltda"/>
    <s v="Cliente FEE no POS"/>
    <s v="Latam Airlines Brasil"/>
    <n v="2953012850"/>
    <s v="FCM-OPE-SAO-PVI-BTC"/>
    <s v="-"/>
    <x v="336"/>
    <n v="107.64"/>
    <n v="0"/>
    <n v="0"/>
    <n v="107.64"/>
    <n v="0"/>
    <n v="0"/>
    <s v="Reserva importada por HubTravel"/>
    <s v="Falta informar o status no trecho da accounting aérea (Bilhete: 2953012850)"/>
    <s v="SABRE"/>
    <s v="Falta informação nos trechos"/>
    <s v="Atualização de Trechos"/>
    <s v="Dados do Fornecedor"/>
    <s v="Qualidade dos dados"/>
    <s v="GRUPO KONTIK"/>
  </r>
  <r>
    <n v="22905475"/>
    <n v="23679415"/>
    <s v="ACC02"/>
    <x v="401"/>
    <d v="2025-09-12T03:03:15"/>
    <s v="0 a 02 dias"/>
    <s v="0 a 02 dias"/>
    <s v="GMXYRO"/>
    <s v="SABRE"/>
    <s v="DINIZ FALEIROS/GABRIEL"/>
    <s v="Itamar de Souza"/>
    <s v="Marcia Pereira dos Santos Soares"/>
    <x v="316"/>
    <s v="SP2808251147"/>
    <s v="-"/>
    <s v="OFF LINE"/>
    <s v="Cartão de crédito"/>
    <s v="Cartão de crédito"/>
    <s v="Aéreo"/>
    <s v="N"/>
    <s v="Grupo Sep"/>
    <s v="Sep Global Informacoes do Brasil Ltda"/>
    <s v="Cliente FEE no POS"/>
    <s v="Latam Airlines Brasil"/>
    <n v="2953012850"/>
    <s v="FCM-OPE-SAO-PVI-BTC"/>
    <s v="-"/>
    <x v="6"/>
    <n v="0"/>
    <n v="450"/>
    <n v="0"/>
    <n v="0"/>
    <n v="0"/>
    <n v="0"/>
    <s v="Reserva importada por HubTravel"/>
    <s v="Falta informar o status no trecho da accounting aérea (Bilhete: 2953012850)"/>
    <s v="SABRE"/>
    <s v="Falta informação nos trechos"/>
    <s v="Atualização de Trechos"/>
    <s v="Dados do Fornecedor"/>
    <s v="Qualidade dos dados"/>
    <s v="GRUPO KONTIK"/>
  </r>
  <r>
    <n v="22905475"/>
    <n v="23679416"/>
    <s v="ACC03"/>
    <x v="401"/>
    <d v="2025-09-12T03:03:15"/>
    <s v="0 a 02 dias"/>
    <s v="0 a 02 dias"/>
    <s v="GMXYRO"/>
    <s v="SABRE"/>
    <s v="DINIZ FALEIROS/GABRIEL"/>
    <s v="Itamar de Souza"/>
    <s v="Marcia Pereira dos Santos Soares"/>
    <x v="316"/>
    <s v="SP2808251147"/>
    <s v="-"/>
    <s v="OFF LINE"/>
    <s v="Cartão de crédito"/>
    <s v="Cartão de crédito"/>
    <s v="Aéreo"/>
    <s v="N"/>
    <s v="Grupo Sep"/>
    <s v="Sep Global Informacoes do Brasil Ltda"/>
    <s v="Cliente FEE no POS"/>
    <s v="Latam Airlines Brasil"/>
    <n v="2953012850"/>
    <s v="FCM-OPE-SAO-PVI-BTC"/>
    <s v="-"/>
    <x v="6"/>
    <n v="0"/>
    <n v="450"/>
    <n v="0"/>
    <n v="0"/>
    <n v="0"/>
    <n v="0"/>
    <s v="Reserva importada por HubTravel"/>
    <s v="Falta informar o status no trecho da accounting aérea (Bilhete: 2953012850)"/>
    <s v="SABRE"/>
    <s v="Falta informação nos trechos"/>
    <s v="Atualização de Trechos"/>
    <s v="Dados do Fornecedor"/>
    <s v="Qualidade dos dados"/>
    <s v="GRUPO KONTIK"/>
  </r>
  <r>
    <n v="22911990"/>
    <n v="23685077"/>
    <s v="ACC01"/>
    <x v="402"/>
    <d v="2025-09-11T21:50:39"/>
    <s v="0 a 02 dias"/>
    <s v="0 a 02 dias"/>
    <s v="MWXZOI"/>
    <s v="SABRE"/>
    <s v="CAIRES/KELTON COLOMBO"/>
    <s v="Itamar de Souza"/>
    <s v="CT"/>
    <x v="317"/>
    <s v="MWXZOI"/>
    <s v="-"/>
    <s v="ON LINE"/>
    <s v="?"/>
    <s v="TKT"/>
    <s v="Aéreo"/>
    <s v="N"/>
    <s v="Grupo Livanova"/>
    <s v="Livanova Brasil"/>
    <s v="-"/>
    <s v="Latam Airlines Brasil"/>
    <n v="2953012913"/>
    <s v="FCM-OPE-SAO-PVI-BTC"/>
    <s v="-"/>
    <x v="6"/>
    <n v="62.05"/>
    <n v="450"/>
    <n v="0"/>
    <n v="62.0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1985"/>
    <n v="23685072"/>
    <s v="ACC01"/>
    <x v="403"/>
    <d v="2025-09-11T21:50:33"/>
    <s v="0 a 02 dias"/>
    <s v="0 a 02 dias"/>
    <s v="SINXYN"/>
    <s v="SABRE"/>
    <s v="MORETTI/CLAUDIO MANGONI"/>
    <s v="Itamar de Souza"/>
    <s v="CY"/>
    <x v="269"/>
    <s v="SINXYN"/>
    <s v="-"/>
    <s v="ON LINE"/>
    <s v="?"/>
    <s v="TKT"/>
    <s v="Aéreo"/>
    <s v="N"/>
    <s v="Grupo Baker Mckenzie"/>
    <s v="Baker Mckenzie - Porto Alegre"/>
    <s v="-"/>
    <s v="Latam Airlines Brasil"/>
    <n v="2953012927"/>
    <s v="FCM-OPE-SAO-PVI-BTC"/>
    <s v="-"/>
    <x v="6"/>
    <n v="10.87"/>
    <n v="450"/>
    <n v="0"/>
    <n v="10.87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2006"/>
    <n v="23685096"/>
    <s v="ACC01"/>
    <x v="404"/>
    <d v="2025-09-11T21:51:29"/>
    <s v="0 a 02 dias"/>
    <s v="0 a 02 dias"/>
    <s v="NSGCUF"/>
    <s v="SABRE"/>
    <s v="MORETTI/CLAUDIO MANGONI"/>
    <s v="Itamar de Souza"/>
    <s v="CY"/>
    <x v="318"/>
    <s v="NSGCUF"/>
    <s v="-"/>
    <s v="ON LINE"/>
    <s v="?"/>
    <s v="TKT"/>
    <s v="Aéreo"/>
    <s v="N"/>
    <s v="Grupo Baker Mckenzie"/>
    <s v="Baker Mckenzie - Porto Alegre"/>
    <s v="-"/>
    <s v="Latam Airlines Brasil"/>
    <n v="2953012928"/>
    <s v="FCM-OPE-SAO-PVI-BTC"/>
    <s v="-"/>
    <x v="6"/>
    <n v="0"/>
    <n v="447.75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1865"/>
    <n v="23684966"/>
    <s v="ACC01"/>
    <x v="405"/>
    <d v="2025-09-11T21:24:41"/>
    <s v="0 a 02 dias"/>
    <s v="0 a 02 dias"/>
    <s v="DNJXXF"/>
    <s v="GOVER"/>
    <s v="Daniel Dissat das Neves Lazuroz"/>
    <s v="Juliana dos Santos Pinto"/>
    <s v="Juliana dos Santos Pinto"/>
    <x v="319"/>
    <n v="4595965"/>
    <s v="-"/>
    <s v="OFF LINE"/>
    <s v="Cartão de crédito"/>
    <s v="Cartão AMEX"/>
    <s v="Aéreo"/>
    <s v="N"/>
    <s v="Grupo Isdin"/>
    <s v="Isdin Sp"/>
    <s v="-"/>
    <s v="Latam Airlines Brasil"/>
    <n v="2952993405"/>
    <s v="KON-OPE-RIO-PVI-BTC RJ"/>
    <s v="-"/>
    <x v="337"/>
    <n v="450"/>
    <n v="0"/>
    <n v="0"/>
    <n v="0"/>
    <n v="0"/>
    <n v="0"/>
    <s v="Reserva importada do sistema Gover. Id: 459596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11866"/>
    <n v="23684967"/>
    <s v="ACC01"/>
    <x v="405"/>
    <d v="2025-09-11T21:24:42"/>
    <s v="0 a 02 dias"/>
    <s v="0 a 02 dias"/>
    <s v="IKNAOB"/>
    <s v="GOVER"/>
    <s v="Ana Lúcia Ferreira Coutinho"/>
    <s v="Juliana dos Santos Pinto"/>
    <s v="Juliana dos Santos Pinto"/>
    <x v="320"/>
    <n v="4595965"/>
    <s v="-"/>
    <s v="OFF LINE"/>
    <s v="Cartão de crédito"/>
    <s v="Cartão AMEX"/>
    <s v="Aéreo"/>
    <s v="N"/>
    <s v="Grupo Isdin"/>
    <s v="Isdin Sp"/>
    <s v="-"/>
    <s v="Latam Airlines Brasil"/>
    <n v="2952993404"/>
    <s v="KON-OPE-RIO-PVI-BTC RJ"/>
    <s v="-"/>
    <x v="337"/>
    <n v="450"/>
    <n v="0"/>
    <n v="0"/>
    <n v="0"/>
    <n v="0"/>
    <n v="0"/>
    <s v="Reserva importada do sistema Gover. Id: 459596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09824"/>
    <n v="23683057"/>
    <s v="ACC01"/>
    <x v="406"/>
    <d v="2025-09-11T16:44:41"/>
    <s v="0 a 02 dias"/>
    <s v="0 a 02 dias"/>
    <s v="KNIZAY"/>
    <s v="GOVER"/>
    <s v="ALANA DE SOUZA DE OLIVEIRA"/>
    <s v="Juliana dos Santos Pinto"/>
    <s v="Juliana dos Santos Pinto"/>
    <x v="321"/>
    <n v="4594695"/>
    <s v="-"/>
    <s v="OFF LINE"/>
    <s v="Cartão de crédito"/>
    <s v="Cartão AMEX"/>
    <s v="Aéreo"/>
    <s v="N"/>
    <s v="Grupo Isdin"/>
    <s v="Isdin Sp"/>
    <s v="-"/>
    <s v="Latam Airlines Brasil"/>
    <n v="2952993399"/>
    <s v="KON-OPE-RIO-PVI-BTC RJ"/>
    <s v="-"/>
    <x v="338"/>
    <n v="450"/>
    <n v="0"/>
    <n v="0"/>
    <n v="0"/>
    <n v="0"/>
    <n v="0"/>
    <s v="Reserva importada do sistema Gover. Id: 459469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09825"/>
    <n v="23683058"/>
    <s v="ACC01"/>
    <x v="407"/>
    <d v="2025-09-11T16:44:42"/>
    <s v="0 a 02 dias"/>
    <s v="0 a 02 dias"/>
    <s v="KOZLPM"/>
    <s v="GOVER"/>
    <s v="SIMONE GUERRERO DAVID"/>
    <s v="Juliana dos Santos Pinto"/>
    <s v="Juliana dos Santos Pinto"/>
    <x v="281"/>
    <n v="4594695"/>
    <s v="-"/>
    <s v="OFF LINE"/>
    <s v="Cartão de crédito"/>
    <s v="Cartão AMEX"/>
    <s v="Aéreo"/>
    <s v="N"/>
    <s v="Grupo Isdin"/>
    <s v="Isdin Sp"/>
    <s v="-"/>
    <s v="Latam Airlines Brasil"/>
    <n v="2952993400"/>
    <s v="KON-OPE-RIO-PVI-BTC RJ"/>
    <s v="-"/>
    <x v="338"/>
    <n v="450"/>
    <n v="0"/>
    <n v="0"/>
    <n v="0"/>
    <n v="0"/>
    <n v="0"/>
    <s v="Reserva importada do sistema Gover. Id: 459469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11991"/>
    <n v="23685078"/>
    <s v="ACC01"/>
    <x v="408"/>
    <d v="2025-09-11T21:50:42"/>
    <s v="0 a 02 dias"/>
    <s v="0 a 02 dias"/>
    <s v="EFSUJO"/>
    <s v="SABRE"/>
    <s v="CASAGRANDE/PAULO LEONARDO"/>
    <s v="Itamar de Souza"/>
    <s v="CORA TORLAI CIRINO"/>
    <x v="322"/>
    <s v="EFSUJO"/>
    <s v="-"/>
    <s v="OFF LINE"/>
    <s v="?"/>
    <s v="TKT"/>
    <s v="Aéreo"/>
    <s v="N"/>
    <s v="Grupo Baker Mckenzie"/>
    <s v="Baker Mckenzie - Sao Paulo"/>
    <s v="-"/>
    <s v="Latam Airlines Brasil"/>
    <n v="2953012910"/>
    <s v="FCM-OPE-SAO-PVI-BTC"/>
    <s v="-"/>
    <x v="6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05476"/>
    <n v="23679417"/>
    <s v="ACC01"/>
    <x v="409"/>
    <d v="2025-09-12T03:03:17"/>
    <s v="0 a 02 dias"/>
    <s v="0 a 02 dias"/>
    <s v="FNRQBI"/>
    <s v="SABRE"/>
    <s v="GARIBIAN/SERGIO ADRIAN"/>
    <s v="Flavia Constanzi do Nascimento"/>
    <s v="Humberto da Fontoura"/>
    <x v="323"/>
    <s v="FNRQBI"/>
    <s v="-"/>
    <s v="ON LINE"/>
    <s v="Cartão de crédito"/>
    <s v="Cartão de crédito"/>
    <s v="Aéreo"/>
    <s v="N"/>
    <s v="Grupo Sep"/>
    <s v="Standard And Poors Ratings do Brasil Ltda"/>
    <s v="Cliente FEE no POS"/>
    <s v="Latam Airlines Brasil"/>
    <n v="2872789883"/>
    <s v="FCM-OPE-SAO-PVI-BTC-CYTRIC-S&amp;P"/>
    <s v="-"/>
    <x v="339"/>
    <n v="59.54"/>
    <n v="496.07"/>
    <n v="0"/>
    <n v="59.54"/>
    <n v="0"/>
    <n v="0"/>
    <s v="Reserva importada por HubTravel"/>
    <s v="Centro de custo não preenchido! (ACC01) Email do passageiro não preenchido! (ACC01) Departamento não preenchido! (ACC01) Finalidade não "/>
    <s v="SABRE"/>
    <s v="Mais de um campo não preenchido"/>
    <s v="Falta de informação Gerencial"/>
    <s v="Dados do Fornecedor"/>
    <s v="Qualidade dos dados"/>
    <s v="GRUPO KONTIK"/>
  </r>
  <r>
    <n v="22911993"/>
    <n v="23685080"/>
    <s v="ACC01"/>
    <x v="410"/>
    <d v="2025-09-11T22:03:10"/>
    <s v="0 a 02 dias"/>
    <s v="0 a 02 dias"/>
    <s v="JCFRXL"/>
    <s v="SABRE"/>
    <s v="GAUTHIER/FREDERIC"/>
    <s v="Itamar de Souza"/>
    <s v="Poliana Cardoso da Silva"/>
    <x v="313"/>
    <s v="JCFRXL"/>
    <s v="-"/>
    <s v="ON LINE"/>
    <s v="?"/>
    <s v="TKT"/>
    <s v="Aéreo"/>
    <s v="N"/>
    <s v="Grupo Casas Bahia"/>
    <s v="Grupo Casas Bahia S.a."/>
    <s v="-"/>
    <s v="Latam Airlines Brasil"/>
    <n v="2953012908"/>
    <s v="KON-OPE-RIO-PVI-CASAS BAHIA"/>
    <s v="-"/>
    <x v="6"/>
    <n v="74.09"/>
    <n v="450"/>
    <n v="0"/>
    <n v="74.09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GRUPO KONTIK"/>
  </r>
  <r>
    <n v="22891292"/>
    <n v="23666852"/>
    <s v="ACC01"/>
    <x v="411"/>
    <d v="2025-09-11T13:25:44"/>
    <s v="0 a 02 dias"/>
    <s v="03 a 05 dias"/>
    <s v="NAPJBX"/>
    <s v="TMS"/>
    <s v="FLAVIA GODOY E SILVA"/>
    <s v="Roberta Iaquiri da Silva"/>
    <s v="Roberta Iaquiri da Silva"/>
    <x v="324"/>
    <n v="42142"/>
    <s v="-"/>
    <s v="OFF LINE"/>
    <s v="Cartão de crédito"/>
    <s v="Cartão AMEX"/>
    <s v="Aéreo"/>
    <s v="N"/>
    <s v="Grupo Motiva"/>
    <s v="Motiva Matriz"/>
    <s v="-"/>
    <s v="Latam Airlines Brasil"/>
    <n v="2952971256"/>
    <s v="KON-OPE-SAO-PVI-CCR"/>
    <s v="-"/>
    <x v="340"/>
    <n v="202.36"/>
    <n v="0"/>
    <n v="0"/>
    <n v="0"/>
    <n v="0"/>
    <n v="0"/>
    <s v="Reserva importada do Sistema TMS. OS: 42142"/>
    <s v="Verificação de bilhetes: Bilhete 2952971256 já sendo utilizado para este fornecedor."/>
    <s v="ARGO(TMS)"/>
    <s v="Bilhete duplicado"/>
    <s v="Bilhete Já Contabilizado"/>
    <s v="Duplicidade de Contabilização"/>
    <s v="Qualidade dos dados"/>
    <s v="GRUPO KONTIK"/>
  </r>
  <r>
    <n v="22891294"/>
    <n v="23666854"/>
    <s v="ACC01"/>
    <x v="412"/>
    <d v="2025-09-11T13:25:45"/>
    <s v="0 a 02 dias"/>
    <s v="03 a 05 dias"/>
    <s v="NADYZY"/>
    <s v="TMS"/>
    <s v="WALDO PEREZ LESKOVAR"/>
    <s v="Roberta Iaquiri da Silva"/>
    <s v="Roberta Iaquiri da Silva"/>
    <x v="325"/>
    <n v="42141"/>
    <s v="-"/>
    <s v="OFF LINE"/>
    <s v="Cartão de crédito"/>
    <s v="Cartão AMEX"/>
    <s v="Aéreo"/>
    <s v="N"/>
    <s v="Grupo Motiva"/>
    <s v="Motiva Matriz"/>
    <s v="-"/>
    <s v="Latam Airlines Brasil"/>
    <n v="2952971255"/>
    <s v="KON-OPE-SAO-PVI-CCR"/>
    <s v="-"/>
    <x v="341"/>
    <n v="202.36"/>
    <n v="0"/>
    <n v="0"/>
    <n v="0"/>
    <n v="0"/>
    <n v="0"/>
    <s v="Reserva importada do Sistema TMS. OS: 42141"/>
    <s v="Verificação de bilhetes: Bilhete 2952971255 já sendo utilizado para este fornecedor."/>
    <s v="ARGO(TMS)"/>
    <s v="Bilhete duplicado"/>
    <s v="Bilhete Já Contabilizado"/>
    <s v="Duplicidade de Contabilização"/>
    <s v="Qualidade dos dados"/>
    <s v="GRUPO KONTIK"/>
  </r>
  <r>
    <n v="22911152"/>
    <n v="23684328"/>
    <s v="ACC01"/>
    <x v="413"/>
    <d v="2025-09-11T19:17:08"/>
    <s v="0 a 02 dias"/>
    <s v="0 a 02 dias"/>
    <s v="AWUYJC1"/>
    <s v="TMS"/>
    <s v="RICARDO MALDONADO SEBASTIANI"/>
    <s v="Poliana Cardoso da Silva"/>
    <s v="Poliana Cardoso da Silva"/>
    <x v="326"/>
    <n v="2494"/>
    <s v="-"/>
    <s v="OFF LINE"/>
    <s v="Cartão de crédito"/>
    <s v="Cartão de crédito"/>
    <s v="Aéreo"/>
    <s v="N"/>
    <s v="Grupo Pepsico"/>
    <s v="Pepsi Cola Industrial da Amazonia Ltda"/>
    <s v="-"/>
    <s v="Latam Airlines Brasil"/>
    <n v="2952946618"/>
    <s v="KON-OPE-POA-PVI-PEPSICO"/>
    <s v="-"/>
    <x v="342"/>
    <n v="0"/>
    <n v="0"/>
    <n v="0"/>
    <n v="0"/>
    <n v="0"/>
    <n v="0"/>
    <s v="Reserva importada do Sistema TMS. OS: 2494"/>
    <s v="Verificação de bilhetes: Bilhete 2952946618 já sendo utilizado para este fornecedor."/>
    <s v="ARGO(TMS)"/>
    <s v="Bilhete duplicado"/>
    <s v="Bilhete Já Contabilizado"/>
    <s v="Duplicidade de Contabilização"/>
    <s v="Qualidade dos dados"/>
    <s v="GRUPO KONTIK"/>
  </r>
  <r>
    <n v="22901544"/>
    <n v="23675734"/>
    <s v="ACC"/>
    <x v="414"/>
    <d v="2025-09-10T12:41:30"/>
    <s v="0 a 02 dias"/>
    <s v="0 a 02 dias"/>
    <s v="5KH5J4"/>
    <s v="MANUAL"/>
    <s v="ZARATE/NAHUEL"/>
    <s v="William da Cruz Canteiro"/>
    <s v="Flavia Constanzi do Nascimento"/>
    <x v="327"/>
    <s v="3NM4"/>
    <s v="-"/>
    <s v="OFF LINE"/>
    <s v="Cartão de crédito"/>
    <s v="Cartão AMEX"/>
    <s v="Aéreo"/>
    <s v="N"/>
    <s v="Grupo Atento"/>
    <s v="Atento Brasil S/a"/>
    <s v="-"/>
    <s v="Latam Airlines Brasil"/>
    <n v="2971323181"/>
    <s v="FCM-OPE-POA-PVI-ATENTO"/>
    <s v="-"/>
    <x v="343"/>
    <n v="650.87"/>
    <n v="0"/>
    <n v="0"/>
    <n v="0"/>
    <n v="0"/>
    <n v="0"/>
    <s v="-"/>
    <s v="Accouting aérea não possui trechos (Bilhete: 2971323181)"/>
    <s v="MANUAL"/>
    <s v="Falta informação nos trechos"/>
    <s v="Atualização de Trechos"/>
    <s v="Dados do Fornecedor"/>
    <s v="Qualidade dos dados"/>
    <s v="GRUPO KONTIK"/>
  </r>
  <r>
    <n v="22874109"/>
    <n v="23652657"/>
    <s v="ACC01"/>
    <x v="415"/>
    <d v="2025-09-05T10:54:17"/>
    <s v="06 a 08 dias"/>
    <s v="06 a 08 dias"/>
    <s v="LA9575496KNXE"/>
    <s v="EBOOKING"/>
    <s v="Rios/Aline"/>
    <s v="Kontrip"/>
    <s v="Kontrip"/>
    <x v="161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49116391"/>
    <s v="KONTRIP"/>
    <s v="-"/>
    <x v="344"/>
    <n v="77.14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2874109"/>
    <n v="23652659"/>
    <s v="ACC02"/>
    <x v="415"/>
    <d v="2025-09-05T10:54:17"/>
    <s v="06 a 08 dias"/>
    <s v="06 a 08 dias"/>
    <s v="LA9575496KNXE"/>
    <s v="EBOOKING"/>
    <s v="Luz Santos/Uendeo"/>
    <s v="Kontrip"/>
    <s v="Kontrip"/>
    <x v="161"/>
    <s v="-"/>
    <s v="-"/>
    <s v="OFF LINE"/>
    <s v="Cartão de crédito"/>
    <s v="Cartão de crédito"/>
    <s v="Aéreo"/>
    <s v="N"/>
    <s v="Grupo Mercurio York"/>
    <s v="Agencia Mercurio York Viagens e Turismo Ltda"/>
    <s v="-"/>
    <s v="Latam Airlines Brasil"/>
    <n v="2249116392"/>
    <s v="KONTRIP"/>
    <s v="-"/>
    <x v="344"/>
    <n v="77.14"/>
    <n v="0"/>
    <n v="0"/>
    <n v="0"/>
    <n v="0"/>
    <n v="0"/>
    <s v="obs"/>
    <s v="Centro de custo não preenchido! (ACC02)"/>
    <s v="KONTRIP"/>
    <s v="Centro de custo"/>
    <s v="Falta de informação Gerencial"/>
    <s v="Dados do Fornecedor"/>
    <s v="Qualidade dos dados"/>
    <s v="KONTRIP VIAGENS"/>
  </r>
  <r>
    <n v="22910883"/>
    <n v="23684059"/>
    <s v="ACC01"/>
    <x v="416"/>
    <d v="2025-09-11T18:52:26"/>
    <s v="0 a 02 dias"/>
    <s v="0 a 02 dias"/>
    <s v="DTNCRS"/>
    <s v="GOVER"/>
    <s v="Leonora Coimbra Nunes Rodrigues"/>
    <s v="Juliana dos Santos Pinto"/>
    <s v="Juliana dos Santos Pinto"/>
    <x v="328"/>
    <n v="4595976"/>
    <s v="-"/>
    <s v="OFF LINE"/>
    <s v="Cartão de crédito"/>
    <s v="Cartão AMEX"/>
    <s v="Aéreo"/>
    <s v="N"/>
    <s v="Grupo Hypera"/>
    <s v="Brainfarma"/>
    <s v="-"/>
    <s v="Latam Airlines Brasil"/>
    <n v="2250063092"/>
    <s v="KON-OPE-SAO-PVI-HYPERA"/>
    <s v="-"/>
    <x v="345"/>
    <n v="450"/>
    <n v="0"/>
    <n v="0"/>
    <n v="0"/>
    <n v="0"/>
    <n v="0"/>
    <s v="Reserva importada do sistema Gover. Id: 4595976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09949"/>
    <n v="23683169"/>
    <s v="ACC01"/>
    <x v="417"/>
    <d v="2025-09-11T16:56:36"/>
    <s v="0 a 02 dias"/>
    <s v="0 a 02 dias"/>
    <s v="GRNKGF"/>
    <s v="GOVER"/>
    <s v="JULIANA ALVES DA NOBREGA"/>
    <s v="Juliana dos Santos Pinto"/>
    <s v="Juliana dos Santos Pinto"/>
    <x v="329"/>
    <n v="4595412"/>
    <s v="-"/>
    <s v="OFF LINE"/>
    <s v="Cartão de crédito"/>
    <s v="Cartão de crédito"/>
    <s v="Aéreo"/>
    <s v="N"/>
    <s v="Grupo Avenida"/>
    <s v="Lojas Avenida S.a."/>
    <s v="-"/>
    <s v="Latam Airlines Brasil"/>
    <n v="2250044797"/>
    <s v="KON-OPE-RIO-PVI-BTC"/>
    <s v="-"/>
    <x v="346"/>
    <n v="450"/>
    <n v="0"/>
    <n v="0"/>
    <n v="0"/>
    <n v="0"/>
    <n v="0"/>
    <s v="Reserva importada do sistema Gover. Id: 4595412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11746"/>
    <n v="23684876"/>
    <s v="ACC01"/>
    <x v="418"/>
    <d v="2025-09-11T20:33:30"/>
    <s v="0 a 02 dias"/>
    <s v="0 a 02 dias"/>
    <s v="YULEJY"/>
    <s v="GOVER"/>
    <s v="Pedro yagelovic bravin arantes"/>
    <s v="Juliana dos Santos Pinto"/>
    <s v="Juliana dos Santos Pinto"/>
    <x v="330"/>
    <n v="4595716"/>
    <s v="-"/>
    <s v="OFF LINE"/>
    <s v="Cartão de crédito"/>
    <s v="Cartão de crédito"/>
    <s v="Aéreo"/>
    <s v="N"/>
    <s v="Grupo Light"/>
    <s v="Light S/a- Holding"/>
    <s v="-"/>
    <s v="Latam Airlines Brasil"/>
    <n v="2952872010"/>
    <s v="KON-OPE-RIO-PVI-BTC-LIGHT"/>
    <s v="-"/>
    <x v="347"/>
    <n v="0"/>
    <n v="0"/>
    <n v="0"/>
    <n v="0"/>
    <n v="0"/>
    <n v="0"/>
    <s v="Reserva importada do sistema Gover. Id: 4595716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912004"/>
    <n v="23685094"/>
    <s v="ACC01"/>
    <x v="419"/>
    <d v="2025-09-11T23:42:46"/>
    <s v="0 a 02 dias"/>
    <s v="0 a 02 dias"/>
    <s v="DICVGG"/>
    <s v="SABRE"/>
    <s v="GRUSKE/TIAGO VINICIUS"/>
    <s v="Flavia Constanzi do Nascimento"/>
    <s v="CT"/>
    <x v="313"/>
    <s v="DICVGG"/>
    <s v="-"/>
    <s v="ON LINE"/>
    <s v="Invoice"/>
    <s v="Faturado"/>
    <s v="Aéreo"/>
    <s v="N"/>
    <s v="Grupo Bosch"/>
    <s v="Dcbr - Rexroth"/>
    <s v="Cliente FEE no POS"/>
    <s v="Latam Airlines Brasil"/>
    <n v="2952966443"/>
    <s v="FCM-OPE-SAO-PVI-BOSCH"/>
    <s v="-"/>
    <x v="348"/>
    <n v="149.19999999999999"/>
    <n v="805.57"/>
    <n v="0"/>
    <n v="149.19999999999999"/>
    <n v="0"/>
    <n v="0"/>
    <s v="Reserva importada por HubTravel"/>
    <s v="Verificação de bilhetes: Bilhete 2952966443 já sendo utilizado para este fornecedor."/>
    <s v="SABRE"/>
    <s v="Bilhete duplicado"/>
    <s v="Bilhete Já Contabilizado"/>
    <s v="Duplicidade de Contabilização"/>
    <s v="Qualidade dos dados"/>
    <s v="GRUPO KONTIK"/>
  </r>
  <r>
    <n v="22911619"/>
    <n v="23684774"/>
    <s v="ACC01"/>
    <x v="420"/>
    <d v="2025-09-11T19:51:42"/>
    <s v="0 a 02 dias"/>
    <s v="0 a 02 dias"/>
    <s v="LA9571454MECM"/>
    <s v="EBOOKING"/>
    <s v="Ribeiro Marques Moura/Adriana"/>
    <s v="Kontrip"/>
    <s v="Kontrip"/>
    <x v="331"/>
    <s v="-"/>
    <s v="-"/>
    <s v="OFF LINE"/>
    <s v="Cartão de crédito"/>
    <s v="Cartão de crédito"/>
    <s v="Aéreo"/>
    <s v="N"/>
    <s v="Grupo Kontrip"/>
    <s v="Grant Thornton Auditores Independentes"/>
    <s v="-"/>
    <s v="Latam Airlines Brasil"/>
    <n v="2250076385"/>
    <s v="KONTRIP"/>
    <s v="-"/>
    <x v="349"/>
    <n v="120.57"/>
    <n v="0"/>
    <n v="82.38"/>
    <n v="0"/>
    <n v="0"/>
    <n v="36.25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08935"/>
    <n v="23682176"/>
    <s v="ACC01"/>
    <x v="421"/>
    <d v="2025-09-11T13:43:10"/>
    <s v="0 a 02 dias"/>
    <s v="0 a 02 dias"/>
    <s v="UBVDEP"/>
    <s v="EBOOKING"/>
    <s v="RODRIGUES MAUES ALVES/DEBORA"/>
    <s v="Kontrip"/>
    <s v="Kontrip"/>
    <x v="332"/>
    <s v="-"/>
    <s v="-"/>
    <s v="OFF LINE"/>
    <s v="Cartão de crédito"/>
    <s v="Cartão de crédito"/>
    <s v="Aéreo"/>
    <s v="N"/>
    <s v="Grupo Kontrip"/>
    <s v="Mobiauto Edicao de Anuncios On Line Ltda"/>
    <s v="-"/>
    <s v="Latam Airlines Brasil"/>
    <n v="2250011889"/>
    <s v="KONTRIP"/>
    <s v="-"/>
    <x v="350"/>
    <n v="450"/>
    <n v="0"/>
    <n v="0"/>
    <n v="0"/>
    <n v="0"/>
    <n v="40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09200"/>
    <n v="23682403"/>
    <s v="ACC01"/>
    <x v="422"/>
    <d v="2025-09-11T14:52:36"/>
    <s v="0 a 02 dias"/>
    <s v="0 a 02 dias"/>
    <s v="LA9574225TCIL"/>
    <s v="EBOOKING"/>
    <s v="Vasconcelos/Maíra"/>
    <s v="Kontrip"/>
    <s v="Kontrip"/>
    <x v="333"/>
    <s v="-"/>
    <s v="-"/>
    <s v="OFF LINE"/>
    <s v="Cartão de crédito"/>
    <s v="Cartão de crédito"/>
    <s v="Aéreo"/>
    <s v="N"/>
    <s v="Grupo Kontrip"/>
    <s v="Mega Logistica Transporte Por Navegacao S/a"/>
    <s v="-"/>
    <s v="Latam Airlines Brasil"/>
    <n v="2250024175"/>
    <s v="KONTRIP"/>
    <s v="-"/>
    <x v="351"/>
    <n v="33.64"/>
    <n v="0"/>
    <n v="189.43"/>
    <n v="0"/>
    <n v="0"/>
    <n v="250.05"/>
    <s v="obs"/>
    <s v="Não foi possível encontrar configuração válida para Administradora de código 1 e Data Emissão 10/09/2025"/>
    <s v="KONTRIP"/>
    <s v="Não identificado"/>
    <s v="Análise Benner"/>
    <s v="Sistema"/>
    <s v="Qualidade dos dados"/>
    <s v="KONTRIP VIAGENS"/>
  </r>
  <r>
    <n v="22909200"/>
    <n v="23682404"/>
    <s v="ACC02"/>
    <x v="422"/>
    <d v="2025-09-11T14:52:36"/>
    <s v="0 a 02 dias"/>
    <s v="0 a 02 dias"/>
    <s v="LA9574225TCIL"/>
    <s v="EBOOKING"/>
    <s v="Carvalho/Eduardo"/>
    <s v="Kontrip"/>
    <s v="Kontrip"/>
    <x v="333"/>
    <s v="-"/>
    <s v="-"/>
    <s v="OFF LINE"/>
    <s v="Cartão de crédito"/>
    <s v="Cartão de crédito"/>
    <s v="Aéreo"/>
    <s v="N"/>
    <s v="Grupo Kontrip"/>
    <s v="Mega Logistica Transporte Por Navegacao S/a"/>
    <s v="-"/>
    <s v="Latam Airlines Brasil"/>
    <n v="2250024176"/>
    <s v="KONTRIP"/>
    <s v="-"/>
    <x v="351"/>
    <n v="33.64"/>
    <n v="0"/>
    <n v="189.43"/>
    <n v="0"/>
    <n v="0"/>
    <n v="0"/>
    <s v="obs"/>
    <s v="Não foi possível encontrar configuração válida para Administradora de código 1 e Data Emissão 10/09/2025"/>
    <s v="KONTRIP"/>
    <s v="Não identificado"/>
    <s v="Análise Benner"/>
    <s v="Sistema"/>
    <s v="Qualidade dos dados"/>
    <s v="KONTRIP VIAGENS"/>
  </r>
  <r>
    <n v="22911982"/>
    <n v="23685068"/>
    <s v="ACC01"/>
    <x v="423"/>
    <d v="2025-09-11T21:54:45"/>
    <s v="0 a 02 dias"/>
    <s v="0 a 02 dias"/>
    <s v="OMUVWA"/>
    <s v="SABRE"/>
    <s v="CARVALHO/MAURO"/>
    <s v="Clayton Alves de Rezende"/>
    <s v="WT"/>
    <x v="313"/>
    <s v="OMUVWA"/>
    <s v="-"/>
    <s v="ON LINE"/>
    <s v="Cartão de crédito"/>
    <s v="Cartão de crédito"/>
    <s v="Aéreo"/>
    <s v="N"/>
    <s v="Grupo Mars"/>
    <s v="Mars Brasil - Mogi Mirim"/>
    <s v="-"/>
    <s v="Latam Airlines Brasil"/>
    <n v="2953004193"/>
    <s v="FCM-OPE-SAO-PVI-MARS"/>
    <s v="-"/>
    <x v="352"/>
    <n v="59.54"/>
    <n v="135.30000000000001"/>
    <n v="0"/>
    <n v="59.54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GRUPO KONTIK"/>
  </r>
  <r>
    <n v="22911996"/>
    <n v="23685084"/>
    <s v="ACC01"/>
    <x v="424"/>
    <d v="2025-09-11T21:50:46"/>
    <s v="0 a 02 dias"/>
    <s v="0 a 02 dias"/>
    <s v="IIJVXQ"/>
    <s v="SABRE"/>
    <s v="BRAS/FLAVIA"/>
    <s v="Itamar de Souza"/>
    <s v="WS"/>
    <x v="334"/>
    <s v="IIJVXQ"/>
    <s v="-"/>
    <s v="ON LINE"/>
    <s v="?"/>
    <s v="TKT"/>
    <s v="Aéreo"/>
    <s v="N"/>
    <s v="Grupo Honeywell"/>
    <s v="Honeywell"/>
    <s v="Cliente FEE no POS"/>
    <s v="Latam Airlines Brasil"/>
    <n v="2953012901"/>
    <s v="FCM-OPE-SAO-PVI-BTC-CONCUR-HONEYWELL"/>
    <s v="-"/>
    <x v="6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2905480"/>
    <n v="23679421"/>
    <s v="ACC01"/>
    <x v="425"/>
    <d v="2025-09-11T13:44:43"/>
    <s v="0 a 02 dias"/>
    <s v="0 a 02 dias"/>
    <s v="ATFLHC"/>
    <s v="SABRE"/>
    <s v="DA SILVA SR/ALEXANDRE DE FARI"/>
    <s v="Itamar de Souza"/>
    <s v="WS"/>
    <x v="335"/>
    <s v="ATFLHC"/>
    <s v="-"/>
    <s v="ON LINE"/>
    <s v="?"/>
    <s v="TKT"/>
    <s v="Aéreo"/>
    <s v="N"/>
    <s v="Grupo Honeywell"/>
    <s v="Honeywell"/>
    <s v="Cliente FEE no POS"/>
    <s v="Latam Airlines Brasil"/>
    <n v="2952994552"/>
    <s v="FCM-OPE-SAO-PVI-BTC-CONCUR-HONEYWELL"/>
    <s v="-"/>
    <x v="6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2910216"/>
    <n v="23683432"/>
    <s v="ACC"/>
    <x v="426"/>
    <d v="2025-09-12T05:05:48"/>
    <s v="0 a 02 dias"/>
    <s v="0 a 02 dias"/>
    <s v="5KU676"/>
    <s v="MANUAL"/>
    <s v="GONCALVES/ANA PAULA"/>
    <s v="Paulo Roberto Mendes da Silva"/>
    <s v="Flavia Constanzi do Nascimento"/>
    <x v="336"/>
    <s v="HO1009251753"/>
    <s v="-"/>
    <s v="OFF LINE"/>
    <s v="Invoice"/>
    <s v="Cartão convênio"/>
    <s v="Aéreo"/>
    <s v="N"/>
    <s v="Grupo Honeywell"/>
    <s v="Honeywell"/>
    <s v="Cliente FEE no POS"/>
    <s v="Latam Airlines Brasil"/>
    <n v="2953010992"/>
    <s v="FCM-OPE-SAO-PVI-BTC-CONCUR-HONEYWELL"/>
    <s v="-"/>
    <x v="353"/>
    <n v="460.13"/>
    <n v="0"/>
    <n v="0"/>
    <n v="0"/>
    <n v="0"/>
    <n v="13"/>
    <s v="-"/>
    <s v="Accouting aérea não possui trechos (Bilhete: 2953010992)"/>
    <s v="MANUAL"/>
    <s v="Falta informação nos trechos"/>
    <s v="Atualização de Trechos"/>
    <s v="Dados do Fornecedor"/>
    <s v="Qualidade dos dados"/>
    <s v="GRUPO KONTIK"/>
  </r>
  <r>
    <n v="22850692"/>
    <n v="23632156"/>
    <s v="ACC01"/>
    <x v="427"/>
    <d v="2025-09-11T13:28:01"/>
    <s v="0 a 02 dias"/>
    <s v="09 a 15 dias"/>
    <s v="S20I76"/>
    <s v="SABRE"/>
    <s v="PRODOCIMO/RENAN MAGIRI"/>
    <s v="Marcia Pereira dos Santos Soares"/>
    <s v="Flavia Constanzi do Nascimento"/>
    <x v="337"/>
    <s v="S20I76"/>
    <s v="-"/>
    <s v="OFF LINE"/>
    <s v="Cartão de crédito"/>
    <s v="Cartão de crédito"/>
    <s v="Aéreo"/>
    <s v="N"/>
    <s v="Grupo Honeywell"/>
    <s v="Honeywell"/>
    <s v="Cliente FEE no POS"/>
    <s v="Latam Airlines Brasil"/>
    <n v="2971612638"/>
    <s v="FCM-OPE-SAO-PVI-BTC-CONCUR-HONEYWELL"/>
    <s v="-"/>
    <x v="354"/>
    <n v="195.2"/>
    <n v="0"/>
    <n v="0"/>
    <n v="0"/>
    <n v="0"/>
    <n v="55"/>
    <s v="Reserva importada por HubTravel"/>
    <s v="9153843/6091849&quot; possui uma transação de cartão efetivada"/>
    <s v="SABRE"/>
    <s v="Conciliação de Cartão"/>
    <s v="Financeiro Conciliado"/>
    <s v="Edição não Permitida"/>
    <s v="Qualidade dos dados"/>
    <s v="GRUPO KONTIK"/>
  </r>
  <r>
    <n v="22896205"/>
    <n v="23671159"/>
    <s v="ACC"/>
    <x v="428"/>
    <d v="2025-09-10T04:54:12"/>
    <s v="0 a 02 dias"/>
    <s v="03 a 05 dias"/>
    <s v="P8FM76"/>
    <s v="MANUAL"/>
    <s v="OLIVEIRA/GABRIELA MOREIRA DE"/>
    <s v="Nathalia dos Santos Batista"/>
    <s v="Itamar de Souza"/>
    <x v="338"/>
    <s v="SBD080925"/>
    <s v="-"/>
    <s v="OFF LINE"/>
    <s v="Invoice"/>
    <s v="Cartão convênio"/>
    <s v="Aéreo"/>
    <s v="N"/>
    <s v="Grupo Stanley Black e Decker"/>
    <s v="Bdb Ferramentas do Brasil Ltda"/>
    <s v="Cliente FEE no POS"/>
    <s v="Latam Airlines Brasil"/>
    <n v="2952994610"/>
    <s v="FCM-OPE-SAO-PVI-BTC-CONCUR"/>
    <s v="-"/>
    <x v="355"/>
    <n v="116.64"/>
    <n v="0"/>
    <n v="0"/>
    <n v="0"/>
    <n v="0"/>
    <n v="42"/>
    <s v="-"/>
    <s v="Accouting aérea não possui trechos (Bilhete: 2952994610)"/>
    <s v="MANUAL"/>
    <s v="Falta informação nos trechos"/>
    <s v="Atualização de Trechos"/>
    <s v="Dados do Fornecedor"/>
    <s v="Qualidade dos dados"/>
    <s v="GRUPO KONTIK"/>
  </r>
  <r>
    <n v="22889110"/>
    <n v="23664603"/>
    <s v="ACC01"/>
    <x v="429"/>
    <d v="2025-09-11T13:28:08"/>
    <s v="0 a 02 dias"/>
    <s v="03 a 05 dias"/>
    <s v="GVBECV"/>
    <s v="SABRE"/>
    <s v="TEIXEIRA/ERIC NERY"/>
    <s v="Clayton Alves de Rezende"/>
    <s v="WS"/>
    <x v="339"/>
    <s v="GVBECV"/>
    <s v="-"/>
    <s v="ON LINE"/>
    <s v="?"/>
    <s v="TKT"/>
    <s v="Aéreo"/>
    <s v="N"/>
    <s v="Grupo Stanley Black e Decker"/>
    <s v="Refal Industria e Comercio de Rebites e Rebitadeiras Ltda"/>
    <s v="Cliente FEE no POS"/>
    <s v="Latam Airlines Brasil"/>
    <n v="2952950883"/>
    <s v="FCM-OPE-SAO-PVI-BTC-CONCUR"/>
    <s v="-"/>
    <x v="6"/>
    <n v="0"/>
    <n v="801.61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2909804"/>
    <n v="23683039"/>
    <s v="ACC01"/>
    <x v="430"/>
    <d v="2025-09-11T16:36:49"/>
    <s v="0 a 02 dias"/>
    <s v="0 a 02 dias"/>
    <s v="LA9573321XRQH"/>
    <s v="EBOOKING"/>
    <s v="SILVA/DANIEL"/>
    <s v="Kontrip"/>
    <s v="Kontrip"/>
    <x v="340"/>
    <s v="-"/>
    <s v="-"/>
    <s v="OFF LINE"/>
    <s v="Cartão de crédito"/>
    <s v="Cartão de crédito"/>
    <s v="Aéreo"/>
    <s v="N"/>
    <s v="Grupo Softbox"/>
    <s v="Luizalabs"/>
    <s v="-"/>
    <s v="Latam Airlines Brasil"/>
    <n v="2250042719"/>
    <s v="KONTRIP"/>
    <s v="-"/>
    <x v="356"/>
    <n v="74.599999999999994"/>
    <n v="0"/>
    <n v="140.54"/>
    <n v="0"/>
    <n v="0"/>
    <n v="92.76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910122"/>
    <n v="23683328"/>
    <s v="ACC01"/>
    <x v="431"/>
    <d v="2025-09-11T17:56:06"/>
    <s v="0 a 02 dias"/>
    <s v="0 a 02 dias"/>
    <s v="WKIYKY"/>
    <s v="GOVER"/>
    <s v="MARCELO GUERRIERI"/>
    <s v="Emilia Alejandra Pacheco Maraboli"/>
    <s v="Emilia Alejandra Pacheco Maraboli"/>
    <x v="341"/>
    <n v="4594986"/>
    <s v="-"/>
    <s v="OFF LINE"/>
    <s v="Cartão de crédito"/>
    <s v="Cartão AMEX"/>
    <s v="Aéreo"/>
    <s v="N"/>
    <s v="Grupo Syntegon"/>
    <s v="Syntegon Tecnologia de Embalagem Limitada"/>
    <s v="-"/>
    <s v="Latam Airlines Brasil"/>
    <n v="2953005171"/>
    <s v="FCM-OPE-SAO-PVI-BTC-SYNTEGON"/>
    <s v="-"/>
    <x v="357"/>
    <n v="858.79"/>
    <n v="0"/>
    <n v="0"/>
    <n v="0"/>
    <n v="0"/>
    <n v="0"/>
    <s v="Reserva importada do sistema Gover. Id: 4594986"/>
    <s v="Verificação de bilhetes: Bilhete 2953005171 já sendo utilizado para este fornecedor."/>
    <s v="GOVER"/>
    <s v="Bilhete duplicado"/>
    <s v="Bilhete Já Contabilizado"/>
    <s v="Duplicidade de Contabilização"/>
    <s v="Qualidade dos dados"/>
    <s v="GRUPO KONTIK"/>
  </r>
  <r>
    <n v="22910188"/>
    <n v="23683389"/>
    <s v="ACC01"/>
    <x v="432"/>
    <d v="2025-09-11T17:59:37"/>
    <s v="0 a 02 dias"/>
    <s v="0 a 02 dias"/>
    <s v="HSYOYL"/>
    <s v="GOVER"/>
    <s v="EVAIR SOARES DOS SANTOS"/>
    <s v="Emilia Alejandra Pacheco Maraboli"/>
    <s v="Emilia Alejandra Pacheco Maraboli"/>
    <x v="342"/>
    <n v="4595664"/>
    <s v="-"/>
    <s v="OFF LINE"/>
    <s v="Cartão de crédito"/>
    <s v="Cartão AMEX"/>
    <s v="Aéreo"/>
    <s v="N"/>
    <s v="Grupo Syntegon"/>
    <s v="Syntegon Tecnologia de Embalagem Limitada"/>
    <s v="-"/>
    <s v="Latam Airlines Brasil"/>
    <n v="2953004182"/>
    <s v="FCM-OPE-SAO-PVI-BTC-SYNTEGON"/>
    <s v="-"/>
    <x v="358"/>
    <n v="805"/>
    <n v="0"/>
    <n v="0"/>
    <n v="0"/>
    <n v="0"/>
    <n v="0"/>
    <s v="Reserva importada do sistema Gover. Id: 4595664"/>
    <s v="Verificação de bilhetes: Bilhete 2953004182 já sendo utilizado para este fornecedor."/>
    <s v="GOVER"/>
    <s v="Bilhete duplicado"/>
    <s v="Bilhete Já Contabilizado"/>
    <s v="Duplicidade de Contabilização"/>
    <s v="Qualidade dos dados"/>
    <s v="GRUPO KONTIK"/>
  </r>
  <r>
    <n v="22905137"/>
    <n v="23685089"/>
    <s v="ACC02"/>
    <x v="433"/>
    <d v="2025-09-11T21:42:10"/>
    <s v="0 a 02 dias"/>
    <s v="0 a 02 dias"/>
    <s v="OEJNXT"/>
    <s v="SABRE"/>
    <s v="MARTINS/GUILHERME"/>
    <s v="Beatrys Ferreira Rocha"/>
    <s v="Luciene Carvalho Santos"/>
    <x v="343"/>
    <s v="DI0909251515"/>
    <s v="-"/>
    <s v="OFF LINE"/>
    <s v="Invoice"/>
    <s v="TKT"/>
    <s v="Aéreo"/>
    <s v="N"/>
    <s v="Grupo Diageo"/>
    <s v="Diageo Brasil"/>
    <s v="Cliente FEE no POS"/>
    <s v="Latam Airlines Brasil"/>
    <n v="2953010962"/>
    <s v="FCM-OPE-SAO-PVI-DIAGEO"/>
    <s v="-"/>
    <x v="359"/>
    <n v="0"/>
    <n v="3696.15"/>
    <n v="0"/>
    <n v="59.54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2904717"/>
    <n v="23678744"/>
    <s v="ACC01"/>
    <x v="434"/>
    <d v="2025-09-11T13:25:56"/>
    <s v="0 a 02 dias"/>
    <s v="0 a 02 dias"/>
    <s v="FJRBIB1"/>
    <s v="TMS"/>
    <s v="DANIEL CIFU"/>
    <s v="Viviane Novaes Araujo"/>
    <s v="Viviane Novaes Araujo"/>
    <x v="344"/>
    <n v="232427"/>
    <s v="-"/>
    <s v="OFF LINE"/>
    <s v="Cartão de crédito"/>
    <s v="Cartão de crédito"/>
    <s v="Aéreo"/>
    <s v="N"/>
    <s v="Grupo Kpmg"/>
    <s v="Kpmg Structured"/>
    <s v="-"/>
    <s v="Latam Airlines Brasil"/>
    <n v="2952865232"/>
    <s v="KON-OPE-SAO-PVI-KPMG"/>
    <s v="-"/>
    <x v="6"/>
    <n v="420.84"/>
    <n v="0"/>
    <n v="0"/>
    <n v="0"/>
    <n v="0"/>
    <n v="0"/>
    <s v="Reserva importada do Sistema TMS. OS: 232427"/>
    <s v="Verificação de bilhetes: Bilhete 2952865232 já sendo utilizado para este fornecedor."/>
    <s v="ARGO(TMS)"/>
    <s v="Bilhete duplicado"/>
    <s v="Bilhete Já Contabilizado"/>
    <s v="Duplicidade de Contabilização"/>
    <s v="Qualidade dos dados"/>
    <s v="GRUPO KONTIK"/>
  </r>
  <r>
    <n v="22913620"/>
    <n v="23686209"/>
    <s v="ACC01"/>
    <x v="435"/>
    <d v="2025-09-12T06:54:30"/>
    <s v="0 a 02 dias"/>
    <s v="0 a 02 dias"/>
    <s v="HMTUQO"/>
    <s v="SABRE"/>
    <s v="SUELI DE SOUZA/RICHELI"/>
    <s v="Itamar de Souza"/>
    <s v="Marcelo Pereira de Melo"/>
    <x v="345"/>
    <s v="BA10092025"/>
    <s v="-"/>
    <s v="OFF LINE"/>
    <s v="?"/>
    <s v="TKT"/>
    <s v="Aéreo"/>
    <s v="N"/>
    <s v="Grupo Basf"/>
    <s v="Suvinil"/>
    <s v="-"/>
    <s v="Latam Airlines Brasil"/>
    <n v="2953012883"/>
    <s v="FCM-OPE-SAO-PVI-BASF"/>
    <s v="-"/>
    <x v="6"/>
    <n v="43.11"/>
    <n v="450"/>
    <n v="0"/>
    <n v="43.11"/>
    <n v="0"/>
    <n v="0"/>
    <s v="Reserva importada por HubTravel"/>
    <s v="Verificação de bilhetes: Bilhete 2953012883 já sendo utilizado para este fornecedor."/>
    <s v="SABRE"/>
    <s v="Bilhete duplicado"/>
    <s v="Bilhete Já Contabilizado"/>
    <s v="Duplicidade de Contabilização"/>
    <s v="Qualidade dos dados"/>
    <s v="GRUPO KONTIK"/>
  </r>
  <r>
    <n v="22912008"/>
    <n v="23685097"/>
    <s v="ACC01"/>
    <x v="436"/>
    <d v="2025-09-11T21:51:30"/>
    <s v="0 a 02 dias"/>
    <s v="0 a 02 dias"/>
    <s v="GLIFHV"/>
    <s v="SABRE"/>
    <s v="BARBOSA/FERNANDO"/>
    <s v="Itamar de Souza"/>
    <s v="Marcelo de Freitas"/>
    <x v="346"/>
    <s v="BA0309251455"/>
    <s v="-"/>
    <s v="OFF LINE"/>
    <s v="?"/>
    <s v="TKT"/>
    <s v="Aéreo"/>
    <s v="N"/>
    <s v="Grupo Basf"/>
    <s v="Basf Sa"/>
    <s v="-"/>
    <s v="Latam Airlines Brasil"/>
    <n v="2953012929"/>
    <s v="FCM-OPE-SAO-PVI-BASF"/>
    <s v="-"/>
    <x v="6"/>
    <n v="0"/>
    <n v="450"/>
    <n v="0"/>
    <n v="49.22"/>
    <n v="0"/>
    <n v="0"/>
    <s v="Reserva importada por HubTravel"/>
    <s v="Falta informar o status no trecho da accounting aérea (Bilhete: 2953012929)"/>
    <s v="SABRE"/>
    <s v="Falta informação nos trechos"/>
    <s v="Atualização de Trechos"/>
    <s v="Dados do Fornecedor"/>
    <s v="Qualidade dos dados"/>
    <s v="GRUPO KONTIK"/>
  </r>
  <r>
    <n v="22912008"/>
    <n v="23685098"/>
    <s v="ACC02"/>
    <x v="436"/>
    <d v="2025-09-11T21:51:30"/>
    <s v="0 a 02 dias"/>
    <s v="0 a 02 dias"/>
    <s v="GLIFHV"/>
    <s v="SABRE"/>
    <s v="BARBOSA/FERNANDO"/>
    <s v="Itamar de Souza"/>
    <s v="Marcelo de Freitas"/>
    <x v="346"/>
    <s v="BA0309251455"/>
    <s v="-"/>
    <s v="OFF LINE"/>
    <s v="?"/>
    <s v="TKT"/>
    <s v="Aéreo"/>
    <s v="N"/>
    <s v="Grupo Basf"/>
    <s v="Basf Sa"/>
    <s v="-"/>
    <s v="Latam Airlines Brasil"/>
    <n v="2953012929"/>
    <s v="FCM-OPE-SAO-PVI-BASF"/>
    <s v="-"/>
    <x v="6"/>
    <n v="0"/>
    <n v="0"/>
    <n v="0"/>
    <n v="0"/>
    <n v="0"/>
    <n v="0"/>
    <s v="Reserva importada por HubTravel"/>
    <s v="Falta informar o status no trecho da accounting aérea (Bilhete: 2953012929)"/>
    <s v="SABRE"/>
    <s v="Falta informação nos trechos"/>
    <s v="Atualização de Trechos"/>
    <s v="Dados do Fornecedor"/>
    <s v="Qualidade dos dados"/>
    <s v="GRUPO KONTIK"/>
  </r>
  <r>
    <n v="22912008"/>
    <n v="23685099"/>
    <s v="ACC03"/>
    <x v="436"/>
    <d v="2025-09-11T21:51:30"/>
    <s v="0 a 02 dias"/>
    <s v="0 a 02 dias"/>
    <s v="GLIFHV"/>
    <s v="SABRE"/>
    <s v="BARBOSA/FERNANDO"/>
    <s v="Itamar de Souza"/>
    <s v="Marcelo de Freitas"/>
    <x v="346"/>
    <s v="BA0309251455"/>
    <s v="-"/>
    <s v="OFF LINE"/>
    <s v="?"/>
    <s v="TKT"/>
    <s v="Aéreo"/>
    <s v="N"/>
    <s v="Grupo Basf"/>
    <s v="Basf Sa"/>
    <s v="-"/>
    <s v="Latam Airlines Brasil"/>
    <n v="2953012929"/>
    <s v="FCM-OPE-SAO-PVI-BASF"/>
    <s v="-"/>
    <x v="6"/>
    <n v="0"/>
    <n v="0"/>
    <n v="0"/>
    <n v="0"/>
    <n v="0"/>
    <n v="0"/>
    <s v="Reserva importada por HubTravel"/>
    <s v="Falta informar o status no trecho da accounting aérea (Bilhete: 2953012929)"/>
    <s v="SABRE"/>
    <s v="Falta informação nos trechos"/>
    <s v="Atualização de Trechos"/>
    <s v="Dados do Fornecedor"/>
    <s v="Qualidade dos dados"/>
    <s v="GRUPO KONTIK"/>
  </r>
  <r>
    <n v="22911992"/>
    <n v="23685079"/>
    <s v="ACC01"/>
    <x v="437"/>
    <d v="2025-09-12T06:58:30"/>
    <s v="0 a 02 dias"/>
    <s v="0 a 02 dias"/>
    <s v="IRUWPV"/>
    <s v="SABRE"/>
    <s v="MOGNOL/GRACIELA"/>
    <s v="Itamar de Souza"/>
    <s v="Marcelo de Freitas"/>
    <x v="347"/>
    <s v="BA1109251514"/>
    <s v="-"/>
    <s v="OFF LINE"/>
    <s v="?"/>
    <s v="TKT"/>
    <s v="Aéreo"/>
    <s v="N"/>
    <s v="Grupo Basf"/>
    <s v="Basf Sa"/>
    <s v="-"/>
    <s v="Latam Airlines Brasil"/>
    <n v="2953012909"/>
    <s v="FCM-OPE-SAO-PVI-BASF"/>
    <s v="-"/>
    <x v="6"/>
    <n v="0"/>
    <n v="447.75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05394"/>
    <n v="23679336"/>
    <s v="ACC01"/>
    <x v="438"/>
    <d v="2025-09-11T13:39:45"/>
    <s v="0 a 02 dias"/>
    <s v="0 a 02 dias"/>
    <s v="GFPLUQ"/>
    <s v="SABRE"/>
    <s v="COSTA/MARCOS ROGERIO"/>
    <s v="Itamar de Souza"/>
    <s v="Eliane da Silva Souza Paula"/>
    <x v="348"/>
    <s v="GFPLUQ"/>
    <s v="-"/>
    <s v="ON LINE"/>
    <s v="?"/>
    <s v="TKT"/>
    <s v="Aéreo"/>
    <s v="N"/>
    <s v="Grupo Sibelco"/>
    <s v="Sibelco - Pedra do Indaia - Matriz"/>
    <s v="-"/>
    <s v="Latam Airlines Brasil"/>
    <n v="2952994607"/>
    <s v="FCM-OPE-SAO-PVI-BTC-CONCUR-SIBELCO"/>
    <s v="-"/>
    <x v="6"/>
    <n v="0"/>
    <n v="450"/>
    <n v="0"/>
    <n v="35.1"/>
    <n v="0"/>
    <n v="0"/>
    <s v="Reserva importada por HubTravel"/>
    <s v="Centro de custo não preenchido! (ACC01) Matrícula não preenchida! (ACC01) Departamento não preenchido! (ACC01) Projeto não preenchido! (ACC01)"/>
    <s v="SABRE"/>
    <s v="Mais de um campo não preenchido"/>
    <s v="Falta de informação Gerencial"/>
    <s v="Dados do Fornecedor"/>
    <s v="Qualidade dos dados"/>
    <s v="GRUPO KONTIK"/>
  </r>
  <r>
    <n v="22912014"/>
    <n v="23685102"/>
    <s v="ACC01"/>
    <x v="439"/>
    <d v="2025-09-11T21:51:41"/>
    <s v="0 a 02 dias"/>
    <s v="0 a 02 dias"/>
    <s v="ARVXPT"/>
    <s v="SABRE"/>
    <s v="DE OLIVEIRA FERNANDES/ANA REN"/>
    <s v="Itamar de Souza"/>
    <s v="Marcia Pereira dos Santos Soares"/>
    <x v="349"/>
    <s v="CH1109251840"/>
    <s v="-"/>
    <s v="OFF LINE"/>
    <s v="?"/>
    <s v="TKT"/>
    <s v="Aéreo"/>
    <s v="N"/>
    <s v="Grupo Chanel"/>
    <s v="Chanel"/>
    <s v="-"/>
    <s v="Latam Airlines Brasil"/>
    <n v="2953012930"/>
    <s v="FCM-OPE-SAO-PVI-BTC-CONCUR-CHANEL"/>
    <s v="-"/>
    <x v="6"/>
    <n v="6.23"/>
    <n v="447.75"/>
    <n v="0"/>
    <n v="6.2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09280"/>
    <n v="23682482"/>
    <s v="ACC01"/>
    <x v="440"/>
    <d v="2025-09-11T15:32:53"/>
    <s v="0 a 02 dias"/>
    <s v="0 a 02 dias"/>
    <s v="JRFJUY"/>
    <s v="SABRE"/>
    <s v="MENDES/EMILIANO"/>
    <s v="Flavia Constanzi do Nascimento"/>
    <s v="Marcelo de Freitas"/>
    <x v="350"/>
    <s v="BA2908251310"/>
    <s v="-"/>
    <s v="OFF LINE"/>
    <s v="Cartão de crédito"/>
    <s v="Cartão AMEX"/>
    <s v="Aéreo"/>
    <s v="N"/>
    <s v="Grupo Basf"/>
    <s v="Basf Sa"/>
    <s v="-"/>
    <s v="Latam Airlines Brasil"/>
    <n v="2952915048"/>
    <s v="FCM-OPE-SAO-PVI-BASF"/>
    <s v="-"/>
    <x v="360"/>
    <n v="59.54"/>
    <n v="135.28"/>
    <n v="0"/>
    <n v="59.54"/>
    <n v="0"/>
    <n v="0"/>
    <s v="Reserva importada por HubTravel"/>
    <s v="Verificação de bilhetes: Bilhete 2952915048 já sendo utilizado para este fornecedor."/>
    <s v="SABRE"/>
    <s v="Bilhete duplicado"/>
    <s v="Bilhete Já Contabilizado"/>
    <s v="Duplicidade de Contabilização"/>
    <s v="Qualidade dos dados"/>
    <s v="GRUPO KONTIK"/>
  </r>
  <r>
    <n v="22911995"/>
    <n v="23685082"/>
    <s v="ACC01"/>
    <x v="441"/>
    <d v="2025-09-11T21:50:46"/>
    <s v="0 a 02 dias"/>
    <s v="0 a 02 dias"/>
    <s v="HDXEFY"/>
    <s v="SABRE"/>
    <s v="DE OLIVEIRA/ANDRE"/>
    <s v="Itamar de Souza"/>
    <s v="Fabiola Lima de Oliveira"/>
    <x v="351"/>
    <s v="BA0409251602"/>
    <s v="-"/>
    <s v="OFF LINE"/>
    <s v="?"/>
    <s v="TKT"/>
    <s v="Aéreo"/>
    <s v="N"/>
    <s v="Grupo Basf"/>
    <s v="Basf Sa"/>
    <s v="-"/>
    <s v="Latam Airlines Brasil"/>
    <n v="2953012905"/>
    <s v="FCM-OPE-SAO-PVI-BASF"/>
    <s v="-"/>
    <x v="6"/>
    <n v="0"/>
    <n v="450"/>
    <n v="0"/>
    <n v="0"/>
    <n v="0"/>
    <n v="0"/>
    <s v="Reserva importada por HubTravel"/>
    <s v="Falta informar o status no trecho da accounting aérea (Bilhete: 2953012905)"/>
    <s v="SABRE"/>
    <s v="Falta informação nos trechos"/>
    <s v="Atualização de Trechos"/>
    <s v="Dados do Fornecedor"/>
    <s v="Qualidade dos dados"/>
    <s v="GRUPO KONTIK"/>
  </r>
  <r>
    <n v="22911995"/>
    <n v="23685083"/>
    <s v="ACC02"/>
    <x v="441"/>
    <d v="2025-09-11T21:50:46"/>
    <s v="0 a 02 dias"/>
    <s v="0 a 02 dias"/>
    <s v="HDXEFY"/>
    <s v="SABRE"/>
    <s v="DE OLIVEIRA/ANDRE"/>
    <s v="Itamar de Souza"/>
    <s v="Fabiola Lima de Oliveira"/>
    <x v="351"/>
    <s v="BA0409251602"/>
    <s v="-"/>
    <s v="OFF LINE"/>
    <s v="?"/>
    <s v="TKT"/>
    <s v="Aéreo"/>
    <s v="N"/>
    <s v="Grupo Basf"/>
    <s v="Basf Sa"/>
    <s v="-"/>
    <s v="Latam Airlines Brasil"/>
    <n v="2953012905"/>
    <s v="FCM-OPE-SAO-PVI-BASF"/>
    <s v="-"/>
    <x v="6"/>
    <n v="0"/>
    <n v="0"/>
    <n v="0"/>
    <n v="0"/>
    <n v="0"/>
    <n v="0"/>
    <s v="Reserva importada por HubTravel"/>
    <s v="Falta informar o status no trecho da accounting aérea (Bilhete: 2953012905)"/>
    <s v="SABRE"/>
    <s v="Falta informação nos trechos"/>
    <s v="Atualização de Trechos"/>
    <s v="Dados do Fornecedor"/>
    <s v="Qualidade dos dados"/>
    <s v="GRUPO KONTIK"/>
  </r>
  <r>
    <n v="22820696"/>
    <n v="23606778"/>
    <s v="ACC01"/>
    <x v="442"/>
    <d v="2025-09-11T13:27:30"/>
    <s v="0 a 02 dias"/>
    <s v="16 a 23 dias"/>
    <s v="UGQDKO"/>
    <s v="SABRE"/>
    <s v="BELANI/RAFAEL BRUGNERA"/>
    <s v="Beatrys Ferreira Rocha"/>
    <s v="CT"/>
    <x v="352"/>
    <s v="UGQDKO"/>
    <s v="-"/>
    <s v="ON LINE"/>
    <s v="Cartão de crédito"/>
    <s v="Cartão AMEX"/>
    <s v="Aéreo"/>
    <s v="N"/>
    <s v="Grupo Basf"/>
    <s v="Basf Sa"/>
    <s v="-"/>
    <s v="Latam Airlines Brasil"/>
    <n v="2872625750"/>
    <s v="FCM-OPE-SAO-PVI-BASF"/>
    <s v="-"/>
    <x v="361"/>
    <n v="55.65"/>
    <n v="510.73"/>
    <n v="0"/>
    <n v="55.65"/>
    <n v="0"/>
    <n v="0"/>
    <s v="Reserva importada por HubTravel"/>
    <s v="Falta informar o status no trecho da accounting aérea (Bilhete: 2872625750)"/>
    <s v="SABRE"/>
    <s v="Falta informação nos trechos"/>
    <s v="Atualização de Trechos"/>
    <s v="Dados do Fornecedor"/>
    <s v="Qualidade dos dados"/>
    <s v="GRUPO KONTIK"/>
  </r>
  <r>
    <n v="22911997"/>
    <n v="23685085"/>
    <s v="ACC01"/>
    <x v="443"/>
    <d v="2025-09-12T06:53:31"/>
    <s v="0 a 02 dias"/>
    <s v="0 a 02 dias"/>
    <s v="OVLMUX"/>
    <s v="SABRE"/>
    <s v="LOPES/LUIZ HENRIQUE DE CARVAL"/>
    <s v="Itamar de Souza"/>
    <s v="Felipe Anderson da Silva"/>
    <x v="313"/>
    <s v="BA1109251314"/>
    <s v="-"/>
    <s v="OFF LINE"/>
    <s v="?"/>
    <s v="TKT"/>
    <s v="Aéreo"/>
    <s v="N"/>
    <s v="Grupo Basf"/>
    <s v="Basf Sa"/>
    <s v="-"/>
    <s v="Latam Airlines Brasil"/>
    <n v="2953012900"/>
    <s v="FCM-OPE-SAO-PVI-BASF"/>
    <s v="-"/>
    <x v="6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09360"/>
    <n v="23682567"/>
    <s v="ACC01"/>
    <x v="444"/>
    <d v="2025-09-11T21:38:26"/>
    <s v="0 a 02 dias"/>
    <s v="0 a 02 dias"/>
    <s v="CXPBEM"/>
    <s v="SABRE"/>
    <s v="LOIODE OLIVEIRA/HUGO"/>
    <s v="Itamar de Souza"/>
    <s v="Felipe Anderson da Silva"/>
    <x v="353"/>
    <s v="BA2808251511"/>
    <s v="-"/>
    <s v="OFF LINE"/>
    <s v="?"/>
    <s v="TKT"/>
    <s v="Aéreo"/>
    <s v="N"/>
    <s v="Grupo Basf"/>
    <s v="Basf Sa"/>
    <s v="-"/>
    <s v="Latam Airlines Brasil"/>
    <n v="2953005192"/>
    <s v="FCM-OPE-SAO-PVI-BASF"/>
    <s v="-"/>
    <x v="6"/>
    <n v="0"/>
    <n v="450"/>
    <n v="0"/>
    <n v="60.62"/>
    <n v="0"/>
    <n v="0"/>
    <s v="Reserva importada por HubTravel"/>
    <s v="Falta informar o status no trecho da accounting aérea (Bilhete: 2953005192)"/>
    <s v="SABRE"/>
    <s v="Falta informação nos trechos"/>
    <s v="Atualização de Trechos"/>
    <s v="Dados do Fornecedor"/>
    <s v="Qualidade dos dados"/>
    <s v="GRUPO KONTIK"/>
  </r>
  <r>
    <n v="22909360"/>
    <n v="23682568"/>
    <s v="ACC02"/>
    <x v="444"/>
    <d v="2025-09-11T21:38:26"/>
    <s v="0 a 02 dias"/>
    <s v="0 a 02 dias"/>
    <s v="CXPBEM"/>
    <s v="SABRE"/>
    <s v="LOIODE OLIVEIRA/HUGO"/>
    <s v="Itamar de Souza"/>
    <s v="Felipe Anderson da Silva"/>
    <x v="353"/>
    <s v="BA2808251511"/>
    <s v="-"/>
    <s v="OFF LINE"/>
    <s v="?"/>
    <s v="TKT"/>
    <s v="Aéreo"/>
    <s v="N"/>
    <s v="Grupo Basf"/>
    <s v="Basf Sa"/>
    <s v="-"/>
    <s v="Latam Airlines Brasil"/>
    <n v="2953005192"/>
    <s v="FCM-OPE-SAO-PVI-BASF"/>
    <s v="-"/>
    <x v="6"/>
    <n v="0"/>
    <n v="450"/>
    <n v="0"/>
    <n v="0"/>
    <n v="0"/>
    <n v="0"/>
    <s v="Reserva importada por HubTravel"/>
    <s v="Falta informar o status no trecho da accounting aérea (Bilhete: 2953005192)"/>
    <s v="SABRE"/>
    <s v="Falta informação nos trechos"/>
    <s v="Atualização de Trechos"/>
    <s v="Dados do Fornecedor"/>
    <s v="Qualidade dos dados"/>
    <s v="GRUPO KONTIK"/>
  </r>
  <r>
    <n v="22909360"/>
    <n v="23682569"/>
    <s v="ACC03"/>
    <x v="444"/>
    <d v="2025-09-11T21:38:26"/>
    <s v="0 a 02 dias"/>
    <s v="0 a 02 dias"/>
    <s v="CXPBEM"/>
    <s v="SABRE"/>
    <s v="LOIODE OLIVEIRA/HUGO"/>
    <s v="Itamar de Souza"/>
    <s v="Felipe Anderson da Silva"/>
    <x v="353"/>
    <s v="BA2808251511"/>
    <s v="-"/>
    <s v="OFF LINE"/>
    <s v="?"/>
    <s v="TKT"/>
    <s v="Aéreo"/>
    <s v="N"/>
    <s v="Grupo Basf"/>
    <s v="Basf Sa"/>
    <s v="-"/>
    <s v="Latam Airlines Brasil"/>
    <n v="2953005192"/>
    <s v="FCM-OPE-SAO-PVI-BASF"/>
    <s v="-"/>
    <x v="6"/>
    <n v="0"/>
    <n v="450"/>
    <n v="0"/>
    <n v="0"/>
    <n v="0"/>
    <n v="0"/>
    <s v="Reserva importada por HubTravel"/>
    <s v="Falta informar o status no trecho da accounting aérea (Bilhete: 2953005192)"/>
    <s v="SABRE"/>
    <s v="Falta informação nos trechos"/>
    <s v="Atualização de Trechos"/>
    <s v="Dados do Fornecedor"/>
    <s v="Qualidade dos dados"/>
    <s v="GRUPO KONTIK"/>
  </r>
  <r>
    <n v="22823400"/>
    <n v="23611696"/>
    <s v="ACC02"/>
    <x v="445"/>
    <d v="2025-09-11T15:09:17"/>
    <s v="0 a 02 dias"/>
    <s v="16 a 23 dias"/>
    <s v="MKVOGX"/>
    <s v="SABRE"/>
    <s v="ULBRICH/ADOLFO"/>
    <s v="Itamar de Souza"/>
    <s v="CT"/>
    <x v="354"/>
    <s v="MKVOGX"/>
    <s v="-"/>
    <s v="ON LINE"/>
    <s v="Invoice"/>
    <s v="Faturado"/>
    <s v="Aéreo"/>
    <s v="N"/>
    <s v="Grupo Basf"/>
    <s v="Basf Sa"/>
    <s v="-"/>
    <s v="Latam Airlines Brasil"/>
    <n v="2952914997"/>
    <s v="FCM-OPE-SAO-PVI-BASF"/>
    <s v="-"/>
    <x v="362"/>
    <n v="85.72"/>
    <n v="0"/>
    <n v="0"/>
    <n v="85.72"/>
    <n v="0"/>
    <n v="0"/>
    <s v="Reserva importada por HubTravel"/>
    <s v="Verificação de bilhetes: Bilhete 2952914997 já sendo utilizado para este fornecedor."/>
    <s v="SABRE"/>
    <s v="Bilhete duplicado"/>
    <s v="Bilhete Já Contabilizado"/>
    <s v="Duplicidade de Contabilização"/>
    <s v="Qualidade dos dados"/>
    <s v="GRUPO KONTIK"/>
  </r>
  <r>
    <n v="22913631"/>
    <n v="23686220"/>
    <s v="ACC01"/>
    <x v="446"/>
    <d v="2025-09-12T06:48:45"/>
    <s v="0 a 02 dias"/>
    <s v="0 a 02 dias"/>
    <s v="WVQTTR"/>
    <s v="SABRE"/>
    <s v="PEREIRA DA SILVA/FERNANDO WEL"/>
    <s v="Itamar de Souza"/>
    <s v="CT"/>
    <x v="48"/>
    <s v="183985402-61629"/>
    <s v="-"/>
    <s v="ON LINE"/>
    <s v="?"/>
    <s v="TKT"/>
    <s v="Aéreo"/>
    <s v="N"/>
    <s v="Grupo Basf"/>
    <s v="Basf Sa"/>
    <s v="-"/>
    <s v="Latam Airlines Brasil"/>
    <n v="2953012888"/>
    <s v="FCM-OPE-SAO-PVI-BASF"/>
    <s v="-"/>
    <x v="6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2913659"/>
    <n v="23686249"/>
    <s v="ACC01"/>
    <x v="447"/>
    <d v="2025-09-12T06:53:35"/>
    <s v="0 a 02 dias"/>
    <s v="0 a 02 dias"/>
    <s v="USYKJO"/>
    <s v="SABRE"/>
    <s v="BRUSSOLO BIDOIA/DEBORA"/>
    <s v="Itamar de Souza"/>
    <s v="CT"/>
    <x v="355"/>
    <s v="USYKJO"/>
    <s v="-"/>
    <s v="ON LINE"/>
    <s v="Cartão de crédito"/>
    <s v="Cartão AMEX"/>
    <s v="Aéreo"/>
    <s v="N"/>
    <s v="Grupo Basf"/>
    <s v="Basf Sa"/>
    <s v="-"/>
    <s v="Latam Airlines Brasil"/>
    <n v="2952865555"/>
    <s v="FCM-OPE-SAO-PVI-BASF"/>
    <s v="-"/>
    <x v="363"/>
    <n v="60.62"/>
    <n v="0"/>
    <n v="0"/>
    <n v="60.62"/>
    <n v="0"/>
    <n v="0"/>
    <s v="Reserva importada por HubTravel"/>
    <s v="Verificação de bilhetes: Bilhete 2952865555 já sendo utilizado para este fornecedor."/>
    <s v="SABRE"/>
    <s v="Bilhete duplicado"/>
    <s v="Bilhete Já Contabilizado"/>
    <s v="Duplicidade de Contabilização"/>
    <s v="Qualidade dos dados"/>
    <s v="GRUPO KONTIK"/>
  </r>
  <r>
    <n v="22913659"/>
    <n v="23686250"/>
    <s v="ACC02"/>
    <x v="447"/>
    <d v="2025-09-12T06:53:35"/>
    <s v="0 a 02 dias"/>
    <s v="0 a 02 dias"/>
    <s v="USYKJO"/>
    <s v="SABRE"/>
    <s v="BRUSSOLO BIDOIA/DEBORA"/>
    <s v="Itamar de Souza"/>
    <s v="CT"/>
    <x v="355"/>
    <s v="USYKJO"/>
    <s v="-"/>
    <s v="ON LINE"/>
    <s v="Cartão de crédito"/>
    <s v="Cartão AMEX"/>
    <s v="Aéreo"/>
    <s v="N"/>
    <s v="Grupo Basf"/>
    <s v="Basf Sa"/>
    <s v="-"/>
    <s v="Latam Airlines Brasil"/>
    <n v="2952865556"/>
    <s v="FCM-OPE-SAO-PVI-BASF"/>
    <s v="-"/>
    <x v="364"/>
    <n v="48.3"/>
    <n v="0"/>
    <n v="0"/>
    <n v="48.3"/>
    <n v="0"/>
    <n v="0"/>
    <s v="Reserva importada por HubTravel"/>
    <s v="Verificação de bilhetes: Bilhete 2952865555 já sendo utilizado para este fornecedor."/>
    <s v="SABRE"/>
    <s v="Bilhete duplicado"/>
    <s v="Bilhete Já Contabilizado"/>
    <s v="Duplicidade de Contabilização"/>
    <s v="Qualidade dos dados"/>
    <s v="GRUPO KONTIK"/>
  </r>
  <r>
    <n v="22911963"/>
    <n v="23685043"/>
    <s v="ACC01"/>
    <x v="448"/>
    <d v="2025-09-11T21:40:47"/>
    <s v="0 a 02 dias"/>
    <s v="0 a 02 dias"/>
    <s v="JCPYAT"/>
    <s v="SABRE"/>
    <s v="DE CARVALHO JUNIOR/ELIAS MIGU"/>
    <s v="Itamar de Souza"/>
    <s v="CT"/>
    <x v="356"/>
    <s v="JCPYAT"/>
    <s v="-"/>
    <s v="ON LINE"/>
    <s v="Invoice"/>
    <s v="Faturado"/>
    <s v="Aéreo"/>
    <s v="N"/>
    <s v="Grupo Basf"/>
    <s v="Basf Sa"/>
    <s v="-"/>
    <s v="Latam Airlines Brasil"/>
    <n v="2953005187"/>
    <s v="FCM-OPE-SAO-PVI-BASF"/>
    <s v="-"/>
    <x v="365"/>
    <n v="94.78"/>
    <n v="0"/>
    <n v="0"/>
    <n v="94.78"/>
    <n v="0"/>
    <n v="0"/>
    <s v="Reserva importada por HubTravel"/>
    <s v="Falta informar o status no trecho da accounting aérea (Bilhete: 2953005187)"/>
    <s v="SABRE"/>
    <s v="Falta informação nos trechos"/>
    <s v="Atualização de Trechos"/>
    <s v="Dados do Fornecedor"/>
    <s v="Qualidade dos dados"/>
    <s v="GRUPO KONTIK"/>
  </r>
  <r>
    <n v="22911963"/>
    <n v="23685044"/>
    <s v="ACC02"/>
    <x v="448"/>
    <d v="2025-09-11T21:40:47"/>
    <s v="0 a 02 dias"/>
    <s v="0 a 02 dias"/>
    <s v="JCPYAT"/>
    <s v="SABRE"/>
    <s v="DE CARVALHO JUNIOR/ELIAS MIGU"/>
    <s v="Itamar de Souza"/>
    <s v="CT"/>
    <x v="356"/>
    <s v="JCPYAT"/>
    <s v="-"/>
    <s v="ON LINE"/>
    <s v="?"/>
    <s v="TKT"/>
    <s v="Aéreo"/>
    <s v="N"/>
    <s v="Grupo Basf"/>
    <s v="Basf Sa"/>
    <s v="-"/>
    <s v="Latam Airlines Brasil"/>
    <n v="2953005187"/>
    <s v="FCM-OPE-SAO-PVI-BASF"/>
    <s v="-"/>
    <x v="6"/>
    <n v="0"/>
    <n v="450"/>
    <n v="0"/>
    <n v="0"/>
    <n v="0"/>
    <n v="0"/>
    <s v="Reserva importada por HubTravel"/>
    <s v="Falta informar o status no trecho da accounting aérea (Bilhete: 2953005187)"/>
    <s v="SABRE"/>
    <s v="Falta informação nos trechos"/>
    <s v="Atualização de Trechos"/>
    <s v="Dados do Fornecedor"/>
    <s v="Qualidade dos dados"/>
    <s v="GRUPO KONTIK"/>
  </r>
  <r>
    <n v="22909249"/>
    <n v="23682447"/>
    <s v="ACC01"/>
    <x v="449"/>
    <d v="2025-09-11T15:07:27"/>
    <s v="0 a 02 dias"/>
    <s v="0 a 02 dias"/>
    <s v="CRAYLN"/>
    <s v="SABRE"/>
    <s v="PEIL CEOLIN/MARIANA"/>
    <s v="Itamar de Souza"/>
    <s v="CT"/>
    <x v="357"/>
    <s v="CRAYLN"/>
    <s v="-"/>
    <s v="ON LINE"/>
    <s v="Cartão de crédito"/>
    <s v="Cartão AMEX"/>
    <s v="Aéreo"/>
    <s v="N"/>
    <s v="Grupo Basf"/>
    <s v="Basf Sa"/>
    <s v="-"/>
    <s v="Latam Airlines Brasil"/>
    <n v="2952949871"/>
    <s v="FCM-OPE-SAO-PVI-BASF"/>
    <s v="-"/>
    <x v="366"/>
    <n v="56.02"/>
    <n v="0"/>
    <n v="0"/>
    <n v="56.02"/>
    <n v="0"/>
    <n v="0"/>
    <s v="Reserva importada por HubTravel"/>
    <s v="Verificação de bilhetes: Bilhete 2952949871 já sendo utilizado para este fornecedor."/>
    <s v="SABRE"/>
    <s v="Bilhete duplicado"/>
    <s v="Bilhete Já Contabilizado"/>
    <s v="Duplicidade de Contabilização"/>
    <s v="Qualidade dos dados"/>
    <s v="GRUPO KONTIK"/>
  </r>
  <r>
    <n v="22909249"/>
    <n v="23682448"/>
    <s v="ACC02"/>
    <x v="449"/>
    <d v="2025-09-11T15:07:27"/>
    <s v="0 a 02 dias"/>
    <s v="0 a 02 dias"/>
    <s v="CRAYLN"/>
    <s v="SABRE"/>
    <s v="PEIL CEOLIN/MARIANA"/>
    <s v="Itamar de Souza"/>
    <s v="CT"/>
    <x v="357"/>
    <s v="CRAYLN"/>
    <s v="-"/>
    <s v="ON LINE"/>
    <s v="Cartão de crédito"/>
    <s v="Cartão AMEX"/>
    <s v="Aéreo"/>
    <s v="N"/>
    <s v="Grupo Basf"/>
    <s v="Basf Sa"/>
    <s v="-"/>
    <s v="Latam Airlines Brasil"/>
    <n v="2952949872"/>
    <s v="FCM-OPE-SAO-PVI-BASF"/>
    <s v="-"/>
    <x v="367"/>
    <n v="48.3"/>
    <n v="0"/>
    <n v="0"/>
    <n v="48.3"/>
    <n v="0"/>
    <n v="0"/>
    <s v="Reserva importada por HubTravel"/>
    <s v="Verificação de bilhetes: Bilhete 2952949871 já sendo utilizado para este fornecedor."/>
    <s v="SABRE"/>
    <s v="Bilhete duplicado"/>
    <s v="Bilhete Já Contabilizado"/>
    <s v="Duplicidade de Contabilização"/>
    <s v="Qualidade dos dados"/>
    <s v="GRUPO KONTIK"/>
  </r>
  <r>
    <n v="22855200"/>
    <n v="23635963"/>
    <s v="ACC01"/>
    <x v="450"/>
    <d v="2025-09-11T13:28:01"/>
    <s v="0 a 02 dias"/>
    <s v="09 a 15 dias"/>
    <s v="CIUFNN"/>
    <s v="SABRE"/>
    <s v="DA SILVA/ALAN TEIXEIRA"/>
    <s v="Wellington Ribeiro da Silva"/>
    <s v="CT"/>
    <x v="358"/>
    <s v="CIUFNN"/>
    <s v="-"/>
    <s v="OFF LINE"/>
    <s v="?"/>
    <s v="TKT"/>
    <s v="Aéreo"/>
    <s v="N"/>
    <s v="Grupo Ihs"/>
    <s v="Ihs Brasil Cessao de Infraestruturas S a"/>
    <s v="-"/>
    <s v="Latam Airlines Brasil"/>
    <n v="2971622816"/>
    <s v="FCM-OPE-SAO-PVI-BTC-CONCUR"/>
    <s v="-"/>
    <x v="6"/>
    <n v="0"/>
    <n v="450"/>
    <n v="0"/>
    <n v="11.75"/>
    <n v="0"/>
    <n v="0"/>
    <s v="Reserva importada por HubTravel"/>
    <s v="Falta informar o status no trecho da accounting aérea (Bilhete: 2971622816)"/>
    <s v="SABRE"/>
    <s v="Falta informação nos trechos"/>
    <s v="Atualização de Trechos"/>
    <s v="Dados do Fornecedor"/>
    <s v="Qualidade dos dados"/>
    <s v="GRUPO KONTIK"/>
  </r>
  <r>
    <n v="22855200"/>
    <n v="23635964"/>
    <s v="ACC02"/>
    <x v="450"/>
    <d v="2025-09-11T13:28:01"/>
    <s v="0 a 02 dias"/>
    <s v="09 a 15 dias"/>
    <s v="CIUFNN"/>
    <s v="SABRE"/>
    <s v="DA SILVA/ALAN TEIXEIRA"/>
    <s v="Wellington Ribeiro da Silva"/>
    <s v="CT"/>
    <x v="358"/>
    <s v="CIUFNN"/>
    <s v="-"/>
    <s v="OFF LINE"/>
    <s v="?"/>
    <s v="TKT"/>
    <s v="Aéreo"/>
    <s v="N"/>
    <s v="Grupo Ihs"/>
    <s v="Ihs Brasil Cessao de Infraestruturas S a"/>
    <s v="-"/>
    <s v="Latam Airlines Brasil"/>
    <n v="2971622816"/>
    <s v="FCM-OPE-SAO-PVI-BTC-CONCUR"/>
    <s v="-"/>
    <x v="368"/>
    <n v="0"/>
    <n v="450"/>
    <n v="0"/>
    <n v="0"/>
    <n v="0"/>
    <n v="0"/>
    <s v="Reserva importada por HubTravel"/>
    <s v="Falta informar o status no trecho da accounting aérea (Bilhete: 2971622816)"/>
    <s v="SABRE"/>
    <s v="Falta informação nos trechos"/>
    <s v="Atualização de Trechos"/>
    <s v="Dados do Fornecedor"/>
    <s v="Qualidade dos dados"/>
    <s v="GRUPO KONTIK"/>
  </r>
  <r>
    <n v="22909287"/>
    <n v="23682493"/>
    <s v="ACC01"/>
    <x v="451"/>
    <d v="2025-09-11T15:10:46"/>
    <s v="0 a 02 dias"/>
    <s v="0 a 02 dias"/>
    <s v="ELCMCJ"/>
    <s v="SABRE"/>
    <s v="FRANCISCO DOS SANTOS/RODRIGO"/>
    <s v="Itamar de Souza"/>
    <s v="CT"/>
    <x v="359"/>
    <s v="ELCMCJ"/>
    <s v="-"/>
    <s v="ON LINE"/>
    <s v="?"/>
    <s v="TKT"/>
    <s v="Aéreo"/>
    <s v="N"/>
    <s v="Grupo Basf"/>
    <s v="Basf Sa"/>
    <s v="-"/>
    <s v="Latam Airlines Brasil"/>
    <n v="2952994647"/>
    <s v="FCM-OPE-SAO-PVI-BASF"/>
    <s v="-"/>
    <x v="6"/>
    <n v="0"/>
    <n v="450"/>
    <n v="0"/>
    <n v="46.93"/>
    <n v="0"/>
    <n v="0"/>
    <s v="Reserva importada por HubTravel"/>
    <s v="Verificação de bilhetes: Bilhete 2952994647 já sendo utilizado para este fornecedor."/>
    <s v="SABRE"/>
    <s v="Bilhete duplicado"/>
    <s v="Bilhete Já Contabilizado"/>
    <s v="Duplicidade de Contabilização"/>
    <s v="Qualidade dos dados"/>
    <s v="GRUPO KONTIK"/>
  </r>
  <r>
    <n v="22904979"/>
    <n v="23678957"/>
    <s v="ACC01"/>
    <x v="452"/>
    <d v="2025-09-11T13:28:12"/>
    <s v="0 a 02 dias"/>
    <s v="0 a 02 dias"/>
    <s v="MGRJUD"/>
    <s v="SABRE"/>
    <s v="TEBERGA/RENATO BEDAQUE"/>
    <s v="Clayton Alves de Rezende"/>
    <s v="CT"/>
    <x v="99"/>
    <s v="MGRJUD"/>
    <s v="-"/>
    <s v="ON LINE"/>
    <s v="Cartão de crédito"/>
    <s v="Cartão AMEX"/>
    <s v="Aéreo"/>
    <s v="N"/>
    <s v="Grupo Basf"/>
    <s v="Basf Sa"/>
    <s v="-"/>
    <s v="Latam Airlines Brasil"/>
    <n v="9781620000"/>
    <s v="FCM-OPE-SAO-PVI-BASF"/>
    <s v="-"/>
    <x v="369"/>
    <n v="55.65"/>
    <n v="811.38"/>
    <n v="0"/>
    <n v="55.65"/>
    <n v="0"/>
    <n v="0"/>
    <s v="Reserva importada por HubTravel"/>
    <s v="Falta informar o status no trecho da accounting aérea (Bilhete: 9781620000)"/>
    <s v="SABRE"/>
    <s v="Falta informação nos trechos"/>
    <s v="Atualização de Trechos"/>
    <s v="Dados do Fornecedor"/>
    <s v="Qualidade dos dados"/>
    <s v="GRUPO KONTIK"/>
  </r>
  <r>
    <n v="22904979"/>
    <n v="23678958"/>
    <s v="ACC02"/>
    <x v="452"/>
    <d v="2025-09-11T13:28:12"/>
    <s v="0 a 02 dias"/>
    <s v="0 a 02 dias"/>
    <s v="MGRJUD"/>
    <s v="SABRE"/>
    <s v="TEBERGA/RENATO BEDAQUE"/>
    <s v="Clayton Alves de Rezende"/>
    <s v="CT"/>
    <x v="99"/>
    <s v="MGRJUD"/>
    <s v="-"/>
    <s v="ON LINE"/>
    <s v="?"/>
    <s v="TKT"/>
    <s v="Aéreo"/>
    <s v="N"/>
    <s v="Grupo Basf"/>
    <s v="Basf Sa"/>
    <s v="-"/>
    <s v="Latam Airlines Brasil"/>
    <n v="9781620000"/>
    <s v="FCM-OPE-SAO-PVI-BASF"/>
    <s v="-"/>
    <x v="6"/>
    <n v="3.89"/>
    <n v="0"/>
    <n v="0"/>
    <n v="3.89"/>
    <n v="0"/>
    <n v="0"/>
    <s v="Reserva importada por HubTravel"/>
    <s v="Falta informar o status no trecho da accounting aérea (Bilhete: 9781620000)"/>
    <s v="SABRE"/>
    <s v="Falta informação nos trechos"/>
    <s v="Atualização de Trechos"/>
    <s v="Dados do Fornecedor"/>
    <s v="Qualidade dos dados"/>
    <s v="GRUPO KONTIK"/>
  </r>
  <r>
    <n v="22911979"/>
    <n v="23685349"/>
    <s v="ACC02"/>
    <x v="453"/>
    <d v="2025-09-12T00:03:31"/>
    <s v="0 a 02 dias"/>
    <s v="0 a 02 dias"/>
    <s v="MXMJPR"/>
    <s v="SABRE"/>
    <s v="KOERICH/PRISCILLA KARINA VITO"/>
    <s v="Flavia Constanzi do Nascimento"/>
    <s v="Luciene Carvalho Santos"/>
    <x v="360"/>
    <s v="MXMJPR"/>
    <s v="-"/>
    <s v="ON LINE"/>
    <s v="Invoice"/>
    <s v="Faturado"/>
    <s v="Aéreo"/>
    <s v="N"/>
    <s v="Grupo Elanco"/>
    <s v="Elanco - Morumbi"/>
    <s v="-"/>
    <s v="Latam Airlines Brasil"/>
    <n v="2971325536"/>
    <s v="FCM-OPE-SAO-PVI-BTC-CONCUR"/>
    <s v="-"/>
    <x v="370"/>
    <n v="141.09"/>
    <n v="464.67"/>
    <n v="0"/>
    <n v="141.09"/>
    <n v="0"/>
    <n v="0"/>
    <s v="Reserva importada por HubTravel"/>
    <s v="Centro de custo não preenc"/>
    <s v="SABRE"/>
    <s v="Não identificado"/>
    <s v="Análise Benner"/>
    <s v="Sistema"/>
    <s v="Qualidade dos dados"/>
    <s v="GRUPO KONTIK"/>
  </r>
  <r>
    <n v="22905117"/>
    <n v="23679088"/>
    <s v="ACC01"/>
    <x v="454"/>
    <d v="2025-09-11T13:28:23"/>
    <s v="0 a 02 dias"/>
    <s v="0 a 02 dias"/>
    <s v="EXICSD"/>
    <s v="SABRE"/>
    <s v="ITUASSU/ANDRE LUIS MOURA"/>
    <s v="Itamar de Souza"/>
    <s v="Renata Rosenthal dos Santos"/>
    <x v="135"/>
    <s v="EXICSD"/>
    <s v="-"/>
    <s v="ON LINE"/>
    <s v="Cartão de crédito"/>
    <s v="Cartão de crédito"/>
    <s v="Aéreo"/>
    <s v="N"/>
    <s v="Grupo Ihs"/>
    <s v="I - Systems"/>
    <s v="-"/>
    <s v="Latam Airlines Brasil"/>
    <n v="2953004151"/>
    <s v="FCM-OPE-SAO-PVI-BTC-CONCUR"/>
    <s v="-"/>
    <x v="371"/>
    <n v="59.95"/>
    <n v="0"/>
    <n v="0"/>
    <n v="59.95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GRUPO KONTIK"/>
  </r>
  <r>
    <n v="22909622"/>
    <n v="23682863"/>
    <s v="ACC01"/>
    <x v="455"/>
    <d v="2025-09-11T16:20:55"/>
    <s v="0 a 02 dias"/>
    <s v="0 a 02 dias"/>
    <s v="WTPIZO"/>
    <s v="GOVER"/>
    <s v="MONIQUE STONY DA SILVA PARANHOS"/>
    <s v="Gover"/>
    <s v="Gover"/>
    <x v="361"/>
    <n v="4595885"/>
    <s v="-"/>
    <s v="OFF LINE"/>
    <s v="Cartão de crédito"/>
    <s v="Cartão AMEX"/>
    <s v="Aéreo"/>
    <s v="N"/>
    <s v="Grupo British American Tobacco"/>
    <s v="Souza Cruz"/>
    <s v="-"/>
    <s v="American Airlines"/>
    <n v="2971325483"/>
    <s v="FCM-OPE-SAO-PVI-BAT"/>
    <s v="-"/>
    <x v="372"/>
    <n v="490.25"/>
    <n v="0"/>
    <n v="0"/>
    <n v="0"/>
    <n v="0"/>
    <n v="0"/>
    <s v="Reserva importada do sistema Gover. Id: 4595885"/>
    <s v="Verificação de bilhetes: Bilhete 2971325483 já sendo utilizado para este fornecedor."/>
    <s v="GOVER"/>
    <s v="Bilhete duplicado"/>
    <s v="Bilhete Já Contabilizado"/>
    <s v="Duplicidade de Contabilização"/>
    <s v="Qualidade dos dados"/>
    <s v="GRUPO KONTIK"/>
  </r>
  <r>
    <n v="22911979"/>
    <n v="23685065"/>
    <s v="ACC01"/>
    <x v="453"/>
    <d v="2025-09-12T00:03:31"/>
    <s v="0 a 02 dias"/>
    <s v="0 a 02 dias"/>
    <s v="MXMJPR"/>
    <s v="SABRE"/>
    <s v="KOERICH/PRISCILLA KARINA VITOR"/>
    <s v="Flavia Constanzi do Nascimento"/>
    <s v="Luciene Carvalho Santos"/>
    <x v="360"/>
    <s v="MXMJPR"/>
    <s v="-"/>
    <s v="ON LINE"/>
    <s v="Cartão de crédito"/>
    <s v="Cartão de crédito"/>
    <s v="Aéreo"/>
    <s v="N"/>
    <s v="Grupo Elanco"/>
    <s v="Elanco - Morumbi"/>
    <s v="-"/>
    <s v="Iberia"/>
    <n v="2971325536"/>
    <s v="FCM-OPE-SAO-PVI-BTC-CONCUR"/>
    <s v="-"/>
    <x v="373"/>
    <n v="141.09"/>
    <n v="464.67"/>
    <n v="0"/>
    <n v="0"/>
    <n v="0"/>
    <n v="0"/>
    <s v="Reserva importada por HubTravel"/>
    <s v="Centro de custo não preenc"/>
    <s v="SABRE"/>
    <s v="Não identificado"/>
    <s v="Análise Benner"/>
    <s v="Sistema"/>
    <s v="Qualidade dos dados"/>
    <s v="GRUPO KONTIK"/>
  </r>
  <r>
    <n v="22903055"/>
    <n v="23677170"/>
    <s v="ACC"/>
    <x v="456"/>
    <d v="2025-09-10T16:36:57"/>
    <s v="0 a 02 dias"/>
    <s v="0 a 02 dias"/>
    <s v="5KQXXG"/>
    <s v="MANUAL"/>
    <s v="FALCAO DA MOTTA/RICARDO"/>
    <s v="Herbert Amancio de Santana"/>
    <s v="Wellington Ribeiro da Silva"/>
    <x v="362"/>
    <n v="83508"/>
    <s v="-"/>
    <s v="OFF LINE"/>
    <s v="Cartão de crédito"/>
    <s v="Cartão AMEX"/>
    <s v="Aéreo"/>
    <s v="N"/>
    <s v="Grupo Claro Sa"/>
    <s v="Claro Sao Paulo (santo Amaro)"/>
    <s v="-"/>
    <s v="Klm"/>
    <n v="2952970705"/>
    <s v="KON-OPE-SAO-POS-CLARO"/>
    <s v="-"/>
    <x v="374"/>
    <n v="1328"/>
    <n v="0"/>
    <n v="0"/>
    <n v="0"/>
    <n v="0"/>
    <n v="0"/>
    <s v="-"/>
    <s v="Accouting aérea não possui trechos (Bilhete: 2952970705)"/>
    <s v="MANUAL"/>
    <s v="Falta informação nos trechos"/>
    <s v="Atualização de Trechos"/>
    <s v="Dados do Fornecedor"/>
    <s v="Qualidade dos dados"/>
    <s v="GRUPO KONTIK"/>
  </r>
  <r>
    <n v="22908765"/>
    <n v="23682039"/>
    <s v="ACC01"/>
    <x v="457"/>
    <d v="2025-09-11T22:18:01"/>
    <s v="0 a 02 dias"/>
    <s v="0 a 02 dias"/>
    <s v="5KKLTH"/>
    <s v="TMS"/>
    <s v="Maluf/Fernanda"/>
    <s v="Renato Ferreira Gomes"/>
    <s v="Renato Ferreira Gomes"/>
    <x v="363"/>
    <n v="11723"/>
    <s v="-"/>
    <s v="OFF LINE"/>
    <s v="Invoice"/>
    <s v="Faturado"/>
    <s v="Aéreo"/>
    <s v="N"/>
    <s v="Grupo Braskem"/>
    <s v="Braskem - Camacari"/>
    <s v="-"/>
    <s v="Klm"/>
    <n v="1928692523"/>
    <s v="KON-OPE-SAO-PVI-BRASKEM"/>
    <s v="-"/>
    <x v="6"/>
    <n v="1784.66"/>
    <n v="0"/>
    <n v="0"/>
    <n v="0"/>
    <n v="0"/>
    <n v="0"/>
    <s v="Reserva importada do Sistema TMS. OS: 11723"/>
    <s v="Empenho/departamento não preenchido! (ACC01) 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806186"/>
    <n v="23593741"/>
    <s v="ACC01"/>
    <x v="458"/>
    <d v="2025-09-11T13:27:29"/>
    <s v="0 a 02 dias"/>
    <s v="16 a 23 dias"/>
    <s v="WIMBRP"/>
    <s v="SABRE"/>
    <s v="BORER/FERNANDO"/>
    <s v="Beatrys Ferreira Rocha"/>
    <s v="CT"/>
    <x v="364"/>
    <s v="WIMBRP"/>
    <s v="-"/>
    <s v="ON LINE"/>
    <s v="?"/>
    <s v="TKT"/>
    <s v="Aéreo"/>
    <s v="N"/>
    <s v="Grupo Bosch"/>
    <s v="Cap1 - Planta Campinas Bosch - 9080"/>
    <s v="Cliente FEE no POS"/>
    <s v="Klm"/>
    <n v="6643080000"/>
    <s v="FCM-OPE-SAO-PVI-BOSCH"/>
    <s v="-"/>
    <x v="6"/>
    <n v="0"/>
    <n v="0"/>
    <n v="0"/>
    <n v="0"/>
    <n v="0"/>
    <n v="20.89"/>
    <s v="Reserva importada por HubTravel"/>
    <s v="Falta informar o status no trecho da accounting aérea (Bilhete: 6643080000)"/>
    <s v="SABRE"/>
    <s v="Falta informação nos trechos"/>
    <s v="Atualização de Trechos"/>
    <s v="Dados do Fornecedor"/>
    <s v="Qualidade dos dados"/>
    <s v="GRUPO KONTIK"/>
  </r>
  <r>
    <n v="22806186"/>
    <n v="23593742"/>
    <s v="ACC02"/>
    <x v="458"/>
    <d v="2025-09-11T13:27:29"/>
    <s v="0 a 02 dias"/>
    <s v="16 a 23 dias"/>
    <s v="WIMBRP"/>
    <s v="SABRE"/>
    <s v="BORER/FERNANDO"/>
    <s v="Beatrys Ferreira Rocha"/>
    <s v="CT"/>
    <x v="364"/>
    <s v="WIMBRP"/>
    <s v="-"/>
    <s v="ON LINE"/>
    <s v="Cartão de crédito"/>
    <s v="Cartão AMEX"/>
    <s v="Aéreo"/>
    <s v="N"/>
    <s v="Grupo Bosch"/>
    <s v="Cap1 - Planta Campinas Bosch - 9080"/>
    <s v="Cliente FEE no POS"/>
    <s v="Klm"/>
    <n v="6643080000"/>
    <s v="FCM-OPE-SAO-PVI-BOSCH"/>
    <s v="-"/>
    <x v="375"/>
    <n v="0"/>
    <n v="0"/>
    <n v="0"/>
    <n v="0"/>
    <n v="0"/>
    <n v="20.89"/>
    <s v="Reserva importada por HubTravel"/>
    <s v="Falta informar o status no trecho da accounting aérea (Bilhete: 6643080000)"/>
    <s v="SABRE"/>
    <s v="Falta informação nos trechos"/>
    <s v="Atualização de Trechos"/>
    <s v="Dados do Fornecedor"/>
    <s v="Qualidade dos dados"/>
    <s v="GRUPO KONTIK"/>
  </r>
  <r>
    <n v="22806186"/>
    <n v="23593743"/>
    <s v="ACC03"/>
    <x v="458"/>
    <d v="2025-09-11T13:27:29"/>
    <s v="0 a 02 dias"/>
    <s v="16 a 23 dias"/>
    <s v="WIMBRP"/>
    <s v="SABRE"/>
    <s v="BORER/FERNANDO"/>
    <s v="Beatrys Ferreira Rocha"/>
    <s v="CT"/>
    <x v="364"/>
    <s v="WIMBRP"/>
    <s v="-"/>
    <s v="ON LINE"/>
    <s v="Cartão de crédito"/>
    <s v="Cartão AMEX"/>
    <s v="Aéreo"/>
    <s v="N"/>
    <s v="Grupo Bosch"/>
    <s v="Cap1 - Planta Campinas Bosch - 9080"/>
    <s v="Cliente FEE no POS"/>
    <s v="Klm"/>
    <n v="6643080000"/>
    <s v="FCM-OPE-SAO-PVI-BOSCH"/>
    <s v="-"/>
    <x v="376"/>
    <n v="0"/>
    <n v="0"/>
    <n v="0"/>
    <n v="0"/>
    <n v="0"/>
    <n v="20.89"/>
    <s v="Reserva importada por HubTravel"/>
    <s v="Falta informar o status no trecho da accounting aérea (Bilhete: 6643080000)"/>
    <s v="SABRE"/>
    <s v="Falta informação nos trechos"/>
    <s v="Atualização de Trechos"/>
    <s v="Dados do Fornecedor"/>
    <s v="Qualidade dos dados"/>
    <s v="GRUPO KONTIK"/>
  </r>
  <r>
    <n v="22905382"/>
    <n v="23679318"/>
    <s v="ACC01"/>
    <x v="459"/>
    <d v="2025-09-11T13:39:44"/>
    <s v="0 a 02 dias"/>
    <s v="0 a 02 dias"/>
    <s v="KZNQHK"/>
    <s v="SABRE"/>
    <s v="WETEMANS/LAURAN JACQUES LEON"/>
    <s v="Beatrys Ferreira Rocha"/>
    <s v="Vanessa Pereira Ribeiro Carlos"/>
    <x v="365"/>
    <s v="EMAIL"/>
    <s v="-"/>
    <s v="OFF LINE"/>
    <s v="Cartão de crédito"/>
    <s v="Cartão de crédito"/>
    <s v="Aéreo"/>
    <s v="N"/>
    <s v="Grupo Shell"/>
    <s v="Shell"/>
    <s v="-"/>
    <s v="Klm"/>
    <n v="6691950000"/>
    <s v="FCM-OPE-SAO-PVI-SHELL"/>
    <s v="-"/>
    <x v="377"/>
    <n v="0"/>
    <n v="1245.24"/>
    <n v="0"/>
    <n v="0"/>
    <n v="0"/>
    <n v="0"/>
    <s v="Reserva importada por HubTravel"/>
    <s v="Falta informar o status no trecho da accounting aérea (Bilhete: 6691950000)"/>
    <s v="SABRE"/>
    <s v="Falta informação nos trechos"/>
    <s v="Atualização de Trechos"/>
    <s v="Dados do Fornecedor"/>
    <s v="Qualidade dos dados"/>
    <s v="GRUPO KONTIK"/>
  </r>
  <r>
    <n v="22905382"/>
    <n v="23679319"/>
    <s v="ACC02"/>
    <x v="459"/>
    <d v="2025-09-11T13:39:44"/>
    <s v="0 a 02 dias"/>
    <s v="0 a 02 dias"/>
    <s v="KZNQHK"/>
    <s v="SABRE"/>
    <s v="WETEMANS/LAURAN JACQUES LEON"/>
    <s v="Beatrys Ferreira Rocha"/>
    <s v="Vanessa Pereira Ribeiro Carlos"/>
    <x v="365"/>
    <s v="EMAIL"/>
    <s v="-"/>
    <s v="OFF LINE"/>
    <s v="?"/>
    <s v="TKT"/>
    <s v="Aéreo"/>
    <s v="N"/>
    <s v="Grupo Shell"/>
    <s v="Shell"/>
    <s v="-"/>
    <s v="Klm"/>
    <n v="6691950000"/>
    <s v="FCM-OPE-SAO-PVI-SHELL"/>
    <s v="-"/>
    <x v="6"/>
    <n v="0"/>
    <n v="0"/>
    <n v="0"/>
    <n v="0"/>
    <n v="0"/>
    <n v="0"/>
    <s v="Reserva importada por HubTravel"/>
    <s v="Falta informar o status no trecho da accounting aérea (Bilhete: 6691950000)"/>
    <s v="SABRE"/>
    <s v="Falta informação nos trechos"/>
    <s v="Atualização de Trechos"/>
    <s v="Dados do Fornecedor"/>
    <s v="Qualidade dos dados"/>
    <s v="GRUPO KONTIK"/>
  </r>
  <r>
    <n v="22905382"/>
    <n v="23679320"/>
    <s v="ACC03"/>
    <x v="459"/>
    <d v="2025-09-11T13:39:44"/>
    <s v="0 a 02 dias"/>
    <s v="0 a 02 dias"/>
    <s v="KZNQHK"/>
    <s v="SABRE"/>
    <s v="WETEMANS/LAURAN JACQUES LEON"/>
    <s v="Beatrys Ferreira Rocha"/>
    <s v="Vanessa Pereira Ribeiro Carlos"/>
    <x v="365"/>
    <s v="EMAIL"/>
    <s v="-"/>
    <s v="OFF LINE"/>
    <s v="Cartão de crédito"/>
    <s v="Cartão de crédito"/>
    <s v="Aéreo"/>
    <s v="N"/>
    <s v="Grupo Shell"/>
    <s v="Shell"/>
    <s v="-"/>
    <s v="Klm"/>
    <n v="6691950000"/>
    <s v="FCM-OPE-SAO-PVI-SHELL"/>
    <s v="-"/>
    <x v="378"/>
    <n v="0"/>
    <n v="0"/>
    <n v="0"/>
    <n v="0"/>
    <n v="0"/>
    <n v="0"/>
    <s v="Reserva importada por HubTravel"/>
    <s v="Falta informar o status no trecho da accounting aérea (Bilhete: 6691950000)"/>
    <s v="SABRE"/>
    <s v="Falta informação nos trechos"/>
    <s v="Atualização de Trechos"/>
    <s v="Dados do Fornecedor"/>
    <s v="Qualidade dos dados"/>
    <s v="GRUPO KONTIK"/>
  </r>
  <r>
    <n v="22905382"/>
    <n v="23679322"/>
    <s v="ACC04"/>
    <x v="459"/>
    <d v="2025-09-11T13:39:44"/>
    <s v="0 a 02 dias"/>
    <s v="0 a 02 dias"/>
    <s v="KZNQHK"/>
    <s v="SABRE"/>
    <s v="WETEMANS/LAURAN JACQUES LEON"/>
    <s v="Beatrys Ferreira Rocha"/>
    <s v="Vanessa Pereira Ribeiro Carlos"/>
    <x v="365"/>
    <s v="EMAIL"/>
    <s v="-"/>
    <s v="OFF LINE"/>
    <s v="Cartão de crédito"/>
    <s v="Cartão de crédito"/>
    <s v="Aéreo"/>
    <s v="N"/>
    <s v="Grupo Shell"/>
    <s v="Shell"/>
    <s v="-"/>
    <s v="Klm"/>
    <n v="6691950000"/>
    <s v="FCM-OPE-SAO-PVI-SHELL"/>
    <s v="-"/>
    <x v="379"/>
    <n v="0"/>
    <n v="0"/>
    <n v="0"/>
    <n v="0"/>
    <n v="0"/>
    <n v="0"/>
    <s v="Reserva importada por HubTravel"/>
    <s v="Falta informar o status no trecho da accounting aérea (Bilhete: 6691950000)"/>
    <s v="SABRE"/>
    <s v="Falta informação nos trechos"/>
    <s v="Atualização de Trechos"/>
    <s v="Dados do Fornecedor"/>
    <s v="Qualidade dos dados"/>
    <s v="GRUPO KONTIK"/>
  </r>
  <r>
    <n v="22897567"/>
    <n v="23672459"/>
    <s v="ACC01"/>
    <x v="460"/>
    <d v="2025-09-11T13:25:47"/>
    <s v="0 a 02 dias"/>
    <s v="03 a 05 dias"/>
    <s v="MEOXQP"/>
    <s v="TMS"/>
    <s v="MARCIO SOARES"/>
    <s v="Jennifer dos Santos Guedes de Oliveira"/>
    <s v="Jennifer dos Santos Guedes de Oliveira"/>
    <x v="366"/>
    <n v="5222"/>
    <s v="-"/>
    <s v="OFF LINE"/>
    <s v="Cartão de crédito"/>
    <s v="Cartão de crédito"/>
    <s v="Aéreo"/>
    <s v="N"/>
    <s v="Grupo Mattos Filho"/>
    <s v="Mattos Filho"/>
    <s v="-"/>
    <s v="Klm"/>
    <n v="2971276144"/>
    <s v="KON-OPE-SAO-PVI-MATTOS FILHO"/>
    <s v="-"/>
    <x v="380"/>
    <n v="0"/>
    <n v="0"/>
    <n v="0"/>
    <n v="0"/>
    <n v="0"/>
    <n v="0"/>
    <s v="Reserva importada do Sistema TMS. OS: 5222"/>
    <s v="Verificação de bilhetes: Bilhete 2971276144 já sendo utilizado para este fornecedor."/>
    <s v="ARGO(TMS)"/>
    <s v="Bilhete duplicado"/>
    <s v="Bilhete Já Contabilizado"/>
    <s v="Duplicidade de Contabilização"/>
    <s v="Qualidade dos dados"/>
    <s v="GRUPO KONTIK"/>
  </r>
  <r>
    <n v="22905409"/>
    <n v="23679349"/>
    <s v="ACC01"/>
    <x v="461"/>
    <d v="2025-09-11T13:40:47"/>
    <s v="0 a 02 dias"/>
    <s v="0 a 02 dias"/>
    <s v="SBFYFA"/>
    <s v="SABRE"/>
    <s v="BUGS/CAMILLA DUQUE"/>
    <s v="Beatrys Ferreira Rocha"/>
    <s v="WS"/>
    <x v="367"/>
    <s v="SBFYFA"/>
    <s v="-"/>
    <s v="ON LINE"/>
    <s v="Cartão de crédito"/>
    <s v="Cartão AMEX"/>
    <s v="Aéreo"/>
    <s v="N"/>
    <s v="Grupo Adidas"/>
    <s v="Adidas do Brasil Ltda"/>
    <s v="-"/>
    <s v="Klm"/>
    <n v="6699930000"/>
    <s v="FCM-OPE-SAO-PVI-BTC-CONCUR"/>
    <s v="-"/>
    <x v="381"/>
    <n v="59.54"/>
    <n v="1226.23"/>
    <n v="0"/>
    <n v="59.54"/>
    <n v="0"/>
    <n v="0"/>
    <s v="Reserva importada por HubTravel"/>
    <s v="Falta informar o status no trecho da accounting aérea (Bilhete: 6699930000)"/>
    <s v="SABRE"/>
    <s v="Falta informação nos trechos"/>
    <s v="Atualização de Trechos"/>
    <s v="Dados do Fornecedor"/>
    <s v="Qualidade dos dados"/>
    <s v="GRUPO KONTIK"/>
  </r>
  <r>
    <n v="22905409"/>
    <n v="23679350"/>
    <s v="ACC02"/>
    <x v="461"/>
    <d v="2025-09-11T13:40:47"/>
    <s v="0 a 02 dias"/>
    <s v="0 a 02 dias"/>
    <s v="SBFYFA"/>
    <s v="SABRE"/>
    <s v="BUGS/CAMILLA DUQUE"/>
    <s v="Beatrys Ferreira Rocha"/>
    <s v="WS"/>
    <x v="367"/>
    <s v="SBFYFA"/>
    <s v="-"/>
    <s v="ON LINE"/>
    <s v="?"/>
    <s v="TKT"/>
    <s v="Aéreo"/>
    <s v="N"/>
    <s v="Grupo Adidas"/>
    <s v="Adidas do Brasil Ltda"/>
    <s v="-"/>
    <s v="Klm"/>
    <n v="6699930000"/>
    <s v="FCM-OPE-SAO-PVI-BTC-CONCUR"/>
    <s v="-"/>
    <x v="6"/>
    <n v="0"/>
    <n v="0"/>
    <n v="0"/>
    <n v="0"/>
    <n v="0"/>
    <n v="0"/>
    <s v="Reserva importada por HubTravel"/>
    <s v="Falta informar o status no trecho da accounting aérea (Bilhete: 6699930000)"/>
    <s v="SABRE"/>
    <s v="Falta informação nos trechos"/>
    <s v="Atualização de Trechos"/>
    <s v="Dados do Fornecedor"/>
    <s v="Qualidade dos dados"/>
    <s v="GRUPO KONTIK"/>
  </r>
  <r>
    <n v="22870604"/>
    <n v="23649864"/>
    <s v="ACC01"/>
    <x v="462"/>
    <d v="2025-09-11T13:25:37"/>
    <s v="0 a 02 dias"/>
    <s v="06 a 08 dias"/>
    <s v="HFIMTF"/>
    <s v="TMS"/>
    <s v="MARCELA DA SILVA COSTA"/>
    <s v="Catia Leite Oliveira"/>
    <s v="Catia Leite Oliveira"/>
    <x v="368"/>
    <n v="41176"/>
    <s v="-"/>
    <s v="OFF LINE"/>
    <s v="Cartão de crédito"/>
    <s v="Cartão AMEX"/>
    <s v="Aéreo"/>
    <s v="N"/>
    <s v="Grupo Motiva"/>
    <s v="Motiva Filial"/>
    <s v="-"/>
    <s v="Klm"/>
    <n v="2971387943"/>
    <s v="KON-OPE-SAO-PVI-CCR"/>
    <s v="-"/>
    <x v="382"/>
    <n v="1388.84"/>
    <n v="0"/>
    <n v="0"/>
    <n v="0"/>
    <n v="0"/>
    <n v="0"/>
    <s v="Reserva importada do Sistema TMS. OS: 41176"/>
    <s v="Verificação de bilhetes: Bilhete 2971387943 já sendo utilizado para este fornecedor."/>
    <s v="ARGO(TMS)"/>
    <s v="Bilhete duplicado"/>
    <s v="Bilhete Já Contabilizado"/>
    <s v="Duplicidade de Contabilização"/>
    <s v="Qualidade dos dados"/>
    <s v="GRUPO KONTIK"/>
  </r>
  <r>
    <n v="22895022"/>
    <n v="23670059"/>
    <s v="ACC"/>
    <x v="463"/>
    <d v="2025-09-09T13:01:27"/>
    <s v="03 a 05 dias"/>
    <s v="03 a 05 dias"/>
    <s v="5KI7IW"/>
    <s v="MANUAL"/>
    <s v="DIAZ PEREZ/EDUARDO GASTON MR"/>
    <s v="Ernani Afranio dos Santos"/>
    <s v="Beatrys Ferreira Rocha"/>
    <x v="369"/>
    <s v="EMAIL"/>
    <s v="-"/>
    <s v="OFF LINE"/>
    <s v="Invoice"/>
    <s v="Cartão convênio"/>
    <s v="Aéreo"/>
    <s v="S"/>
    <s v="Grupo Bosch"/>
    <s v="Cap1 - Planta Campinas Bosch - 9080"/>
    <s v="Cliente FEE no POS"/>
    <s v="Delta"/>
    <n v="2952977616"/>
    <s v="FCM-OPE-SAO-PVI-BOSCH"/>
    <s v="-"/>
    <x v="383"/>
    <n v="312.86"/>
    <n v="0"/>
    <n v="0"/>
    <n v="0"/>
    <n v="0"/>
    <n v="0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GRUPO KONTIK"/>
  </r>
  <r>
    <n v="22889116"/>
    <n v="23664609"/>
    <s v="ACC01"/>
    <x v="464"/>
    <d v="2025-09-12T05:20:54"/>
    <s v="0 a 02 dias"/>
    <s v="03 a 05 dias"/>
    <s v="IQXDKK"/>
    <s v="SABRE"/>
    <s v="CARVALHO/RAFAEL BLUMLEIM"/>
    <s v="Clayton Alves de Rezende"/>
    <s v="CT"/>
    <x v="140"/>
    <s v="IQXDKK"/>
    <s v="-"/>
    <s v="ON LINE"/>
    <s v="Cartão de crédito"/>
    <s v="Cartão AMEX"/>
    <s v="Aéreo"/>
    <s v="N"/>
    <s v="Grupo Bosch"/>
    <s v="Cap1 - Planta Campinas Bosch - 9080"/>
    <s v="Cliente FEE no POS"/>
    <s v="Lufthansa"/>
    <n v="2952959161"/>
    <s v="FCM-OPE-SAO-PVI-BOSCH"/>
    <s v="-"/>
    <x v="384"/>
    <n v="59.54"/>
    <n v="974.31"/>
    <n v="0"/>
    <n v="59.54"/>
    <n v="0"/>
    <n v="19.03"/>
    <s v="Reserva importada por HubTravel"/>
    <s v="Verificação de bilhetes: Bilhete 2952959161 já sendo utilizado para este fornecedor."/>
    <s v="SABRE"/>
    <s v="Bilhete duplicado"/>
    <s v="Bilhete Já Contabilizado"/>
    <s v="Duplicidade de Contabilização"/>
    <s v="Qualidade dos dados"/>
    <s v="GRUPO KONTIK"/>
  </r>
  <r>
    <n v="22889117"/>
    <n v="23664610"/>
    <s v="ACC01"/>
    <x v="465"/>
    <d v="2025-09-12T05:20:55"/>
    <s v="0 a 02 dias"/>
    <s v="03 a 05 dias"/>
    <s v="YSDZBI"/>
    <s v="SABRE"/>
    <s v="ALEGRETTI RIBEIRO LOBO/MARIA"/>
    <s v="Clayton Alves de Rezende"/>
    <s v="CT"/>
    <x v="140"/>
    <s v="YSDZBI"/>
    <s v="-"/>
    <s v="ON LINE"/>
    <s v="Cartão de crédito"/>
    <s v="Cartão AMEX"/>
    <s v="Aéreo"/>
    <s v="N"/>
    <s v="Grupo Bosch"/>
    <s v="Jvl - Planta Joinville"/>
    <s v="Cliente FEE no POS"/>
    <s v="Lufthansa"/>
    <n v="2952959163"/>
    <s v="FCM-OPE-SAO-PVI-BOSCH"/>
    <s v="-"/>
    <x v="384"/>
    <n v="59.54"/>
    <n v="974.31"/>
    <n v="0"/>
    <n v="59.54"/>
    <n v="0"/>
    <n v="19.03"/>
    <s v="Reserva importada por HubTravel"/>
    <s v="Verificação de bilhetes: Bilhete 2952959163 já sendo utilizado para este fornecedor."/>
    <s v="SABRE"/>
    <s v="Bilhete duplicado"/>
    <s v="Bilhete Já Contabilizado"/>
    <s v="Duplicidade de Contabilização"/>
    <s v="Qualidade dos dados"/>
    <s v="GRUPO KONTIK"/>
  </r>
  <r>
    <n v="22889114"/>
    <n v="23664607"/>
    <s v="ACC01"/>
    <x v="466"/>
    <d v="2025-09-12T05:20:52"/>
    <s v="0 a 02 dias"/>
    <s v="03 a 05 dias"/>
    <s v="GCZUPE"/>
    <s v="SABRE"/>
    <s v="BACHMANN/RENATO"/>
    <s v="Clayton Alves de Rezende"/>
    <s v="CT"/>
    <x v="140"/>
    <s v="GCZUPE"/>
    <s v="-"/>
    <s v="ON LINE"/>
    <s v="Cartão de crédito"/>
    <s v="Cartão AMEX"/>
    <s v="Aéreo"/>
    <s v="N"/>
    <s v="Grupo Bosch"/>
    <s v="Dcbr - Rexroth"/>
    <s v="Cliente FEE no POS"/>
    <s v="Lufthansa"/>
    <n v="2952959160"/>
    <s v="FCM-OPE-SAO-PVI-BOSCH"/>
    <s v="-"/>
    <x v="385"/>
    <n v="141.09"/>
    <n v="1127.8699999999999"/>
    <n v="0"/>
    <n v="141.09"/>
    <n v="0"/>
    <n v="19.03"/>
    <s v="Reserva importada por HubTravel"/>
    <s v="Verificação de bilhetes: Bilhete 2952959160 já sendo utilizado para este fornecedor."/>
    <s v="SABRE"/>
    <s v="Bilhete duplicado"/>
    <s v="Bilhete Já Contabilizado"/>
    <s v="Duplicidade de Contabilização"/>
    <s v="Qualidade dos dados"/>
    <s v="GRUPO KONTIK"/>
  </r>
  <r>
    <n v="22911973"/>
    <n v="23685052"/>
    <s v="ACC01"/>
    <x v="467"/>
    <d v="2025-09-11T21:54:43"/>
    <s v="0 a 02 dias"/>
    <s v="0 a 02 dias"/>
    <s v="GCIWPX"/>
    <s v="SABRE"/>
    <s v="MARTINS DA PAZ/DIEGO LUIZ"/>
    <s v="Clayton Alves de Rezende"/>
    <s v="Eliane da Silva Souza Paula"/>
    <x v="370"/>
    <s v="GCIWPX"/>
    <s v="-"/>
    <s v="ON LINE"/>
    <s v="Cartão de crédito"/>
    <s v="Cartão AMEX"/>
    <s v="Aéreo"/>
    <s v="N"/>
    <s v="Grupo Adidas"/>
    <s v="Adidas do Brasil Ltda"/>
    <s v="-"/>
    <s v="Lufthansa"/>
    <n v="2953001170"/>
    <s v="FCM-OPE-SAO-PVI-BTC-CONCUR"/>
    <s v="-"/>
    <x v="386"/>
    <n v="59.54"/>
    <n v="1167.68"/>
    <n v="0"/>
    <n v="59.54"/>
    <n v="0"/>
    <n v="0"/>
    <s v="Reserva importada por HubTravel"/>
    <s v="Matrícula não preenchida! (ACC01) Nível funcionário não preenchido! (ACC01)"/>
    <s v="SABRE"/>
    <s v="Mais de um campo não preenchido"/>
    <s v="Falta de informação Gerencial"/>
    <s v="Dados do Fornecedor"/>
    <s v="Qualidade dos dados"/>
    <s v="GRUPO KONTIK"/>
  </r>
  <r>
    <n v="22910162"/>
    <n v="23683421"/>
    <s v="ACC"/>
    <x v="468"/>
    <d v="2025-09-11T18:17:07"/>
    <s v="0 a 02 dias"/>
    <s v="0 a 02 dias"/>
    <s v="W97X77"/>
    <s v="MANUAL"/>
    <s v="SCHREINER DE OLIVEIRA/FELIPE MR"/>
    <s v="Renata Godoy Sant Anna"/>
    <s v="Clayton Alves de Rezende"/>
    <x v="371"/>
    <s v="-"/>
    <s v="-"/>
    <s v="OFF LINE"/>
    <s v="Cartão de crédito"/>
    <s v="Cartão AMEX"/>
    <s v="Aéreo"/>
    <s v="N"/>
    <s v="Grupo Basf"/>
    <s v="Basf Sa"/>
    <s v="-"/>
    <s v="Lufthansa"/>
    <n v="2953005181"/>
    <s v="FCM-OPE-SAO-PVI-BASF"/>
    <s v="-"/>
    <x v="387"/>
    <n v="1190.3399999999999"/>
    <n v="0"/>
    <n v="0"/>
    <n v="0"/>
    <n v="0"/>
    <n v="0"/>
    <s v="-"/>
    <s v="Accouting aérea não possui trechos (Bilhete: 2953005181)"/>
    <s v="MANUAL"/>
    <s v="Falta informação nos trechos"/>
    <s v="Atualização de Trechos"/>
    <s v="Dados do Fornecedor"/>
    <s v="Qualidade dos dados"/>
    <s v="GRUPO KONTIK"/>
  </r>
  <r>
    <n v="22870599"/>
    <n v="23649859"/>
    <s v="ACC01"/>
    <x v="469"/>
    <d v="2025-09-11T13:25:34"/>
    <s v="0 a 02 dias"/>
    <s v="06 a 08 dias"/>
    <s v="UNXRYB"/>
    <s v="TMS"/>
    <s v="CLERISTON FERREIRA"/>
    <s v="Catia Leite Oliveira"/>
    <s v="Catia Leite Oliveira"/>
    <x v="372"/>
    <n v="41483"/>
    <s v="-"/>
    <s v="OFF LINE"/>
    <s v="Cartão de crédito"/>
    <s v="Cartão AMEX"/>
    <s v="Aéreo"/>
    <s v="N"/>
    <s v="Grupo Motiva"/>
    <s v="Trilhos Linhas 8e9"/>
    <s v="-"/>
    <s v="Lufthansa"/>
    <n v="2971387947"/>
    <s v="KON-OPE-SAO-PVI-CCR"/>
    <s v="-"/>
    <x v="388"/>
    <n v="1600.57"/>
    <n v="0"/>
    <n v="0"/>
    <n v="0"/>
    <n v="0"/>
    <n v="0"/>
    <s v="Reserva importada do Sistema TMS. OS: 41483"/>
    <s v="Verificação de bilhetes: Bilhete 2971387947 já sendo utilizado para este fornecedor."/>
    <s v="ARGO(TMS)"/>
    <s v="Bilhete duplicado"/>
    <s v="Bilhete Já Contabilizado"/>
    <s v="Duplicidade de Contabilização"/>
    <s v="Qualidade dos dados"/>
    <s v="GRUPO KONTIK"/>
  </r>
  <r>
    <n v="22911972"/>
    <n v="23685051"/>
    <s v="ACC01"/>
    <x v="470"/>
    <d v="2025-09-11T21:54:43"/>
    <s v="0 a 02 dias"/>
    <s v="0 a 02 dias"/>
    <s v="KOQXPU"/>
    <s v="SABRE"/>
    <s v="BENSUSSAN/PRISCILLA MESSODY"/>
    <s v="Wellington Ribeiro da Silva"/>
    <s v="Eliane da Silva Souza Paula"/>
    <x v="313"/>
    <s v="KOQXPU"/>
    <s v="-"/>
    <s v="ON LINE"/>
    <s v="Cartão de crédito"/>
    <s v="Cartão AMEX"/>
    <s v="Aéreo"/>
    <s v="N"/>
    <s v="Grupo Adidas"/>
    <s v="Adidas do Brasil Ltda"/>
    <s v="-"/>
    <s v="Lufthansa"/>
    <n v="2953001171"/>
    <s v="FCM-OPE-SAO-PVI-BTC-CONCUR"/>
    <s v="-"/>
    <x v="386"/>
    <n v="59.54"/>
    <n v="1167.68"/>
    <n v="0"/>
    <n v="59.54"/>
    <n v="0"/>
    <n v="0"/>
    <s v="Reserva importada por HubTravel"/>
    <s v="Centro de custo não preenchido! (ACC01) Matrícula não preenchida! (ACC01) Nível funcionário não preenchido! (ACC01)"/>
    <s v="SABRE"/>
    <s v="Mais de um campo não preenchido"/>
    <s v="Falta de informação Gerencial"/>
    <s v="Dados do Fornecedor"/>
    <s v="Qualidade dos dados"/>
    <s v="GRUPO KONTIK"/>
  </r>
  <r>
    <n v="22905477"/>
    <n v="23679418"/>
    <s v="ACC01"/>
    <x v="471"/>
    <d v="2025-09-12T03:03:18"/>
    <s v="0 a 02 dias"/>
    <s v="0 a 02 dias"/>
    <s v="FIHATK"/>
    <s v="SABRE"/>
    <s v="GARIBIAN/SERGIO ADRIAN"/>
    <s v="Flavia Constanzi do Nascimento"/>
    <s v="Humberto da Fontoura"/>
    <x v="373"/>
    <s v="FIHATK"/>
    <s v="-"/>
    <s v="ON LINE"/>
    <s v="Cartão de crédito"/>
    <s v="Cartão de crédito"/>
    <s v="Aéreo"/>
    <s v="N"/>
    <s v="Grupo Sep"/>
    <s v="Standard And Poors Ratings do Brasil Ltda"/>
    <s v="Cliente FEE no POS"/>
    <s v="Aerolineas Argentinas"/>
    <n v="2872789884"/>
    <s v="FCM-OPE-SAO-PVI-BTC-CYTRIC-S&amp;P"/>
    <s v="-"/>
    <x v="389"/>
    <n v="0"/>
    <n v="944.28"/>
    <n v="0"/>
    <n v="0"/>
    <n v="0"/>
    <n v="0"/>
    <s v="Reserva importada por HubTravel"/>
    <s v="Centro de custo não preenchido! (ACC01) Email do passageiro não preenchido! (ACC01) Departamento não preenchido! (ACC01) Finalidade não "/>
    <s v="SABRE"/>
    <s v="Mais de um campo não preenchido"/>
    <s v="Falta de informação Gerencial"/>
    <s v="Dados do Fornecedor"/>
    <s v="Qualidade dos dados"/>
    <s v="GRUPO KONTIK"/>
  </r>
  <r>
    <n v="22909284"/>
    <n v="23682487"/>
    <s v="ACC01"/>
    <x v="472"/>
    <d v="2025-09-11T15:32:55"/>
    <s v="0 a 02 dias"/>
    <s v="0 a 02 dias"/>
    <s v="NHLJKS"/>
    <s v="SABRE"/>
    <s v="MENDES/EMILIANO"/>
    <s v="Beatrys Ferreira Rocha"/>
    <s v="Marcelo de Freitas"/>
    <x v="374"/>
    <s v="BA2908251504"/>
    <s v="-"/>
    <s v="OFF LINE"/>
    <s v="Cartão de crédito"/>
    <s v="Cartão AMEX"/>
    <s v="Aéreo"/>
    <s v="N"/>
    <s v="Grupo Basf"/>
    <s v="Basf Sa"/>
    <s v="-"/>
    <s v="Aerolineas Argentinas"/>
    <n v="2952949858"/>
    <s v="FCM-OPE-SAO-PVI-BASF"/>
    <s v="-"/>
    <x v="390"/>
    <n v="59.54"/>
    <n v="413.42"/>
    <n v="0"/>
    <n v="59.54"/>
    <n v="0"/>
    <n v="0"/>
    <s v="Reserva importada por HubTravel"/>
    <s v="Verificação de bilhetes: Bilhete 2952949858 já sendo utilizado para este fornecedor."/>
    <s v="SABRE"/>
    <s v="Bilhete duplicado"/>
    <s v="Bilhete Já Contabilizado"/>
    <s v="Duplicidade de Contabilização"/>
    <s v="Qualidade dos dados"/>
    <s v="GRUPO KONTIK"/>
  </r>
  <r>
    <n v="22911938"/>
    <n v="23685022"/>
    <s v="ACC01"/>
    <x v="473"/>
    <d v="2025-09-11T21:36:46"/>
    <s v="0 a 02 dias"/>
    <s v="0 a 02 dias"/>
    <s v="EWOAMS"/>
    <s v="SABRE"/>
    <s v="BASTOS TABET/MARIANA"/>
    <s v="Flavia Constanzi do Nascimento"/>
    <s v="Nathalia dos Santos Batista"/>
    <x v="375"/>
    <s v="EWOAMS"/>
    <s v="-"/>
    <s v="ON LINE"/>
    <s v="Invoice"/>
    <s v="Faturado"/>
    <s v="Aéreo"/>
    <s v="N"/>
    <s v="Grupo Avaya"/>
    <s v="Avaya Brasil Ltda"/>
    <s v="Cliente FEE no POS"/>
    <s v="Aerolineas Argentinas"/>
    <n v="2953005196"/>
    <s v="FCM-OPE-SAO-PVI-BTC-CONCUR-AVAYA"/>
    <s v="-"/>
    <x v="391"/>
    <n v="60.41"/>
    <n v="413.48"/>
    <n v="0"/>
    <n v="60.41"/>
    <n v="0"/>
    <n v="0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GRUPO KONTIK"/>
  </r>
  <r>
    <n v="22911975"/>
    <n v="23685056"/>
    <s v="ACC01"/>
    <x v="474"/>
    <d v="2025-09-11T21:54:44"/>
    <s v="0 a 02 dias"/>
    <s v="0 a 02 dias"/>
    <s v="SWIFKD"/>
    <s v="SABRE"/>
    <s v="SANTANA MINJORO/MARIANA"/>
    <s v="Clayton Alves de Rezende"/>
    <s v="Eliane da Silva Souza Paula"/>
    <x v="313"/>
    <s v="SWIFKD"/>
    <s v="-"/>
    <s v="ON LINE"/>
    <s v="Cartão de crédito"/>
    <s v="Cartão AMEX"/>
    <s v="Aéreo"/>
    <s v="N"/>
    <s v="Grupo Adidas"/>
    <s v="Adidas do Brasil Ltda"/>
    <s v="-"/>
    <s v="Air France"/>
    <n v="2953001168"/>
    <s v="FCM-OPE-SAO-PVI-BTC-CONCUR"/>
    <s v="-"/>
    <x v="392"/>
    <n v="59.54"/>
    <n v="1147.8499999999999"/>
    <n v="0"/>
    <n v="59.54"/>
    <n v="0"/>
    <n v="0"/>
    <s v="Reserva importada por HubTravel"/>
    <s v="Centro de custo não preenchido! (ACC01) Matrícula não preenchida! (ACC01) Nível funcionário não preenchido! (ACC01)"/>
    <s v="SABRE"/>
    <s v="Mais de um campo não preenchido"/>
    <s v="Falta de informação Gerencial"/>
    <s v="Dados do Fornecedor"/>
    <s v="Qualidade dos dados"/>
    <s v="GRUPO KONTIK"/>
  </r>
  <r>
    <n v="22911974"/>
    <n v="23685054"/>
    <s v="ACC01"/>
    <x v="475"/>
    <d v="2025-09-11T21:40:55"/>
    <s v="0 a 02 dias"/>
    <s v="0 a 02 dias"/>
    <s v="OYNVZS"/>
    <s v="SABRE"/>
    <s v="DA SILVA ROCHA PAZ/TAINA"/>
    <s v="Clayton Alves de Rezende"/>
    <s v="Adriana Vieira de Freitas dos Santos"/>
    <x v="376"/>
    <s v="EMAIL"/>
    <s v="-"/>
    <s v="OFF LINE"/>
    <s v="Invoice"/>
    <s v="Faturado"/>
    <s v="Aéreo"/>
    <s v="N"/>
    <s v="Grupo Shell"/>
    <s v="Shell"/>
    <s v="-"/>
    <s v="Copa Airlines"/>
    <n v="2953001169"/>
    <s v="FCM-OPE-SAO-PVI-SHELL"/>
    <s v="-"/>
    <x v="393"/>
    <n v="60.41"/>
    <n v="850.5"/>
    <n v="0"/>
    <n v="60.41"/>
    <n v="0"/>
    <n v="0"/>
    <s v="Reserva importada por HubTravel"/>
    <s v="Falta informar o status no trecho da accounting aérea (Bilhete: 2953001169)"/>
    <s v="SABRE"/>
    <s v="Falta informação nos trechos"/>
    <s v="Atualização de Trechos"/>
    <s v="Dados do Fornecedor"/>
    <s v="Qualidade dos dados"/>
    <s v="GRUPO KONTIK"/>
  </r>
  <r>
    <n v="22911974"/>
    <n v="23685055"/>
    <s v="ACC02"/>
    <x v="475"/>
    <d v="2025-09-11T21:40:55"/>
    <s v="0 a 02 dias"/>
    <s v="0 a 02 dias"/>
    <s v="OYNVZS"/>
    <s v="SABRE"/>
    <s v="DA SILVA ROCHA PAZ/TAINA"/>
    <s v="Clayton Alves de Rezende"/>
    <s v="Adriana Vieira de Freitas dos Santos"/>
    <x v="376"/>
    <s v="EMAIL"/>
    <s v="-"/>
    <s v="OFF LINE"/>
    <s v="?"/>
    <s v="TKT"/>
    <s v="Aéreo"/>
    <s v="N"/>
    <s v="Grupo Shell"/>
    <s v="Shell"/>
    <s v="-"/>
    <s v="Copa Airlines"/>
    <n v="2953001169"/>
    <s v="FCM-OPE-SAO-PVI-SHELL"/>
    <s v="-"/>
    <x v="6"/>
    <n v="0"/>
    <n v="0"/>
    <n v="0"/>
    <n v="0"/>
    <n v="0"/>
    <n v="0"/>
    <s v="Reserva importada por HubTravel"/>
    <s v="Falta informar o status no trecho da accounting aérea (Bilhete: 2953001169)"/>
    <s v="SABRE"/>
    <s v="Falta informação nos trechos"/>
    <s v="Atualização de Trechos"/>
    <s v="Dados do Fornecedor"/>
    <s v="Qualidade dos dados"/>
    <s v="GRUPO KONTIK"/>
  </r>
  <r>
    <n v="22905398"/>
    <n v="23679340"/>
    <s v="ACC01"/>
    <x v="476"/>
    <d v="2025-09-11T13:39:45"/>
    <s v="0 a 02 dias"/>
    <s v="0 a 02 dias"/>
    <s v="KCLSRZ"/>
    <s v="SABRE"/>
    <s v="MENDES VILANOVA E SILVA/ELCIO"/>
    <s v="Clayton Alves de Rezende"/>
    <s v="Emilia Alejandra Pacheco Maraboli"/>
    <x v="377"/>
    <s v="KCLSRZ"/>
    <s v="-"/>
    <s v="ON LINE"/>
    <s v="Invoice"/>
    <s v="Faturado"/>
    <s v="Aéreo"/>
    <s v="N"/>
    <s v="Grupo Gtm"/>
    <s v="Quantiq"/>
    <s v="-"/>
    <s v="Copa Airlines"/>
    <n v="2953001153"/>
    <s v="-"/>
    <s v="-"/>
    <x v="394"/>
    <n v="59.54"/>
    <n v="731.82"/>
    <n v="0"/>
    <n v="59.54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GRUPO KONTIK"/>
  </r>
  <r>
    <n v="22911977"/>
    <n v="23685060"/>
    <s v="ACC03"/>
    <x v="390"/>
    <d v="2025-09-11T21:40:55"/>
    <s v="0 a 02 dias"/>
    <s v="0 a 02 dias"/>
    <s v="MIDOZN"/>
    <s v="SABRE"/>
    <s v="NEVES/VICTOR BOROTO"/>
    <s v="Clayton Alves de Rezende"/>
    <s v="CT"/>
    <x v="136"/>
    <s v="MIDOZN"/>
    <s v="-"/>
    <s v="OFF LINE"/>
    <s v="?"/>
    <s v="TKT"/>
    <s v="Aéreo"/>
    <s v="N"/>
    <s v="Grupo Bosch"/>
    <s v="Robert Bosch Limitada - 9087"/>
    <s v="Cliente FEE no POS"/>
    <s v="Copa Airlines"/>
    <n v="2953011480"/>
    <s v="FCM-OPE-SAO-PVI-BOSCH"/>
    <s v="-"/>
    <x v="6"/>
    <n v="0"/>
    <n v="0"/>
    <n v="0"/>
    <n v="0"/>
    <n v="0"/>
    <n v="0"/>
    <s v="Reserva importada por HubTravel"/>
    <s v="Falta informar o status no trecho da accounting aérea (Bilhete: 2953011480)"/>
    <s v="SABRE"/>
    <s v="Falta informação nos trechos"/>
    <s v="Atualização de Trechos"/>
    <s v="Dados do Fornecedor"/>
    <s v="Qualidade dos dados"/>
    <s v="GRUPO KONTIK"/>
  </r>
  <r>
    <n v="22911977"/>
    <n v="23685058"/>
    <s v="ACC01"/>
    <x v="390"/>
    <d v="2025-09-11T21:40:55"/>
    <s v="0 a 02 dias"/>
    <s v="0 a 02 dias"/>
    <s v="MIDOZN"/>
    <s v="SABRE"/>
    <s v="NEVES/VICTOR BOROTO"/>
    <s v="Clayton Alves de Rezende"/>
    <s v="CT"/>
    <x v="136"/>
    <s v="MIDOZN"/>
    <s v="-"/>
    <s v="OFF LINE"/>
    <s v="Cartão de crédito"/>
    <s v="Cartão AMEX"/>
    <s v="Aéreo"/>
    <s v="N"/>
    <s v="Grupo Bosch"/>
    <s v="Robert Bosch Limitada - 9087"/>
    <s v="Cliente FEE no POS"/>
    <s v="Copa Airlines"/>
    <n v="2953011480"/>
    <s v="FCM-OPE-SAO-PVI-BOSCH"/>
    <s v="-"/>
    <x v="395"/>
    <n v="59.54"/>
    <n v="903.34"/>
    <n v="0"/>
    <n v="59.54"/>
    <n v="0"/>
    <n v="0"/>
    <s v="Reserva importada por HubTravel"/>
    <s v="Falta informar o status no trecho da accounting aérea (Bilhete: 2953011480)"/>
    <s v="SABRE"/>
    <s v="Falta informação nos trechos"/>
    <s v="Atualização de Trechos"/>
    <s v="Dados do Fornecedor"/>
    <s v="Qualidade dos dados"/>
    <s v="GRUPO KONTIK"/>
  </r>
  <r>
    <n v="22912167"/>
    <n v="23685219"/>
    <s v="ACC01"/>
    <x v="477"/>
    <d v="2025-09-11T22:36:29"/>
    <s v="0 a 02 dias"/>
    <s v="0 a 02 dias"/>
    <s v="GCKBBA-188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09613"/>
    <n v="23682856"/>
    <s v="ACC01"/>
    <x v="478"/>
    <d v="2025-09-11T16:10:56"/>
    <s v="0 a 02 dias"/>
    <s v="0 a 02 dias"/>
    <s v="GCKBBA-182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08985"/>
    <n v="23682223"/>
    <s v="ACC01"/>
    <x v="479"/>
    <d v="2025-09-11T13:54:28"/>
    <s v="0 a 02 dias"/>
    <s v="0 a 02 dias"/>
    <s v="GCKBBA-180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09202"/>
    <n v="23682407"/>
    <s v="ACC01"/>
    <x v="480"/>
    <d v="2025-09-11T14:52:32"/>
    <s v="0 a 02 dias"/>
    <s v="0 a 02 dias"/>
    <s v="GCKBBA-181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0012"/>
    <n v="23683228"/>
    <s v="ACC01"/>
    <x v="481"/>
    <d v="2025-09-11T17:15:37"/>
    <s v="0 a 02 dias"/>
    <s v="0 a 02 dias"/>
    <s v="GCKBBA-183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0450"/>
    <n v="23683648"/>
    <s v="ACC01"/>
    <x v="482"/>
    <d v="2025-09-11T18:16:10"/>
    <s v="0 a 02 dias"/>
    <s v="0 a 02 dias"/>
    <s v="GCKBBA-184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1398"/>
    <n v="23684562"/>
    <s v="ACC01"/>
    <x v="483"/>
    <d v="2025-09-11T19:24:39"/>
    <s v="0 a 02 dias"/>
    <s v="0 a 02 dias"/>
    <s v="GCKBBA-185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1745"/>
    <n v="23684875"/>
    <s v="ACC01"/>
    <x v="484"/>
    <d v="2025-09-11T20:27:22"/>
    <s v="0 a 02 dias"/>
    <s v="0 a 02 dias"/>
    <s v="GCKBBA-186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1897"/>
    <n v="23684991"/>
    <s v="ACC01"/>
    <x v="485"/>
    <d v="2025-09-11T21:21:21"/>
    <s v="0 a 02 dias"/>
    <s v="0 a 02 dias"/>
    <s v="GCKBBA-187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2594"/>
    <n v="23685552"/>
    <s v="ACC01"/>
    <x v="486"/>
    <d v="2025-09-12T00:27:07"/>
    <s v="0 a 02 dias"/>
    <s v="0 a 02 dias"/>
    <s v="GCKBBA-190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2326"/>
    <n v="23685338"/>
    <s v="ACC01"/>
    <x v="487"/>
    <d v="2025-09-11T23:30:34"/>
    <s v="0 a 02 dias"/>
    <s v="0 a 02 dias"/>
    <s v="GCKBBA-189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2952"/>
    <n v="23685840"/>
    <s v="ACC01"/>
    <x v="488"/>
    <d v="2025-09-12T01:39:31"/>
    <s v="0 a 02 dias"/>
    <s v="0 a 02 dias"/>
    <s v="GCKBBA-191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3073"/>
    <n v="23685902"/>
    <s v="ACC01"/>
    <x v="489"/>
    <d v="2025-09-12T02:39:42"/>
    <s v="0 a 02 dias"/>
    <s v="0 a 02 dias"/>
    <s v="GCKBBA-192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3191"/>
    <n v="23685962"/>
    <s v="ACC01"/>
    <x v="490"/>
    <d v="2025-09-12T03:39:21"/>
    <s v="0 a 02 dias"/>
    <s v="0 a 02 dias"/>
    <s v="GCKBBA-193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3310"/>
    <n v="23686026"/>
    <s v="ACC01"/>
    <x v="491"/>
    <d v="2025-09-12T04:39:27"/>
    <s v="0 a 02 dias"/>
    <s v="0 a 02 dias"/>
    <s v="GCKBBA-194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913429"/>
    <n v="23686087"/>
    <s v="ACC01"/>
    <x v="492"/>
    <d v="2025-09-12T05:52:56"/>
    <s v="0 a 02 dias"/>
    <s v="0 a 02 dias"/>
    <s v="GCKBBA-195"/>
    <s v="SABRE"/>
    <s v="PINTO DA COSTA/CRISTIANO"/>
    <s v="Wellington Ribeiro da Silva"/>
    <s v="Wellington Ribeiro da Silva"/>
    <x v="378"/>
    <s v="EMAIL"/>
    <s v="-"/>
    <s v="OFF LINE"/>
    <s v="Cartão de crédito"/>
    <s v="Cartão de crédito"/>
    <s v="Aéreo"/>
    <s v="N"/>
    <s v="Grupo Shell"/>
    <s v="Shell"/>
    <s v="-"/>
    <s v="British Airways Plc"/>
    <n v="2872755292"/>
    <s v="FCM-OPE-SAO-PVI-SHELL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s v="SABRE"/>
    <s v="Bilhete duplicado"/>
    <s v="Bilhete Já Contabilizado"/>
    <s v="Duplicidade de Contabilização"/>
    <s v="Qualidade dos dados"/>
    <s v="GRUPO KONTIK"/>
  </r>
  <r>
    <n v="22847732"/>
    <n v="23629278"/>
    <s v="ACC01"/>
    <x v="493"/>
    <d v="2025-09-12T06:33:31"/>
    <s v="0 a 02 dias"/>
    <s v="09 a 15 dias"/>
    <s v="JQJXBP"/>
    <s v="SABRE"/>
    <s v="PRATAVIERA SARTURATO/ANA CARO"/>
    <s v="Beatrys Ferreira Rocha"/>
    <s v="WY"/>
    <x v="379"/>
    <s v="JQJXBP"/>
    <s v="-"/>
    <s v="ON LINE"/>
    <s v="?"/>
    <s v="TKT"/>
    <s v="Aéreo"/>
    <s v="N"/>
    <s v="Grupo Lyondell Basell"/>
    <s v="Basell"/>
    <s v="-"/>
    <s v="United"/>
    <n v="2872746912"/>
    <s v="FCM-OPE-SAO-PVI-BTC-LYONDELL BASELL"/>
    <s v="-"/>
    <x v="6"/>
    <n v="0"/>
    <n v="422.46"/>
    <n v="0"/>
    <n v="55.65"/>
    <n v="0"/>
    <n v="0"/>
    <s v="Reserva importada por HubTravel"/>
    <s v="Falta informar o status no trecho da accounting aérea (Bilhete: 2872746912)"/>
    <s v="SABRE"/>
    <s v="Falta informação nos trechos"/>
    <s v="Atualização de Trechos"/>
    <s v="Dados do Fornecedor"/>
    <s v="Qualidade dos dados"/>
    <s v="GRUPO KONTIK"/>
  </r>
  <r>
    <n v="22847732"/>
    <n v="23629279"/>
    <s v="ACC02"/>
    <x v="493"/>
    <d v="2025-09-12T06:33:31"/>
    <s v="0 a 02 dias"/>
    <s v="09 a 15 dias"/>
    <s v="JQJXBP"/>
    <s v="SABRE"/>
    <s v="PRATAVIERA SARTURATO/ANA CARO"/>
    <s v="Beatrys Ferreira Rocha"/>
    <s v="WY"/>
    <x v="379"/>
    <s v="JQJXBP"/>
    <s v="-"/>
    <s v="ON LINE"/>
    <s v="?"/>
    <s v="TKT"/>
    <s v="Aéreo"/>
    <s v="N"/>
    <s v="Grupo Lyondell Basell"/>
    <s v="Basell"/>
    <s v="-"/>
    <s v="United"/>
    <n v="2872746912"/>
    <s v="FCM-OPE-SAO-PVI-BTC-LYONDELL BASELL"/>
    <s v="-"/>
    <x v="6"/>
    <n v="0"/>
    <n v="0"/>
    <n v="0"/>
    <n v="0"/>
    <n v="0"/>
    <n v="0"/>
    <s v="Reserva importada por HubTravel"/>
    <s v="Falta informar o status no trecho da accounting aérea (Bilhete: 2872746912)"/>
    <s v="SABRE"/>
    <s v="Falta informação nos trechos"/>
    <s v="Atualização de Trechos"/>
    <s v="Dados do Fornecedor"/>
    <s v="Qualidade dos dados"/>
    <s v="GRUPO KONTIK"/>
  </r>
  <r>
    <n v="22788418"/>
    <n v="23579962"/>
    <s v="ACC01"/>
    <x v="494"/>
    <d v="2025-08-21T22:25:37"/>
    <s v="16 a 23 dias"/>
    <s v="16 a 23 dias"/>
    <s v="UZIARG"/>
    <s v="TMS"/>
    <s v="LEILA SANTOS"/>
    <s v="ADRIANA MIRANDA COUTINHO"/>
    <s v="ADRIANA MIRANDA COUTINHO"/>
    <x v="380"/>
    <n v="10835"/>
    <s v="-"/>
    <s v="OFF LINE"/>
    <s v="Cartão de crédito"/>
    <s v="Cartão AMEX"/>
    <s v="Aéreo"/>
    <s v="N"/>
    <s v="Grupo Braskem"/>
    <s v="Braskem - Camacari"/>
    <s v="-"/>
    <s v="United"/>
    <n v="2952894768"/>
    <s v="KON-OPE-SAO-PVI-BRASKEM"/>
    <s v="-"/>
    <x v="397"/>
    <n v="497.55"/>
    <n v="0"/>
    <n v="0"/>
    <n v="0"/>
    <n v="0"/>
    <n v="0"/>
    <s v="Reserva importada do Sistema TMS. OS: 10835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2874697"/>
    <n v="23653264"/>
    <s v="ACC01"/>
    <x v="495"/>
    <d v="2025-09-11T13:25:38"/>
    <s v="0 a 02 dias"/>
    <s v="06 a 08 dias"/>
    <s v="WTAUYH"/>
    <s v="TMS"/>
    <s v="GUSTAVO YURI VIANA CICERO"/>
    <s v="Herbert Amancio de Santana"/>
    <s v="Herbert Amancio de Santana"/>
    <x v="381"/>
    <n v="79222"/>
    <s v="-"/>
    <s v="OFF LINE"/>
    <s v="Cartão de crédito"/>
    <s v="Cartão AMEX"/>
    <s v="Aéreo"/>
    <s v="N"/>
    <s v="Grupo Claro Sa"/>
    <s v="Embratel Tvsat Telecomunicacoes Sa"/>
    <s v="-"/>
    <s v="United"/>
    <n v="2952831844"/>
    <s v="KON-OPE-SAO-POS-CLARO"/>
    <s v="-"/>
    <x v="398"/>
    <n v="494.87"/>
    <n v="0"/>
    <n v="0"/>
    <n v="0"/>
    <n v="0"/>
    <n v="0"/>
    <s v="Reserva importada do Sistema TMS. OS: 79222"/>
    <s v="Verificação de bilhetes: Bilhete 2952831844 já sendo utilizado para este fornecedor."/>
    <s v="ARGO(TMS)"/>
    <s v="Bilhete duplicado"/>
    <s v="Bilhete Já Contabilizado"/>
    <s v="Duplicidade de Contabilização"/>
    <s v="Qualidade dos dados"/>
    <s v="GRUPO KONTIK"/>
  </r>
  <r>
    <n v="22899422"/>
    <n v="23674086"/>
    <s v="ACC01"/>
    <x v="496"/>
    <d v="2025-09-11T14:28:45"/>
    <s v="0 a 02 dias"/>
    <s v="0 a 02 dias"/>
    <s v="5KYVCF"/>
    <s v="TMS"/>
    <s v="MIQUEIAS SILVA COUTINHO"/>
    <s v="Tms"/>
    <s v="Tms"/>
    <x v="382"/>
    <n v="80600"/>
    <s v="-"/>
    <s v="ON LINE"/>
    <s v="Cartão de crédito"/>
    <s v="Cartão de crédito"/>
    <s v="Hotel"/>
    <s v="N"/>
    <s v="Grupo Ultra"/>
    <s v="Bahiana Distribuidora de Gas"/>
    <s v="-"/>
    <s v="Marinas Pousada"/>
    <s v="-"/>
    <s v="KON-OPE-SAO-PVI-BTC-ARGO"/>
    <s v="-"/>
    <x v="399"/>
    <n v="0"/>
    <n v="0"/>
    <n v="0"/>
    <n v="0"/>
    <n v="0"/>
    <n v="0"/>
    <s v="Reserva importada do Sistema TMS. OS: 80600"/>
    <s v="Não foi possível encontrar um contrato válido para o fornecedor 3443 (Código fornecedor) "/>
    <s v="ARGO(TMS)"/>
    <s v="Contrato de fornecedor"/>
    <s v="Análise Cadastro"/>
    <s v="Dados do Fornecedor"/>
    <s v="Qualidade dos dados"/>
    <s v="KONTIK BUSINESS TRAVEL"/>
  </r>
  <r>
    <n v="22881972"/>
    <n v="23659336"/>
    <s v="ACC01"/>
    <x v="497"/>
    <d v="2025-09-11T14:01:49"/>
    <s v="0 a 02 dias"/>
    <s v="06 a 08 dias"/>
    <s v="5KHBH0"/>
    <s v="TMS"/>
    <s v="JORGE PORTO TEIXEIRA"/>
    <s v="Tms"/>
    <s v="Tms"/>
    <x v="383"/>
    <n v="80287"/>
    <s v="-"/>
    <s v="ON LINE"/>
    <s v="Cartão de crédito"/>
    <s v="Cartão de crédito"/>
    <s v="Hotel"/>
    <s v="N"/>
    <s v="Grupo Ultra"/>
    <s v="Bahiana Distribuidora de Gas"/>
    <s v="-"/>
    <s v="Marinas Pousada"/>
    <s v="-"/>
    <s v="KON-OPE-SAO-PVI-BTC-ARGO"/>
    <s v="-"/>
    <x v="33"/>
    <n v="0"/>
    <n v="0"/>
    <n v="0"/>
    <n v="0"/>
    <n v="0"/>
    <n v="0"/>
    <s v="Reserva importada do Sistema TMS. OS: 80287"/>
    <s v="Não foi possível encontrar um contrato válido para o fornecedor 3443 (Código fornecedor) "/>
    <s v="ARGO(TMS)"/>
    <s v="Contrato de fornecedor"/>
    <s v="Análise Cadastro"/>
    <s v="Dados do Fornecedor"/>
    <s v="Qualidade dos dados"/>
    <s v="KONTIK BUSINESS TRAVEL"/>
  </r>
  <r>
    <n v="22905634"/>
    <n v="23679582"/>
    <s v="ACC03"/>
    <x v="301"/>
    <d v="2025-09-10T22:52:50"/>
    <s v="0 a 02 dias"/>
    <s v="0 a 02 dias"/>
    <s v="SQBIFXT"/>
    <s v="SABRE"/>
    <s v="PEREIRA/JOSE"/>
    <s v="Ana Clara Brime"/>
    <s v="Ana Clara Brime"/>
    <x v="229"/>
    <s v="LDQM"/>
    <s v="-"/>
    <s v="OFF LINE"/>
    <s v="Cartão de crédito"/>
    <s v="Cartão de crédito"/>
    <s v="Hotel"/>
    <s v="N"/>
    <s v="Grupo Casas Bahia"/>
    <s v="Grupo Casas Bahia S.a."/>
    <s v="-"/>
    <s v="Pajucara Praia Hotel"/>
    <s v="-"/>
    <s v="KON-OPE-RIO-PVI-CASAS BAHIA"/>
    <s v="-"/>
    <x v="40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395"/>
    <n v="23679337"/>
    <s v="ACC01"/>
    <x v="498"/>
    <d v="2025-09-11T13:35:54"/>
    <s v="0 a 02 dias"/>
    <s v="0 a 02 dias"/>
    <s v="GFPLUQC"/>
    <s v="SABRE"/>
    <s v="COSTA/MARCOS ROGERIO MR"/>
    <s v="Eliane da Silva Souza Paula"/>
    <s v="Eliane da Silva Souza Paula"/>
    <x v="348"/>
    <s v="GFPLUQ"/>
    <s v="CNF"/>
    <s v="ON LINE"/>
    <s v="Invoice"/>
    <s v="Faturado"/>
    <s v="Carro"/>
    <s v="N"/>
    <s v="Grupo Sibelco"/>
    <s v="Sibelco - Pedra do Indaia - Matriz"/>
    <s v="-"/>
    <s v="Localiza - Br - Mg - Confins - Aeroporto"/>
    <s v="-"/>
    <s v="FCM-OPE-SAO-PVI-BTC-CONCUR-SIBELCO"/>
    <s v="-"/>
    <x v="401"/>
    <n v="217.09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833882"/>
    <n v="23618654"/>
    <s v="ACC01"/>
    <x v="354"/>
    <d v="2025-08-29T12:54:25"/>
    <s v="09 a 15 dias"/>
    <s v="09 a 15 dias"/>
    <s v="AIZPOZT"/>
    <s v="SABRE"/>
    <s v="BARROS/NILSA"/>
    <s v="Ana Clara Brime"/>
    <s v="Ana Clara Brime"/>
    <x v="276"/>
    <s v="AIZPOZ"/>
    <s v="-"/>
    <s v="OFF LINE"/>
    <s v="Cartão de crédito"/>
    <s v="Cartão de crédito"/>
    <s v="Hotel"/>
    <s v="N"/>
    <s v="Grupo Casas Bahia"/>
    <s v="Grupo Casas Bahia S.a."/>
    <s v="-"/>
    <s v="Vale Verde Hotel"/>
    <s v="-"/>
    <s v="KON-OPE-RIO-PVI-CASAS BAHIA"/>
    <s v="-"/>
    <x v="402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833882"/>
    <n v="23618657"/>
    <s v="ACC04"/>
    <x v="354"/>
    <d v="2025-08-29T12:54:25"/>
    <s v="09 a 15 dias"/>
    <s v="09 a 15 dias"/>
    <s v="AIZPOZT"/>
    <s v="SABRE"/>
    <s v="BARROS/NILSA"/>
    <s v="Ana Clara Brime"/>
    <s v="Ana Clara Brime"/>
    <x v="276"/>
    <s v="AIZPOZ"/>
    <s v="-"/>
    <s v="OFF LINE"/>
    <s v="Cartão de crédito"/>
    <s v="Cartão de crédito"/>
    <s v="Hotel"/>
    <s v="N"/>
    <s v="Grupo Casas Bahia"/>
    <s v="Grupo Casas Bahia S.a."/>
    <s v="-"/>
    <s v="Vale Verde Hotel"/>
    <s v="-"/>
    <s v="KON-OPE-RIO-PVI-CASAS BAHIA"/>
    <s v="-"/>
    <x v="260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909268"/>
    <n v="23682470"/>
    <s v="ACC01"/>
    <x v="123"/>
    <d v="2025-09-11T15:10:43"/>
    <s v="0 a 02 dias"/>
    <s v="0 a 02 dias"/>
    <s v="GKSNPUT"/>
    <s v="SABRE"/>
    <s v="ISMAEL/MARCELO MANIERO MR"/>
    <s v="Marcelo de Freitas"/>
    <s v="Marcelo de Freitas"/>
    <x v="116"/>
    <s v="BA0909250955"/>
    <s v="-"/>
    <s v="OFF LINE"/>
    <s v="Pagamento direto"/>
    <s v="Pagamento direto"/>
    <s v="Hotel"/>
    <s v="N"/>
    <s v="Grupo Basf"/>
    <s v="Basf Sa"/>
    <s v="-"/>
    <s v="Hotel Bahamas"/>
    <s v="-"/>
    <s v="FCM-OPE-SAO-PVI-BASF"/>
    <s v="-"/>
    <x v="40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887680"/>
    <n v="23663108"/>
    <s v="ACC01"/>
    <x v="499"/>
    <d v="2025-09-08T10:03:25"/>
    <s v="03 a 05 dias"/>
    <s v="03 a 05 dias"/>
    <s v="5KXC8B"/>
    <s v="TMS"/>
    <s v="LUCAS SANTOS"/>
    <s v="Tms"/>
    <s v="Tms"/>
    <x v="384"/>
    <n v="529"/>
    <s v="-"/>
    <s v="OFF LINE"/>
    <s v="Invoice"/>
    <s v="Faturado"/>
    <s v="Hotel"/>
    <s v="N"/>
    <s v="Grupo Benner"/>
    <s v="Benner Sistemas - Blumenau"/>
    <s v="-"/>
    <s v="55 - Rio Copacabana"/>
    <s v="-"/>
    <s v="-"/>
    <s v="-"/>
    <x v="278"/>
    <n v="0"/>
    <n v="0"/>
    <n v="0"/>
    <n v="0"/>
    <n v="0"/>
    <n v="0"/>
    <s v="Reserva importada do Sistema TMS. OS: 529"/>
    <s v="Empenho/departamento não preenchido! (ACC01) Matrícula não preenchida! (ACC01) Canal de venda não preenchido! (ACC01)"/>
    <s v="ARGO(TMS)"/>
    <s v="Mais de um campo não preenchido"/>
    <s v="Falta de informação Gerencial"/>
    <s v="Dados do Fornecedor"/>
    <s v="Qualidade dos dados"/>
    <s v="KONTIK BUSINESS TRAVEL"/>
  </r>
  <r>
    <n v="22905640"/>
    <n v="23679595"/>
    <s v="ACC02"/>
    <x v="300"/>
    <d v="2025-09-10T22:53:08"/>
    <s v="0 a 02 dias"/>
    <s v="0 a 02 dias"/>
    <s v="DJCWSAT"/>
    <s v="SABRE"/>
    <s v="MADRUGA/ADENILSON"/>
    <s v="Ana Clara Brime"/>
    <s v="Ana Clara Brime"/>
    <x v="228"/>
    <s v="LDKC"/>
    <s v="-"/>
    <s v="OFF LINE"/>
    <s v="Cartão de crédito"/>
    <s v="Cartão de crédito"/>
    <s v="Hotel"/>
    <s v="N"/>
    <s v="Grupo Casas Bahia"/>
    <s v="Grupo Casas Bahia S.a."/>
    <s v="-"/>
    <s v="Hotel Stelter"/>
    <s v="-"/>
    <s v="KON-OPE-RIO-PVI-CASAS BAHIA"/>
    <s v="-"/>
    <x v="3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483"/>
    <n v="23679424"/>
    <s v="ACC01"/>
    <x v="500"/>
    <d v="2025-09-11T13:47:30"/>
    <s v="0 a 02 dias"/>
    <s v="0 a 02 dias"/>
    <s v="YZGECUC"/>
    <s v="SABRE"/>
    <s v="DE LIMA/FELIPE AUGUSTO MR"/>
    <s v="Paulo Roberto Mendes da Silva"/>
    <s v="Paulo Roberto Mendes da Silva"/>
    <x v="385"/>
    <s v="YZGECU"/>
    <s v="XAP"/>
    <s v="ON LINE"/>
    <s v="Invoice"/>
    <s v="Faturado"/>
    <s v="Carro"/>
    <s v="N"/>
    <s v="Grupo Honeywell"/>
    <s v="Honeywell"/>
    <s v="Cliente FEE no POS"/>
    <s v="Localiza - Br - Sc - Chapeco - Aeroporto"/>
    <s v="-"/>
    <s v="FCM-OPE-SAO-PVI-BTC-CONCUR-HONEYWELL"/>
    <s v="-"/>
    <x v="404"/>
    <n v="110.43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888755"/>
    <n v="23664258"/>
    <s v="ACC01"/>
    <x v="501"/>
    <d v="2025-09-11T13:25:42"/>
    <s v="0 a 02 dias"/>
    <s v="03 a 05 dias"/>
    <s v="UZARHM"/>
    <s v="TMS"/>
    <s v="VINICIUS BARRETO"/>
    <s v="Cintya Cocco Figueiredo"/>
    <s v="Cintya Cocco Figueiredo"/>
    <x v="385"/>
    <n v="3807"/>
    <s v="-"/>
    <s v="OFF LINE"/>
    <s v="Cartão de crédito"/>
    <s v="Cartão de crédito"/>
    <s v="Aéreo"/>
    <s v="N"/>
    <s v="Grupo Epson"/>
    <s v="Epson"/>
    <s v="-"/>
    <s v="Emirates Airlines"/>
    <n v="2952959220"/>
    <s v="KON-OPE-SAO-PVI-BTC-ARGO"/>
    <s v="-"/>
    <x v="405"/>
    <n v="3418.27"/>
    <n v="0"/>
    <n v="0"/>
    <n v="0"/>
    <n v="0"/>
    <n v="0"/>
    <s v="Reserva importada do Sistema TMS. OS: 3807"/>
    <s v="Verificação de bilhetes: Bilhete 2952959220 já sendo utilizado para este fornecedor."/>
    <s v="ARGO(TMS)"/>
    <s v="Bilhete duplicado"/>
    <s v="Bilhete Já Contabilizado"/>
    <s v="Duplicidade de Contabilização"/>
    <s v="Qualidade dos dados"/>
    <s v="GRUPO KONTIK"/>
  </r>
  <r>
    <n v="22910566"/>
    <n v="23683752"/>
    <s v="ACC01"/>
    <x v="502"/>
    <d v="2025-09-11T18:18:49"/>
    <s v="0 a 02 dias"/>
    <s v="0 a 02 dias"/>
    <s v="UJ2VYS"/>
    <s v="EBOOKING"/>
    <s v="Rodrigues Pinto/Cristian"/>
    <s v="Kontrip"/>
    <s v="Kontrip"/>
    <x v="386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852567250"/>
    <s v="KONTRIP"/>
    <s v="-"/>
    <x v="406"/>
    <n v="0"/>
    <n v="0"/>
    <n v="0"/>
    <n v="0"/>
    <n v="0"/>
    <n v="40"/>
    <s v="obs"/>
    <s v="Pnr já existente. A duplicidade de rloc é permitida apenas 6 meses após o último pnr emitido"/>
    <s v="KONTRIP"/>
    <s v="Duplicidade de RLOC"/>
    <s v="Campo RLOC"/>
    <s v="Duplicidade de Contabilização"/>
    <s v="Qualidade dos dados"/>
    <s v="KONTRIP VIAGENS"/>
  </r>
  <r>
    <n v="22909199"/>
    <n v="23682402"/>
    <s v="ACC01"/>
    <x v="503"/>
    <d v="2025-09-11T14:48:57"/>
    <s v="0 a 02 dias"/>
    <s v="0 a 02 dias"/>
    <s v="PGLMHI"/>
    <s v="EBOOKING"/>
    <s v="FONTELES/WEYDSON"/>
    <s v="Kontrip"/>
    <s v="Kontrip"/>
    <x v="387"/>
    <s v="-"/>
    <s v="-"/>
    <s v="OFF LINE"/>
    <s v="Cartão de crédito"/>
    <s v="Cartão de crédito"/>
    <s v="Aéreo"/>
    <s v="N"/>
    <s v="Grupo Kontrip"/>
    <s v="Instituto de Tecnologia Educacional"/>
    <s v="-"/>
    <s v="Azul Linhas Aereas"/>
    <n v="863366431"/>
    <s v="KONTRIP"/>
    <s v="-"/>
    <x v="407"/>
    <n v="51.67"/>
    <n v="0"/>
    <n v="0"/>
    <n v="0"/>
    <n v="0"/>
    <n v="113.69"/>
    <s v="obs"/>
    <s v="Não foi possível encontrar configuração válida para Administradora de código 1 e Data Emissão 11/09/2025"/>
    <s v="KONTRIP"/>
    <s v="Não identificado"/>
    <s v="Análise Benner"/>
    <s v="Sistema"/>
    <s v="Qualidade dos dados"/>
    <s v="KONTRIP VIAGENS"/>
  </r>
  <r>
    <n v="22889488"/>
    <n v="23664975"/>
    <s v="ACC01"/>
    <x v="504"/>
    <d v="2025-09-12T05:32:00"/>
    <s v="0 a 02 dias"/>
    <s v="03 a 05 dias"/>
    <s v="HRJOBA"/>
    <s v="SABRE"/>
    <s v="GRANGEIRO/FERNANDO MORENO"/>
    <s v="CT"/>
    <s v="CT"/>
    <x v="388"/>
    <s v="HRJOBA"/>
    <s v="-"/>
    <s v="ON LINE"/>
    <s v="Cartão de crédito"/>
    <s v="Cartão AMEX"/>
    <s v="Aéreo"/>
    <s v="N"/>
    <s v="Grupo Bosch"/>
    <s v="Robert Bosch Limitada - 908a"/>
    <s v="Cliente FEE no POS"/>
    <s v="Azul Linhas Aereas"/>
    <n v="7700076855"/>
    <s v="FCM-OPE-SAO-PVI-BOSCH"/>
    <s v="-"/>
    <x v="6"/>
    <n v="0"/>
    <n v="0"/>
    <n v="0"/>
    <n v="0"/>
    <n v="0"/>
    <n v="18.8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860018"/>
    <n v="23640055"/>
    <s v="ACC01"/>
    <x v="505"/>
    <d v="2025-09-11T13:28:02"/>
    <s v="0 a 02 dias"/>
    <s v="09 a 15 dias"/>
    <s v="GZLNFC"/>
    <s v="SABRE"/>
    <s v="SEMEAO/JOAO OTTI"/>
    <s v="CT"/>
    <s v="CT"/>
    <x v="389"/>
    <s v="GZLNFC"/>
    <s v="-"/>
    <s v="ON LINE"/>
    <s v="Cartão de crédito"/>
    <s v="Cartão AMEX"/>
    <s v="Aéreo"/>
    <s v="N"/>
    <s v="Grupo Bosch"/>
    <s v="Robert Bosch Limitada - 9085"/>
    <s v="Cliente FEE no POS"/>
    <s v="Azul Linhas Aereas"/>
    <n v="7700076531"/>
    <s v="FCM-OPE-SAO-PVI-BOSCH"/>
    <s v="-"/>
    <x v="6"/>
    <n v="0"/>
    <n v="0"/>
    <n v="0"/>
    <n v="0"/>
    <n v="0"/>
    <n v="19.03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905554"/>
    <n v="23679492"/>
    <s v="ACC01"/>
    <x v="506"/>
    <d v="2025-09-11T13:44:44"/>
    <s v="0 a 02 dias"/>
    <s v="0 a 02 dias"/>
    <s v="ISTIWA"/>
    <s v="SABRE"/>
    <s v="OLIVEIRA/ALINE ALVES DE"/>
    <s v="CT"/>
    <s v="CT"/>
    <x v="390"/>
    <s v="HMQN2A"/>
    <s v="-"/>
    <s v="ON LINE"/>
    <s v="Cartão de crédito"/>
    <s v="Cartão AMEX"/>
    <s v="Aéreo"/>
    <s v="N"/>
    <s v="Grupo Bosch"/>
    <s v="Ctp - Planta Curitiba"/>
    <s v="Cliente FEE no POS"/>
    <s v="Azul Linhas Aereas"/>
    <n v="3023447716"/>
    <s v="FCM-OPE-SAO-PVI-BOSCH"/>
    <s v="-"/>
    <x v="408"/>
    <n v="77.040000000000006"/>
    <n v="0"/>
    <n v="0"/>
    <n v="0"/>
    <n v="0"/>
    <n v="0"/>
    <s v="Reserva importada por HubTravel"/>
    <s v="Pnr já existente. A duplicidade de rloc é permitida apenas 6 meses após o último pnr emitido"/>
    <s v="SABRE"/>
    <s v="Duplicidade de RLOC"/>
    <s v="Campo RLOC"/>
    <s v="Duplicidade de Contabilização"/>
    <s v="Qualidade dos dados"/>
    <s v="GRUPO KONTIK"/>
  </r>
  <r>
    <n v="22905573"/>
    <n v="23679521"/>
    <s v="ACC01"/>
    <x v="507"/>
    <d v="2025-09-11T13:44:45"/>
    <s v="0 a 02 dias"/>
    <s v="0 a 02 dias"/>
    <s v="OXGKSW"/>
    <s v="SABRE"/>
    <s v="LICIOTI/MAURICIO DE SOUZA"/>
    <s v="CT"/>
    <s v="CT"/>
    <x v="391"/>
    <s v="ZQG4RK"/>
    <s v="-"/>
    <s v="ON LINE"/>
    <s v="Cartão de crédito"/>
    <s v="Cartão AMEX"/>
    <s v="Aéreo"/>
    <s v="N"/>
    <s v="Grupo Bosch"/>
    <s v="Bosch Solucoes Integradas Brasil Ltda"/>
    <s v="Cliente FEE no POS"/>
    <s v="Azul Linhas Aereas"/>
    <n v="7700076966"/>
    <s v="FCM-OPE-SAO-PVI-BOSCH"/>
    <s v="-"/>
    <x v="6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913624"/>
    <n v="23686213"/>
    <s v="ACC01"/>
    <x v="508"/>
    <d v="2025-09-12T06:54:37"/>
    <s v="0 a 02 dias"/>
    <s v="0 a 02 dias"/>
    <s v="SATMBD"/>
    <s v="SABRE"/>
    <s v="AFONSO DE AZEVEDO/EVANDRO AFONSO"/>
    <s v="Marcelo Pereira de Melo"/>
    <s v="Marcelo Pereira de Melo"/>
    <x v="392"/>
    <s v="BA10092025"/>
    <s v="-"/>
    <s v="OFF LINE"/>
    <s v="Cartão de crédito"/>
    <s v="Cartão AMEX"/>
    <s v="Aéreo"/>
    <s v="N"/>
    <s v="Grupo Basf"/>
    <s v="Suvinil"/>
    <s v="-"/>
    <s v="Azul Linhas Aereas"/>
    <n v="7700077102"/>
    <s v="FCM-OPE-SAO-PVI-BASF"/>
    <s v="-"/>
    <x v="409"/>
    <n v="93.5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909646"/>
    <n v="23682890"/>
    <s v="ACC01"/>
    <x v="509"/>
    <d v="2025-09-12T05:52:55"/>
    <s v="0 a 02 dias"/>
    <s v="0 a 02 dias"/>
    <s v="EFDWLW"/>
    <s v="SABRE"/>
    <s v="ZAGATO SR/GABRIELA PESSOA"/>
    <s v="Nathalia dos Santos Batista"/>
    <s v="Nathalia dos Santos Batista"/>
    <x v="393"/>
    <s v="UMBER-"/>
    <s v="-"/>
    <s v="OFF LINE"/>
    <s v="Cartão de crédito"/>
    <s v="Cartão de crédito"/>
    <s v="Aéreo"/>
    <s v="N"/>
    <s v="Grupo Nielseniq"/>
    <s v="Nielseniq do Brasil"/>
    <s v="Cliente FEE no POS"/>
    <s v="Azul Linhas Aereas"/>
    <n v="7700077050"/>
    <s v="FCM-OPE-SAO-PVI-BTC-CONCUR-NIELSENIQ"/>
    <s v="-"/>
    <x v="410"/>
    <n v="78.67"/>
    <n v="0"/>
    <n v="0"/>
    <n v="0"/>
    <n v="0"/>
    <n v="64.95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905638"/>
    <n v="23679589"/>
    <s v="ACC02"/>
    <x v="298"/>
    <d v="2025-09-10T22:53:07"/>
    <s v="0 a 02 dias"/>
    <s v="0 a 02 dias"/>
    <s v="HOOIKPT"/>
    <s v="SABRE"/>
    <s v="BARROS/NILSA"/>
    <s v="Ana Clara Brime"/>
    <s v="Ana Clara Brime"/>
    <x v="226"/>
    <s v="LDM3"/>
    <s v="-"/>
    <s v="OFF LINE"/>
    <s v="Cartão de crédito"/>
    <s v="Cartão de crédito"/>
    <s v="Hotel"/>
    <s v="N"/>
    <s v="Grupo Casas Bahia"/>
    <s v="Grupo Casas Bahia S.a."/>
    <s v="-"/>
    <s v="Hotel Tokyoin"/>
    <s v="-"/>
    <s v="KON-OPE-RIO-PVI-CASAS BAHIA"/>
    <s v="-"/>
    <x v="4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33882"/>
    <n v="23618655"/>
    <s v="ACC02"/>
    <x v="354"/>
    <d v="2025-08-29T12:54:25"/>
    <s v="09 a 15 dias"/>
    <s v="09 a 15 dias"/>
    <s v="AIZPOZT"/>
    <s v="SABRE"/>
    <s v="BARROS/NILSA"/>
    <s v="Ana Clara Brime"/>
    <s v="Ana Clara Brime"/>
    <x v="276"/>
    <s v="AIZPOZ"/>
    <s v="-"/>
    <s v="OFF LINE"/>
    <s v="Cartão de crédito"/>
    <s v="Cartão de crédito"/>
    <s v="Hotel"/>
    <s v="N"/>
    <s v="Grupo Casas Bahia"/>
    <s v="Grupo Casas Bahia S.a."/>
    <s v="-"/>
    <s v="Hotel Tokyoin"/>
    <s v="-"/>
    <s v="KON-OPE-RIO-PVI-CASAS BAHIA"/>
    <s v="-"/>
    <x v="41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2905482"/>
    <n v="23679423"/>
    <s v="ACC01"/>
    <x v="510"/>
    <d v="2025-09-11T13:47:30"/>
    <s v="0 a 02 dias"/>
    <s v="0 a 02 dias"/>
    <s v="YZGECUT"/>
    <s v="SABRE"/>
    <s v="DE LIMA/FELIPE AUGUSTO MR"/>
    <s v="Paulo Roberto Mendes da Silva"/>
    <s v="Paulo Roberto Mendes da Silva"/>
    <x v="385"/>
    <s v="YZGECU"/>
    <s v="-"/>
    <s v="ON LINE"/>
    <s v="Invoice"/>
    <s v="Faturado"/>
    <s v="Hotel"/>
    <s v="N"/>
    <s v="Grupo Honeywell"/>
    <s v="Honeywell"/>
    <s v="Cliente FEE no POS"/>
    <s v="Hotel Joacaba"/>
    <s v="-"/>
    <s v="FCM-OPE-SAO-PVI-BTC-CONCUR-HONEYWELL"/>
    <s v="-"/>
    <x v="177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793818"/>
    <n v="23584618"/>
    <s v="ACC01"/>
    <x v="511"/>
    <d v="2025-09-11T13:36:14"/>
    <s v="0 a 02 dias"/>
    <s v="16 a 23 dias"/>
    <s v="CHCYXJT"/>
    <s v="SABRE"/>
    <s v="QUAIATO/DAVI EDVALDO"/>
    <s v="WS"/>
    <s v="WS"/>
    <x v="394"/>
    <s v="CHCYXJ"/>
    <s v="-"/>
    <s v="ON LINE"/>
    <s v="Cartão de crédito"/>
    <s v="Cartão de crédito"/>
    <s v="Hotel"/>
    <s v="N"/>
    <s v="Grupo Glory"/>
    <s v="Glory"/>
    <s v="-"/>
    <s v="Fiesta Inn Insurgts Sur"/>
    <s v="-"/>
    <s v="FCM-OPE-SAO-PVI-BTC-CONCUR"/>
    <s v="-"/>
    <x v="412"/>
    <n v="211.96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889075"/>
    <n v="23664565"/>
    <s v="ACC01"/>
    <x v="512"/>
    <d v="2025-09-11T13:28:08"/>
    <s v="0 a 02 dias"/>
    <s v="03 a 05 dias"/>
    <s v="DIGGYU"/>
    <s v="SABRE"/>
    <s v="MENDONCA DE BARROS/FERNANDO JOSE"/>
    <s v="Wellington Ribeiro da Silva"/>
    <s v="Renata Rosenthal dos Santos"/>
    <x v="395"/>
    <s v="DIGGYU"/>
    <s v="-"/>
    <s v="ON LINE"/>
    <s v="Cartão de crédito"/>
    <s v="Cartão de crédito"/>
    <s v="Aéreo"/>
    <s v="N"/>
    <s v="Grupo Ihs"/>
    <s v="I - Systems"/>
    <s v="-"/>
    <s v="Tap Air Portugal"/>
    <n v="2952935706"/>
    <s v="FCM-OPE-SAO-PVI-BTC-CONCUR"/>
    <s v="-"/>
    <x v="413"/>
    <n v="59.54"/>
    <n v="899.24"/>
    <n v="0"/>
    <n v="0"/>
    <n v="0"/>
    <n v="0"/>
    <s v="Reserva importada por HubTravel"/>
    <s v="Empenho/departamento não preenchido! (ACC02) Matrícula não preenchi"/>
    <s v="SABRE"/>
    <s v="Empenho/departamento"/>
    <s v="Falta de informação Gerencial"/>
    <s v="Dados do Fornecedor"/>
    <s v="Qualidade dos dados"/>
    <s v="GRUPO KONTIK"/>
  </r>
  <r>
    <n v="22889075"/>
    <n v="23665224"/>
    <s v="ACC02"/>
    <x v="512"/>
    <d v="2025-09-11T13:28:08"/>
    <s v="0 a 02 dias"/>
    <s v="03 a 05 dias"/>
    <s v="DIGGYU"/>
    <s v="SABRE"/>
    <s v="MENDONCA DE BARROS/FERNANDO J"/>
    <s v="Wellington Ribeiro da Silva"/>
    <s v="Renata Rosenthal dos Santos"/>
    <x v="395"/>
    <s v="DIGGYU"/>
    <s v="-"/>
    <s v="ON LINE"/>
    <s v="Invoice"/>
    <s v="Faturado"/>
    <s v="Aéreo"/>
    <s v="N"/>
    <s v="Grupo Ihs"/>
    <s v="I - Systems"/>
    <s v="-"/>
    <s v="Tap Air Portugal"/>
    <n v="2952935706"/>
    <s v="FCM-OPE-SAO-PVI-BTC-CONCUR"/>
    <s v="-"/>
    <x v="414"/>
    <n v="0"/>
    <n v="818.36"/>
    <n v="0"/>
    <n v="59.54"/>
    <n v="0"/>
    <n v="0"/>
    <s v="Reserva importada por HubTravel"/>
    <s v="Empenho/departamento não preenchido! (ACC02) Matrícula não preenchi"/>
    <s v="SABRE"/>
    <s v="Empenho/departamento"/>
    <s v="Falta de informação Gerencial"/>
    <s v="Dados do Fornecedor"/>
    <s v="Qualidade dos dados"/>
    <s v="GRUPO KONTIK"/>
  </r>
  <r>
    <n v="22889118"/>
    <n v="23664611"/>
    <s v="ACC01"/>
    <x v="513"/>
    <d v="2025-09-11T13:28:08"/>
    <s v="0 a 02 dias"/>
    <s v="03 a 05 dias"/>
    <s v="DMCHDL"/>
    <s v="SABRE"/>
    <s v="SANTOS/EVAIR SOARES DOS"/>
    <s v="Flavia Constanzi do Nascimento"/>
    <s v="WY"/>
    <x v="396"/>
    <s v="DMCHDL"/>
    <s v="-"/>
    <s v="ON LINE"/>
    <s v="Invoice"/>
    <s v="Faturado"/>
    <s v="Aéreo"/>
    <s v="N"/>
    <s v="Grupo Syntegon"/>
    <s v="Syntegon Tecnologia de Embalagem Limitada"/>
    <s v="-"/>
    <s v="Alitalia"/>
    <n v="2952935708"/>
    <s v="-"/>
    <s v="-"/>
    <x v="415"/>
    <n v="59.54"/>
    <n v="178.76"/>
    <n v="0"/>
    <n v="59.54"/>
    <n v="0"/>
    <n v="0"/>
    <s v="Reserva importada por HubTravel"/>
    <s v="Empenho/departamento não preenchido! (ACC01) Matrícula não preenchida! (ACC01) Canal de venda não preenchido! (ACC01) Finalidade não "/>
    <s v="SABRE"/>
    <s v="Mais de um campo não preenchido"/>
    <s v="Falta de informação Gerencial"/>
    <s v="Dados do Fornecedor"/>
    <s v="Qualidade dos dados"/>
    <s v="GRUPO KONTIK"/>
  </r>
  <r>
    <n v="22905519"/>
    <n v="23679457"/>
    <s v="ACC01"/>
    <x v="514"/>
    <d v="2025-09-11T13:48:05"/>
    <s v="0 a 02 dias"/>
    <s v="0 a 02 dias"/>
    <s v="WKHQLXT"/>
    <s v="SABRE"/>
    <s v="DE ALMEIDA BELTRAO/RAPHAEL MARQUES BATISTA"/>
    <s v="Paulo Roberto Mendes da Silva"/>
    <s v="Paulo Roberto Mendes da Silva"/>
    <x v="397"/>
    <s v="WKHQLX"/>
    <s v="-"/>
    <s v="ON LINE"/>
    <s v="Invoice"/>
    <s v="Faturado"/>
    <s v="Hotel"/>
    <s v="N"/>
    <s v="Grupo Honeywell"/>
    <s v="Honeywell"/>
    <s v="Cliente FEE no POS"/>
    <s v="Blue Tree Premium Morumbi"/>
    <s v="-"/>
    <s v="FCM-OPE-SAO-PVI-BTC-CONCUR-HONEYWELL"/>
    <s v="-"/>
    <x v="416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912002"/>
    <n v="23685092"/>
    <s v="ACC01"/>
    <x v="515"/>
    <d v="2025-09-12T05:20:26"/>
    <s v="0 a 02 dias"/>
    <s v="0 a 02 dias"/>
    <s v="YKMZCBT"/>
    <s v="SABRE"/>
    <s v="VASCONCELLOS/ROBERTO GOZ"/>
    <s v="Paulo Roberto Mendes da Silva"/>
    <s v="Paulo Roberto Mendes da Silva"/>
    <x v="398"/>
    <s v="YKMZCB"/>
    <s v="-"/>
    <s v="ON LINE"/>
    <s v="Cartão de crédito"/>
    <s v="Cartão de crédito"/>
    <s v="Hotel"/>
    <s v="N"/>
    <s v="Grupo Honeywell"/>
    <s v="Honeywell"/>
    <s v="Cliente FEE no POS"/>
    <s v="Novotel Rio de Janeiro Parque Olimpico"/>
    <s v="-"/>
    <s v="FCM-OPE-SAO-PVI-BTC-CONCUR-HONEYWELL"/>
    <s v="-"/>
    <x v="417"/>
    <n v="20.3"/>
    <n v="0"/>
    <n v="0"/>
    <n v="0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834448"/>
    <n v="23619168"/>
    <s v="ACC01"/>
    <x v="516"/>
    <d v="2025-09-03T14:05:16"/>
    <s v="09 a 15 dias"/>
    <s v="09 a 15 dias"/>
    <s v="4YGQ3J-F"/>
    <s v="MANUAL"/>
    <s v="IVAN TOLDO"/>
    <s v="Tms"/>
    <s v="Demetrius Pepe Miguel"/>
    <x v="399"/>
    <n v="3972"/>
    <s v="Campinas / CPQ"/>
    <s v="OFF LINE"/>
    <s v="Invoice"/>
    <s v="Faturado"/>
    <s v="Carro"/>
    <s v="S"/>
    <s v="Grupo Braskem"/>
    <s v="Braskem - Camacari"/>
    <s v="-"/>
    <s v="Movida - Br - Sp - Campinas - Parque Viracopos"/>
    <s v="-"/>
    <s v="KON-OPE-SAO-PVI-BRASKEM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s v="MANUAL"/>
    <s v="Falta de informação Gerencial"/>
    <s v="Mais de um campo não preenchido"/>
    <s v="Dados do Fornecedor"/>
    <s v="Sistêmico"/>
    <s v="KONTIK BUSINESS TRAVEL"/>
  </r>
  <r>
    <n v="22826117"/>
    <n v="23611361"/>
    <s v="ACC01"/>
    <x v="517"/>
    <d v="2025-09-03T13:45:44"/>
    <s v="09 a 15 dias"/>
    <s v="09 a 15 dias"/>
    <s v="4YGQ3J-F1"/>
    <s v="MANUAL"/>
    <s v="IVAN TOLDO"/>
    <s v="Tms"/>
    <s v="Tms"/>
    <x v="400"/>
    <n v="3972"/>
    <s v="Campinas / CPQ"/>
    <s v="OFF LINE"/>
    <s v="Invoice"/>
    <s v="Faturado"/>
    <s v="Carro"/>
    <s v="N"/>
    <s v="Grupo Braskem"/>
    <s v="Braskem - Camacari"/>
    <s v="-"/>
    <s v="Movida - Br - Sp - Campinas - Parque Viracopos"/>
    <s v="-"/>
    <s v="KON-OPE-SAO-PVI-BRASKEM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s v="MANUAL"/>
    <s v="Falta de informação Gerencial"/>
    <s v="Mais de um campo não preenchido"/>
    <s v="Dados do Fornecedor"/>
    <s v="Sistêmico"/>
    <s v="KONTIK BUSINESS TRAVEL"/>
  </r>
  <r>
    <n v="22911994"/>
    <n v="23685081"/>
    <s v="ACC01"/>
    <x v="518"/>
    <d v="2025-09-11T21:45:39"/>
    <s v="0 a 02 dias"/>
    <s v="0 a 02 dias"/>
    <s v="JCFRXLT"/>
    <s v="SABRE"/>
    <s v="GAUTHIER/FREDERIC"/>
    <s v="Poliana Cardoso da Silva"/>
    <s v="Poliana Cardoso da Silva"/>
    <x v="401"/>
    <s v="JCFRXL"/>
    <s v="-"/>
    <s v="ON LINE"/>
    <s v="Cartão de crédito"/>
    <s v="Cartão de crédito"/>
    <s v="Hotel"/>
    <s v="N"/>
    <s v="Grupo Casas Bahia"/>
    <s v="Grupo Casas Bahia S.a."/>
    <s v="-"/>
    <s v="Grand Mercure Rio de Janeiro Copacabana"/>
    <s v="-"/>
    <s v="KON-OPE-RIO-PVI-CASAS BAHIA"/>
    <s v="-"/>
    <x v="419"/>
    <n v="101.5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902605"/>
    <n v="23676677"/>
    <s v="ACC01"/>
    <x v="519"/>
    <d v="2025-09-11T04:02:00"/>
    <s v="0 a 02 dias"/>
    <s v="0 a 02 dias"/>
    <s v="H4595529"/>
    <s v="GOVER"/>
    <s v="LEONARDO  DE SOUZA BOREGIO"/>
    <s v="Ingrid Vianna Vargas de Oliveira"/>
    <s v="Ingrid Vianna Vargas de Oliveira"/>
    <x v="402"/>
    <n v="4595529"/>
    <s v="-"/>
    <s v="OFF LINE"/>
    <s v="Invoice"/>
    <s v="Cartão de crédito"/>
    <s v="Hotel"/>
    <s v="N"/>
    <s v="Grupo British American Tobacco"/>
    <s v="Souza Cruz"/>
    <s v="-"/>
    <s v="Hotel Napoli"/>
    <s v="-"/>
    <s v="FCM-OPE-SAO-PVI-BAT"/>
    <s v="-"/>
    <x v="420"/>
    <n v="0"/>
    <n v="0"/>
    <n v="0"/>
    <n v="0"/>
    <n v="0"/>
    <n v="0"/>
    <s v="Reserva importada do sistema Gover. Id: 4595529"/>
    <s v=" Módulo Operações    -&gt; Configurações      -&gt; Configurações do sistema turismo        -&gt; Importação das vendas          -&gt; Entradas/Saídas  Para o "/>
    <s v="GOVER"/>
    <s v="Forma de Pagamento indevida"/>
    <s v="Forma PG. e REC."/>
    <s v="Dados do Fornecedor"/>
    <s v="Qualidade dos dados"/>
    <s v="KONTIK BUSINESS TRAVEL"/>
  </r>
  <r>
    <n v="22829835"/>
    <n v="23615261"/>
    <s v="ACC01"/>
    <x v="520"/>
    <d v="2025-08-28T19:01:20"/>
    <s v="09 a 15 dias"/>
    <s v="09 a 15 dias"/>
    <n v="5007631"/>
    <s v="GOVER"/>
    <s v="Felipe Furini Soares"/>
    <s v="Marcos de Oliveira Miklos"/>
    <s v="Marcos de Oliveira Miklos"/>
    <x v="11"/>
    <n v="4589678"/>
    <s v="-"/>
    <s v="OFF LINE"/>
    <s v="Invoice"/>
    <s v="Faturado"/>
    <s v="Hotel"/>
    <s v="N"/>
    <s v="Grupo Intercement"/>
    <s v="Iic - Instituto Intercement"/>
    <s v="-"/>
    <s v="Hotel Pousada Mahon Mar"/>
    <s v="-"/>
    <s v="KON-OPE-SAO-PVI-MOVER"/>
    <s v="-"/>
    <x v="421"/>
    <n v="0"/>
    <n v="0"/>
    <n v="0"/>
    <n v="0"/>
    <n v="0"/>
    <n v="0"/>
    <s v="Reserva importada do sistema Gover. Id: 4589678"/>
    <s v="Não foi possível encontrar um contrato válido para o fornecedor 46955 (Código fornecedor) "/>
    <s v="GOVER"/>
    <s v="Contrato de fornecedor"/>
    <s v="Análise Cadastro"/>
    <s v="Dados do Fornecedor"/>
    <s v="Qualidade dos dados"/>
    <s v="KONTIK BUSINESS TRAVEL"/>
  </r>
  <r>
    <n v="22905638"/>
    <n v="23679590"/>
    <s v="ACC03"/>
    <x v="298"/>
    <d v="2025-09-10T22:53:07"/>
    <s v="0 a 02 dias"/>
    <s v="0 a 02 dias"/>
    <s v="HOOIKPT"/>
    <s v="SABRE"/>
    <s v="BARROS/NILSA"/>
    <s v="Ana Clara Brime"/>
    <s v="Ana Clara Brime"/>
    <x v="226"/>
    <s v="LDM3"/>
    <s v="-"/>
    <s v="OFF LINE"/>
    <s v="Cartão de crédito"/>
    <s v="Cartão de crédito"/>
    <s v="Hotel"/>
    <s v="N"/>
    <s v="Grupo Casas Bahia"/>
    <s v="Grupo Casas Bahia S.a."/>
    <s v="-"/>
    <s v="Emmis Park Hotel"/>
    <s v="-"/>
    <s v="KON-OPE-RIO-PVI-CASAS BAHIA"/>
    <s v="-"/>
    <x v="4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6719"/>
    <n v="23655327"/>
    <s v="ACC01"/>
    <x v="521"/>
    <d v="2025-09-05T18:07:01"/>
    <s v="06 a 08 dias"/>
    <s v="06 a 08 dias"/>
    <s v="5J03VN"/>
    <s v="LEMONTECH"/>
    <s v="BARBOSA/KARLA"/>
    <s v="Danilo dos Santos Alves Cardoso"/>
    <s v="Danilo dos Santos Alves Cardoso"/>
    <x v="136"/>
    <n v="17474494"/>
    <s v="-"/>
    <s v="ON LINE"/>
    <s v="Invoice"/>
    <s v="Faturado"/>
    <s v="Hotel"/>
    <s v="N"/>
    <s v="Grupo Benner"/>
    <s v="Benner Sistemas - Blumenau"/>
    <s v="-"/>
    <s v="55/rio Hotel"/>
    <s v="-"/>
    <s v="EMERGENCIAL"/>
    <s v="-"/>
    <x v="423"/>
    <n v="0"/>
    <n v="0"/>
    <n v="0"/>
    <n v="0"/>
    <n v="0"/>
    <n v="0"/>
    <s v="Reserva importada do Sistema Lemontech. Solicitação: 17474494"/>
    <s v="Empenho/departamento não preenchido! (ACC01)"/>
    <s v="LEMONTECH"/>
    <s v="Empenho/departamento"/>
    <s v="Falta de informação Gerencial"/>
    <s v="Dados do Fornecedor"/>
    <s v="Qualidade dos dados"/>
    <s v="KONTIK BUSINESS TRAVEL"/>
  </r>
  <r>
    <n v="22833314"/>
    <n v="23618084"/>
    <s v="ACC01"/>
    <x v="522"/>
    <d v="2025-08-29T12:55:11"/>
    <s v="09 a 15 dias"/>
    <s v="09 a 15 dias"/>
    <n v="19779693"/>
    <s v="GOVER"/>
    <s v="ALINE OLIVEIRA DA ROCHA"/>
    <s v="Gover"/>
    <s v="Gover"/>
    <x v="403"/>
    <n v="4590013"/>
    <s v="-"/>
    <s v="ON LINE"/>
    <s v="Pagamento direto"/>
    <s v="Pagamento direto"/>
    <s v="Hotel"/>
    <s v="N"/>
    <s v="Grupo Icon"/>
    <s v="Rps"/>
    <s v="Cliente FEE no POS"/>
    <s v="Hyatt Place Sao Jose do Rio Preto"/>
    <s v="-"/>
    <s v="FCM-OPE-SAO-PVI-BTC-PRA/RPS"/>
    <s v="-"/>
    <x v="424"/>
    <n v="32.4"/>
    <n v="0"/>
    <n v="0"/>
    <n v="0"/>
    <n v="0"/>
    <n v="0"/>
    <s v="Reserva importada do sistema Gover. Id: 4590013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847886"/>
    <n v="23629437"/>
    <s v="ACC01"/>
    <x v="523"/>
    <d v="2025-09-02T19:40:47"/>
    <s v="09 a 15 dias"/>
    <s v="09 a 15 dias"/>
    <s v="5J5LIA"/>
    <s v="TMS"/>
    <s v="ALOISIO AZEVEDO"/>
    <s v="Bruna Carlos da Silva"/>
    <s v="Bruna Carlos da Silva"/>
    <x v="404"/>
    <n v="11375"/>
    <s v="Houston / TX, Estados Unidos - Aeroporto Internacional George Bush (IAH)"/>
    <s v="OFF LINE"/>
    <s v="Invoice"/>
    <s v="Faturado"/>
    <s v="Carro"/>
    <s v="N"/>
    <s v="Grupo Braskem"/>
    <s v="Braskem - Camacari"/>
    <s v="-"/>
    <s v="Alamo - Eua - Ex - Texas - Ex"/>
    <s v="-"/>
    <s v="KON-OPE-SAO-PVI-BRASKEM"/>
    <s v="-"/>
    <x v="425"/>
    <n v="0"/>
    <n v="0"/>
    <n v="0"/>
    <n v="0"/>
    <n v="0"/>
    <n v="0"/>
    <s v="Reserva importada do Sistema TMS. OS: 11375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2815024"/>
    <n v="23601789"/>
    <s v="ACC01"/>
    <x v="302"/>
    <d v="2025-08-26T16:39:41"/>
    <s v="16 a 23 dias"/>
    <s v="16 a 23 dias"/>
    <s v="SHBZUTT"/>
    <s v="SABRE"/>
    <s v="PEREIRA/JOSE"/>
    <s v="Ana Clara Brime"/>
    <s v="Ana Clara Brime"/>
    <x v="230"/>
    <s v="SHBZUT"/>
    <s v="-"/>
    <s v="OFF LINE"/>
    <s v="Cartão de crédito"/>
    <s v="Cartão de crédito"/>
    <s v="Hotel"/>
    <s v="N"/>
    <s v="Grupo Casas Bahia"/>
    <s v="Grupo Casas Bahia S.a."/>
    <s v="-"/>
    <s v="Ibis Natal"/>
    <s v="-"/>
    <s v="KON-OPE-RIO-PVI-CASAS BAHIA"/>
    <s v="-"/>
    <x v="42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2905638"/>
    <n v="23679591"/>
    <s v="ACC04"/>
    <x v="298"/>
    <d v="2025-09-10T22:53:07"/>
    <s v="0 a 02 dias"/>
    <s v="0 a 02 dias"/>
    <s v="HOOIKPT"/>
    <s v="SABRE"/>
    <s v="BARROS/NILSA"/>
    <s v="Ana Clara Brime"/>
    <s v="Ana Clara Brime"/>
    <x v="226"/>
    <s v="LDM3"/>
    <s v="-"/>
    <s v="OFF LINE"/>
    <s v="Cartão de crédito"/>
    <s v="Cartão de crédito"/>
    <s v="Hotel"/>
    <s v="N"/>
    <s v="Grupo Casas Bahia"/>
    <s v="Grupo Casas Bahia S.a."/>
    <s v="-"/>
    <s v="Cast Comfort Hotel"/>
    <s v="-"/>
    <s v="KON-OPE-RIO-PVI-CASAS BAHIA"/>
    <s v="-"/>
    <x v="2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99370"/>
    <n v="23674036"/>
    <s v="ACC01"/>
    <x v="524"/>
    <d v="2025-09-11T14:22:50"/>
    <s v="0 a 02 dias"/>
    <s v="0 a 02 dias"/>
    <s v="5K2ZD4"/>
    <s v="TMS"/>
    <s v="JOEL CANDIDO BORGES"/>
    <s v="Marcia Fernandes de Sousa"/>
    <s v="Marcia Fernandes de Sousa"/>
    <x v="405"/>
    <n v="23923"/>
    <s v="-"/>
    <s v="OFF LINE"/>
    <s v="Invoice"/>
    <s v="Faturado"/>
    <s v="Serviço"/>
    <s v="N"/>
    <s v="Grupo Taesa"/>
    <s v="Tsn - Transmissora Sudeste Nordeste"/>
    <s v="-"/>
    <s v="Itamarati Hotel"/>
    <s v="-"/>
    <s v="KON-OPE-RIO-POS-TAESA"/>
    <s v="-"/>
    <x v="427"/>
    <n v="0"/>
    <n v="0"/>
    <n v="0"/>
    <n v="0"/>
    <n v="0"/>
    <n v="0"/>
    <s v="Reserva importada do Sistema TMS. OS: 23923"/>
    <s v="Não foi possível encontrar um contrato válido para o fornecedor 67595 (Código fornecedor) "/>
    <s v="ARGO(TMS)"/>
    <s v="Contrato de fornecedor"/>
    <s v="Análise Cadastro"/>
    <s v="Dados do Fornecedor"/>
    <s v="Qualidade dos dados"/>
    <s v="KONTIK BUSINESS TRAVEL"/>
  </r>
  <r>
    <n v="22913667"/>
    <n v="23686259"/>
    <s v="ACC01"/>
    <x v="525"/>
    <d v="2025-09-12T06:56:43"/>
    <s v="0 a 02 dias"/>
    <s v="0 a 02 dias"/>
    <s v="IBUDQNC"/>
    <s v="SABRE"/>
    <s v="DRIGO/MARCELO AUGUSTO DE OLIVEIRA MR"/>
    <s v="Marcelo Pereira de Melo"/>
    <s v="Marcelo Pereira de Melo"/>
    <x v="406"/>
    <s v="N"/>
    <s v="SAO"/>
    <s v="OFF LINE"/>
    <s v="Invoice"/>
    <s v="Faturado"/>
    <s v="Carro"/>
    <s v="N"/>
    <s v="Grupo Basf"/>
    <s v="Basf Sa"/>
    <s v="-"/>
    <s v="Movida - Br - Sp - Sao Bernardo do Campo - Centro"/>
    <s v="-"/>
    <s v="FCM-OPE-SAO-PVI-BASF"/>
    <s v="-"/>
    <x v="428"/>
    <n v="430.82"/>
    <n v="0"/>
    <n v="0"/>
    <n v="0"/>
    <n v="0"/>
    <n v="0"/>
    <s v="Reserva importada por HubTravel"/>
    <s v="Informação de controle não preenchida! (ACC01)"/>
    <s v="SABRE"/>
    <s v="Informação de controle"/>
    <s v="Falta de informação Gerencial"/>
    <s v="Dados do Fornecedor"/>
    <s v="Qualidade dos dados"/>
    <s v="KONTIK BUSINESS TRAVEL"/>
  </r>
  <r>
    <n v="22860126"/>
    <n v="23640147"/>
    <s v="ACC01"/>
    <x v="526"/>
    <d v="2025-09-03T10:45:26"/>
    <s v="09 a 15 dias"/>
    <s v="09 a 15 dias"/>
    <n v="19839915"/>
    <s v="GOVER"/>
    <s v="ELLIZIANE PAULA DE OLIVEIRA"/>
    <s v="Gover"/>
    <s v="Gover"/>
    <x v="407"/>
    <n v="4591932"/>
    <s v="-"/>
    <s v="ON LINE"/>
    <s v="Pagamento direto"/>
    <s v="Pagamento direto"/>
    <s v="Hotel"/>
    <s v="N"/>
    <s v="Grupo Icon"/>
    <s v="Rps"/>
    <s v="Cliente FEE no POS"/>
    <s v="Barretos Park Hotel"/>
    <s v="-"/>
    <s v="FCM-OPE-SAO-PVI-BTC-PRA/RPS"/>
    <s v="-"/>
    <x v="429"/>
    <n v="0"/>
    <n v="0"/>
    <n v="0"/>
    <n v="0"/>
    <n v="0"/>
    <n v="0"/>
    <s v="Reserva importada do sistema Gover. Id: 4591932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910035"/>
    <n v="23683243"/>
    <s v="ACC01"/>
    <x v="527"/>
    <d v="2025-09-11T18:05:32"/>
    <s v="0 a 02 dias"/>
    <s v="0 a 02 dias"/>
    <s v="AV1BV544OBA"/>
    <s v="GOVER"/>
    <s v="ANA CAROLINA MELLO MENDES"/>
    <s v="Valeria Domingues Cavalcante"/>
    <s v="Valeria Domingues Cavalcante"/>
    <x v="408"/>
    <n v="4596380"/>
    <s v="Localiza - Br - Mg - Uberlandia - Tibery Endereço: Avenida Rondon Pacheco, 4900 4900 Tibery"/>
    <s v="OFF LINE"/>
    <s v="Invoice"/>
    <s v="Faturado"/>
    <s v="Carro"/>
    <s v="N"/>
    <s v="Grupo Bosch Consierge"/>
    <s v="Bosch Concierge"/>
    <s v="-"/>
    <s v="Localiza - Br - Mg - Uberlandia - Tibery - Inativo"/>
    <s v="-"/>
    <s v="FCM-OPE-SAO-PVI-BOSCH"/>
    <s v="-"/>
    <x v="430"/>
    <n v="0"/>
    <n v="0"/>
    <n v="0"/>
    <n v="0"/>
    <n v="0"/>
    <n v="0"/>
    <s v="Reserva importada do sistema Gover. Id: 4596380"/>
    <s v="Não foi possível encontrar um contrato válido para o fornecedor 70672 (Código fornecedor) "/>
    <s v="GOVER"/>
    <s v="Contrato de fornecedor"/>
    <s v="Análise Cadastro"/>
    <s v="Dados do Fornecedor"/>
    <s v="Qualidade dos dados"/>
    <s v="KONTIK BUSINESS TRAVEL"/>
  </r>
  <r>
    <n v="22834460"/>
    <n v="23619182"/>
    <s v="ACC01"/>
    <x v="528"/>
    <d v="2025-08-29T15:10:19"/>
    <s v="09 a 15 dias"/>
    <s v="09 a 15 dias"/>
    <s v="4YGQ3J-F"/>
    <s v="MANUAL"/>
    <s v="IVAN TOLDO"/>
    <s v="Tms"/>
    <s v="Demetrius Pepe Miguel"/>
    <x v="399"/>
    <n v="3972"/>
    <s v="Campinas / CPQ"/>
    <s v="OFF LINE"/>
    <s v="Invoice"/>
    <s v="Faturado"/>
    <s v="Carro"/>
    <s v="S"/>
    <s v="Grupo Braskem"/>
    <s v="Braskem - Camacari"/>
    <s v="-"/>
    <s v="Movida - Br - Sp - Sao Paulo - Itaim Bibi"/>
    <s v="-"/>
    <s v="KON-OPE-SAO-PVI-BRASKEM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s v="MANUAL"/>
    <s v="Falta de informação Gerencial"/>
    <s v="Mais de um campo não preenchido"/>
    <s v="Dados do Fornecedor"/>
    <s v="Sistêmico"/>
    <s v="KONTIK BUSINESS TRAVEL"/>
  </r>
  <r>
    <n v="22835394"/>
    <n v="23620092"/>
    <s v="ACC01"/>
    <x v="529"/>
    <d v="2025-09-10T17:32:04"/>
    <s v="0 a 02 dias"/>
    <s v="09 a 15 dias"/>
    <s v="4YGQ3J-F"/>
    <s v="MANUAL"/>
    <s v="IVAN TOLDO"/>
    <s v="Tms"/>
    <s v="Demetrius Pepe Miguel"/>
    <x v="399"/>
    <n v="3972"/>
    <s v="Campinas / CPQ"/>
    <s v="OFF LINE"/>
    <s v="Invoice"/>
    <s v="Faturado"/>
    <s v="Carro"/>
    <s v="S"/>
    <s v="Grupo Braskem"/>
    <s v="Braskem - Camacari"/>
    <s v="-"/>
    <s v="Movida - Br - Sp - Sao Paulo - Itaim Bibi"/>
    <s v="-"/>
    <s v="KON-OPE-SAO-PVI-BRASKEM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s v="MANUAL"/>
    <s v="Falta de informação Gerencial"/>
    <s v="Mais de um campo não preenchido"/>
    <s v="Dados do Fornecedor"/>
    <s v="Sistêmico"/>
    <s v="KONTIK BUSINESS TRAVEL"/>
  </r>
  <r>
    <n v="22910159"/>
    <n v="23683369"/>
    <s v="ACC01"/>
    <x v="530"/>
    <d v="2025-09-11T17:45:00"/>
    <s v="0 a 02 dias"/>
    <s v="0 a 02 dias"/>
    <s v="4YGQ3J-F1"/>
    <s v="MANUAL"/>
    <s v="IVAN TOLDO"/>
    <s v="Tms"/>
    <s v="Tms"/>
    <x v="409"/>
    <n v="3972"/>
    <s v="Campinas / CPQ"/>
    <s v="OFF LINE"/>
    <s v="Invoice"/>
    <s v="Faturado"/>
    <s v="Carro"/>
    <s v="N"/>
    <s v="Grupo Braskem"/>
    <s v="Braskem - Camacari"/>
    <s v="-"/>
    <s v="Movida - Br - Sp - Sao Paulo - Itaim Bibi"/>
    <s v="-"/>
    <s v="KON-OPE-SAO-PVI-BRASKEM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s v="MANUAL"/>
    <s v="Falta de informação Gerencial"/>
    <s v="Mais de um campo não preenchido"/>
    <s v="Dados do Fornecedor"/>
    <s v="Sistêmico"/>
    <s v="KONTIK BUSINESS TRAVEL"/>
  </r>
  <r>
    <n v="22833316"/>
    <n v="23618085"/>
    <s v="ACC01"/>
    <x v="531"/>
    <d v="2025-08-29T12:55:11"/>
    <s v="09 a 15 dias"/>
    <s v="09 a 15 dias"/>
    <n v="19779807"/>
    <s v="GOVER"/>
    <s v="ALINE OLIVEIRA DA ROCHA"/>
    <s v="Gover"/>
    <s v="Gover"/>
    <x v="410"/>
    <n v="4590020"/>
    <s v="-"/>
    <s v="ON LINE"/>
    <s v="Pagamento direto"/>
    <s v="Pagamento direto"/>
    <s v="Hotel"/>
    <s v="N"/>
    <s v="Grupo Icon"/>
    <s v="Rps"/>
    <s v="Cliente FEE no POS"/>
    <s v="Hilton Garden Inn Sao Jose do Rio Preto"/>
    <s v="-"/>
    <s v="FCM-OPE-SAO-PVI-BTC-PRA/RPS"/>
    <s v="-"/>
    <x v="69"/>
    <n v="12.24"/>
    <n v="0"/>
    <n v="0"/>
    <n v="0"/>
    <n v="0"/>
    <n v="0"/>
    <s v="Reserva importada do sistema Gover. Id: 4590020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894440"/>
    <n v="23669359"/>
    <s v="ACC01"/>
    <x v="532"/>
    <d v="2025-09-09T10:45:24"/>
    <s v="03 a 05 dias"/>
    <s v="03 a 05 dias"/>
    <n v="19916771"/>
    <s v="GOVER"/>
    <s v="ALINE OLIVEIRA DA ROCHA"/>
    <s v="Gover"/>
    <s v="Gover"/>
    <x v="411"/>
    <n v="4594646"/>
    <s v="-"/>
    <s v="ON LINE"/>
    <s v="Pagamento direto"/>
    <s v="Pagamento direto"/>
    <s v="Hotel"/>
    <s v="N"/>
    <s v="Grupo Icon"/>
    <s v="Rps"/>
    <s v="Cliente FEE no POS"/>
    <s v="Hilton Garden Inn Sao Jose do Rio Preto"/>
    <s v="-"/>
    <s v="FCM-OPE-SAO-PVI-BTC-PRA/RPS"/>
    <s v="-"/>
    <x v="431"/>
    <n v="12.51"/>
    <n v="0"/>
    <n v="0"/>
    <n v="0"/>
    <n v="0"/>
    <n v="0"/>
    <s v="Reserva importada do sistema Gover. Id: 4594646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905051"/>
    <n v="23679024"/>
    <s v="ACC01"/>
    <x v="533"/>
    <d v="2025-09-11T13:27:52"/>
    <s v="0 a 02 dias"/>
    <s v="0 a 02 dias"/>
    <s v="FYOOTJT"/>
    <s v="SABRE"/>
    <s v="BERNARDI/JACKSON ALBERTO"/>
    <s v="Nathalia dos Santos Batista"/>
    <s v="Nathalia dos Santos Batista"/>
    <x v="412"/>
    <s v="FYOOTJ"/>
    <s v="-"/>
    <s v="ON LINE"/>
    <s v="Invoice"/>
    <s v="Faturado"/>
    <s v="Hotel"/>
    <s v="N"/>
    <s v="Grupo Stanley Black e Decker"/>
    <s v="Bdb Ferramentas do Brasil Ltda"/>
    <s v="Cliente FEE no POS"/>
    <s v="Bonito Ecotel"/>
    <s v="-"/>
    <s v="FCM-OPE-SAO-PVI-BTC-CONCUR"/>
    <s v="-"/>
    <x v="432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905059"/>
    <n v="23679032"/>
    <s v="ACC01"/>
    <x v="534"/>
    <d v="2025-09-11T13:31:50"/>
    <s v="0 a 02 dias"/>
    <s v="0 a 02 dias"/>
    <s v="FLBROYT"/>
    <s v="SABRE"/>
    <s v="DA CRUZ/JEFFERSON MARQUES"/>
    <s v="Nathalia dos Santos Batista"/>
    <s v="Nathalia dos Santos Batista"/>
    <x v="413"/>
    <s v="FLBROY"/>
    <s v="-"/>
    <s v="ON LINE"/>
    <s v="Invoice"/>
    <s v="Faturado"/>
    <s v="Hotel"/>
    <s v="N"/>
    <s v="Grupo Stanley Black e Decker"/>
    <s v="Bdb Ferramentas do Brasil Ltda"/>
    <s v="Cliente FEE no POS"/>
    <s v="Bonito Ecotel"/>
    <s v="-"/>
    <s v="FCM-OPE-SAO-PVI-BTC-CONCUR"/>
    <s v="-"/>
    <x v="432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876132"/>
    <n v="23654682"/>
    <s v="ACC02"/>
    <x v="306"/>
    <d v="2025-09-05T16:39:44"/>
    <s v="06 a 08 dias"/>
    <s v="06 a 08 dias"/>
    <s v="EHCZUWT"/>
    <s v="SABRE"/>
    <s v="SILVA/ROSEANE"/>
    <s v="Ana Clara Brime"/>
    <s v="Ana Clara Brime"/>
    <x v="234"/>
    <s v="LDLX"/>
    <s v="-"/>
    <s v="OFF LINE"/>
    <s v="Cartão de crédito"/>
    <s v="Cartão de crédito"/>
    <s v="Hotel"/>
    <s v="N"/>
    <s v="Grupo Casas Bahia"/>
    <s v="Grupo Casas Bahia S.a."/>
    <s v="-"/>
    <s v="Summit Suites Hotel Cruzeiro"/>
    <s v="-"/>
    <s v="KON-OPE-RIO-PVI-CASAS BAHIA"/>
    <s v="-"/>
    <x v="27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48692"/>
    <n v="23630269"/>
    <s v="ACC01"/>
    <x v="126"/>
    <d v="2025-09-11T13:36:21"/>
    <s v="0 a 02 dias"/>
    <s v="09 a 15 dias"/>
    <s v="LSFUAVT"/>
    <s v="SABRE"/>
    <s v="ZANON/RENATA BOCCI MISS"/>
    <s v="CT"/>
    <s v="CT"/>
    <x v="119"/>
    <s v="183733836-76587"/>
    <s v="-"/>
    <s v="ON LINE"/>
    <s v="Pagamento direto"/>
    <s v="Pagamento direto"/>
    <s v="Hotel"/>
    <s v="N"/>
    <s v="Grupo Basf"/>
    <s v="Basf Sa"/>
    <s v="-"/>
    <s v="Hilton Garden Inn Ames"/>
    <s v="-"/>
    <s v="FCM-OPE-SAO-PVI-BASF"/>
    <s v="-"/>
    <x v="433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2848692"/>
    <n v="23630270"/>
    <s v="ACC02"/>
    <x v="126"/>
    <d v="2025-09-11T13:36:21"/>
    <s v="0 a 02 dias"/>
    <s v="09 a 15 dias"/>
    <s v="LSFUAVT"/>
    <s v="SABRE"/>
    <s v="ZANON/RENATA BOCCI MISS"/>
    <s v="CT"/>
    <s v="CT"/>
    <x v="119"/>
    <s v="183733836-76587"/>
    <s v="-"/>
    <s v="ON LINE"/>
    <s v="Pagamento direto"/>
    <s v="Pagamento direto"/>
    <s v="Hotel"/>
    <s v="N"/>
    <s v="Grupo Basf"/>
    <s v="Basf Sa"/>
    <s v="-"/>
    <s v="Hampton Inn Cedar Falls Downtown"/>
    <s v="-"/>
    <s v="FCM-OPE-SAO-PVI-BASF"/>
    <s v="-"/>
    <x v="434"/>
    <n v="22.6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m/>
    <m/>
    <m/>
    <x v="535"/>
    <m/>
    <m/>
    <m/>
    <m/>
    <m/>
    <m/>
    <m/>
    <m/>
    <x v="414"/>
    <m/>
    <m/>
    <m/>
    <m/>
    <m/>
    <m/>
    <m/>
    <m/>
    <m/>
    <m/>
    <m/>
    <m/>
    <m/>
    <m/>
    <x v="435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4">
  <r>
    <n v="22887960"/>
    <n v="23663383"/>
    <s v="ACC01"/>
    <x v="0"/>
    <d v="2025-09-08T10:50:44"/>
    <x v="0"/>
    <x v="0"/>
    <s v="BB26886123-28997829-A(BB)"/>
    <s v="GOVER"/>
    <s v="Leonardo De Oliveira Lima"/>
    <s v="WAGNER PAULINO"/>
    <s v="WAGNER PAULINO"/>
    <d v="2025-09-08T10:30:00"/>
    <n v="4592134"/>
    <s v="-"/>
    <s v="OFF LINE"/>
    <s v="Cartão de crédito"/>
    <s v="Cartão de crédito"/>
    <x v="0"/>
    <s v="N"/>
    <x v="0"/>
    <s v="Brainfarma"/>
    <s v="-"/>
    <s v="-"/>
    <s v="-"/>
    <x v="0"/>
    <s v="-"/>
    <x v="0"/>
    <n v="0"/>
    <n v="0"/>
    <n v="0"/>
    <n v="0"/>
    <n v="0"/>
    <n v="0"/>
    <s v="Reserva importada do sistema Gover. Id: 4592134"/>
    <s v="Fornecedor não preenchido! (ACC01)"/>
    <x v="0"/>
    <x v="0"/>
    <s v="Campo Fornecedor"/>
    <x v="0"/>
    <s v="Sistêmico"/>
    <s v="GRUPO KONTIK"/>
    <x v="0"/>
  </r>
  <r>
    <n v="22870211"/>
    <n v="23649476"/>
    <s v="ACC01"/>
    <x v="1"/>
    <d v="2025-09-04T18:32:25"/>
    <x v="1"/>
    <x v="1"/>
    <s v="BB26955760-29073524-A(BB)"/>
    <s v="GOVER"/>
    <s v="Suelen Alves Azevedo"/>
    <s v="WAGNER PAULINO"/>
    <s v="WAGNER PAULINO"/>
    <d v="2025-08-28T09:48:00"/>
    <n v="4581282"/>
    <s v="-"/>
    <s v="OFF LINE"/>
    <s v="Cartão de crédito"/>
    <s v="Cartão de crédito"/>
    <x v="0"/>
    <s v="N"/>
    <x v="0"/>
    <s v="Brainfarma"/>
    <s v="-"/>
    <s v="-"/>
    <s v="-"/>
    <x v="0"/>
    <s v="-"/>
    <x v="1"/>
    <n v="0"/>
    <n v="0"/>
    <n v="0"/>
    <n v="0"/>
    <n v="0"/>
    <n v="0"/>
    <s v="Reserva importada do sistema Gover. Id: 4581282"/>
    <s v="Fornecedor não preenchido! (ACC01)"/>
    <x v="0"/>
    <x v="0"/>
    <s v="Campo Fornecedor"/>
    <x v="0"/>
    <s v="Sistêmico"/>
    <s v="GRUPO KONTIK"/>
    <x v="0"/>
  </r>
  <r>
    <n v="22869716"/>
    <n v="23649009"/>
    <s v="ACC01"/>
    <x v="2"/>
    <d v="2025-09-04T17:50:47"/>
    <x v="1"/>
    <x v="1"/>
    <s v="cotacao"/>
    <s v="GOVER"/>
    <s v="Anne Caroline Coutinho Furiati"/>
    <s v="Leticia Jesus Vital"/>
    <s v="Leticia Jesus Vital"/>
    <d v="2025-09-04T17:36:00"/>
    <n v="4592452"/>
    <s v="Movida - Br - Es - Vitoria - Aeroporto Endereço: Avenida Roza Helena Schorling Albuquerque, 856 Ao L"/>
    <s v="OFF LINE"/>
    <s v="Invoice"/>
    <s v="Faturado"/>
    <x v="1"/>
    <s v="N"/>
    <x v="0"/>
    <s v="Hypera S.a."/>
    <s v="-"/>
    <s v="-"/>
    <s v="-"/>
    <x v="0"/>
    <s v="-"/>
    <x v="2"/>
    <n v="0"/>
    <n v="0"/>
    <n v="0"/>
    <n v="0"/>
    <n v="0"/>
    <n v="0"/>
    <s v="Reserva importada do sistema Gover. Id: 4592452"/>
    <s v="Fornecedor não preenchido! (ACC01)"/>
    <x v="0"/>
    <x v="0"/>
    <s v="Campo Fornecedor"/>
    <x v="0"/>
    <s v="Qualidade dos dados"/>
    <s v="KONTIK BUSINESS TRAVEL"/>
    <x v="1"/>
  </r>
  <r>
    <n v="22857819"/>
    <n v="23638427"/>
    <s v="ACC01"/>
    <x v="3"/>
    <d v="2025-09-02T22:20:40"/>
    <x v="2"/>
    <x v="2"/>
    <n v="19824600"/>
    <s v="GOVER"/>
    <s v="THIAGO CEZA ROSA"/>
    <s v="Gover"/>
    <s v="Gover"/>
    <d v="2025-09-02T12:45:00"/>
    <n v="4591476"/>
    <s v="-"/>
    <s v="ON LINE"/>
    <s v="Cartão de crédito"/>
    <s v="Cartão de crédito"/>
    <x v="0"/>
    <s v="N"/>
    <x v="0"/>
    <s v="Hypera S.a."/>
    <s v="-"/>
    <s v="-"/>
    <s v="-"/>
    <x v="0"/>
    <s v="-"/>
    <x v="3"/>
    <n v="0"/>
    <n v="0"/>
    <n v="0"/>
    <n v="0"/>
    <n v="0"/>
    <n v="0"/>
    <s v="Reserva importada do sistema Gover. Id: 4591476"/>
    <s v="Fornecedor não preenchido! (ACC01)"/>
    <x v="0"/>
    <x v="0"/>
    <s v="Campo Fornecedor"/>
    <x v="0"/>
    <s v="Sistêmico"/>
    <s v="GRUPO KONTIK"/>
    <x v="0"/>
  </r>
  <r>
    <n v="22826752"/>
    <n v="23612021"/>
    <s v="ACC01"/>
    <x v="4"/>
    <d v="2025-08-28T11:31:35"/>
    <x v="2"/>
    <x v="2"/>
    <n v="19744454"/>
    <s v="GOVER"/>
    <s v="Debora Malandrin Antão "/>
    <s v="Gover"/>
    <s v="Gover"/>
    <d v="2025-08-27T12:13:00"/>
    <n v="4588818"/>
    <s v="-"/>
    <s v="ON LINE"/>
    <s v="Cartão de crédito"/>
    <s v="Cartão de crédito"/>
    <x v="0"/>
    <s v="N"/>
    <x v="0"/>
    <s v="Hypera S.a."/>
    <s v="-"/>
    <s v="-"/>
    <s v="-"/>
    <x v="0"/>
    <s v="-"/>
    <x v="4"/>
    <n v="0"/>
    <n v="0"/>
    <n v="0"/>
    <n v="0"/>
    <n v="0"/>
    <n v="0"/>
    <s v="Reserva importada do sistema Gover. Id: 4588818"/>
    <s v="Fornecedor não preenchido! (ACC01)"/>
    <x v="0"/>
    <x v="0"/>
    <s v="Campo Fornecedor"/>
    <x v="0"/>
    <s v="Sistêmico"/>
    <s v="GRUPO KONTIK"/>
    <x v="0"/>
  </r>
  <r>
    <n v="22866453"/>
    <n v="23645608"/>
    <s v="ACC01"/>
    <x v="5"/>
    <d v="2025-09-04T08:10:23"/>
    <x v="1"/>
    <x v="1"/>
    <n v="19845072"/>
    <s v="GOVER"/>
    <s v="Julio Henrique Festucci"/>
    <s v="Gover"/>
    <s v="Gover"/>
    <d v="2025-09-03T13:55:00"/>
    <n v="4592145"/>
    <s v="-"/>
    <s v="ON LINE"/>
    <s v="Cartão de crédito"/>
    <s v="Cartão de crédito"/>
    <x v="0"/>
    <s v="N"/>
    <x v="0"/>
    <s v="Hypera S.a."/>
    <s v="-"/>
    <s v="-"/>
    <s v="-"/>
    <x v="0"/>
    <s v="-"/>
    <x v="5"/>
    <n v="0"/>
    <n v="0"/>
    <n v="0"/>
    <n v="0"/>
    <n v="0"/>
    <n v="0"/>
    <s v="Reserva importada do sistema Gover. Id: 4592145"/>
    <s v="Fornecedor não preenchido! (ACC01)"/>
    <x v="0"/>
    <x v="0"/>
    <s v="Campo Fornecedor"/>
    <x v="0"/>
    <s v="Sistêmico"/>
    <s v="GRUPO KONTIK"/>
    <x v="0"/>
  </r>
  <r>
    <n v="22855560"/>
    <n v="23636322"/>
    <s v="ACC01"/>
    <x v="6"/>
    <d v="2025-09-02T16:54:27"/>
    <x v="2"/>
    <x v="2"/>
    <s v="NQOLTXC"/>
    <s v="SABRE"/>
    <s v="APARECIDA DE FARIAS/JESSICA"/>
    <s v="Ernani Afranio dos Santos"/>
    <s v="Ernani Afranio dos Santos"/>
    <d v="2025-09-02T14:29:00"/>
    <s v="NQOLTX"/>
    <s v="QOC"/>
    <s v="ON LINE"/>
    <s v="Invoice"/>
    <s v="Faturado"/>
    <x v="1"/>
    <s v="N"/>
    <x v="1"/>
    <s v="Johnson Controls Hitachi Ar Condicionado do Brasil Ltda"/>
    <s v="-"/>
    <s v="-"/>
    <s v="-"/>
    <x v="1"/>
    <s v="-"/>
    <x v="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9734"/>
    <n v="23682970"/>
    <s v="ACC01"/>
    <x v="7"/>
    <d v="2025-09-11T16:19:50"/>
    <x v="3"/>
    <x v="3"/>
    <s v="GKFPVXT"/>
    <s v="SABRE"/>
    <s v="BARREIRO JOVIDI/ANDRE RICARDO"/>
    <s v="Valeria Domingues Cavalcante"/>
    <s v="Valeria Domingues Cavalcante"/>
    <d v="2025-09-11T08:36:00"/>
    <s v="EMAIL"/>
    <s v="-"/>
    <s v="ON LINE"/>
    <s v="Invoice"/>
    <s v="Faturado"/>
    <x v="0"/>
    <s v="N"/>
    <x v="1"/>
    <s v="Johnson Controls Hitachi Ar Condicionado do Brasil Ltda"/>
    <s v="-"/>
    <s v="-"/>
    <s v="-"/>
    <x v="1"/>
    <s v="-"/>
    <x v="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2"/>
  </r>
  <r>
    <n v="22909739"/>
    <n v="23682977"/>
    <s v="ACC01"/>
    <x v="8"/>
    <d v="2025-09-11T16:19:50"/>
    <x v="3"/>
    <x v="3"/>
    <s v="HEJPXAT"/>
    <s v="SABRE"/>
    <s v="XAVIER BITTENCOURT/FABIO"/>
    <s v="Valeria Domingues Cavalcante"/>
    <s v="Valeria Domingues Cavalcante"/>
    <d v="2025-09-11T09:49:00"/>
    <s v="EMAIL"/>
    <s v="-"/>
    <s v="ON LINE"/>
    <s v="Invoice"/>
    <s v="Faturado"/>
    <x v="0"/>
    <s v="N"/>
    <x v="1"/>
    <s v="Johnson Controls Hitachi Ar Condicionado do Brasil Ltda"/>
    <s v="-"/>
    <s v="-"/>
    <s v="-"/>
    <x v="1"/>
    <s v="-"/>
    <x v="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2"/>
  </r>
  <r>
    <n v="22909743"/>
    <n v="23682982"/>
    <s v="ACC01"/>
    <x v="9"/>
    <d v="2025-09-11T16:19:50"/>
    <x v="3"/>
    <x v="3"/>
    <s v="DLWGGGT"/>
    <s v="SABRE"/>
    <s v="LAGUNA CUNHA/FERNANDO LUIZ"/>
    <s v="Valeria Domingues Cavalcante"/>
    <s v="Valeria Domingues Cavalcante"/>
    <d v="2025-09-11T12:18:00"/>
    <s v="EMAIL"/>
    <s v="-"/>
    <s v="ON LINE"/>
    <s v="Invoice"/>
    <s v="Faturado"/>
    <x v="0"/>
    <s v="N"/>
    <x v="1"/>
    <s v="Johnson Controls Hitachi Ar Condicionado do Brasil Ltda"/>
    <s v="-"/>
    <s v="-"/>
    <s v="-"/>
    <x v="1"/>
    <s v="-"/>
    <x v="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2"/>
  </r>
  <r>
    <n v="22909748"/>
    <n v="23682990"/>
    <s v="ACC01"/>
    <x v="10"/>
    <d v="2025-09-11T16:24:18"/>
    <x v="3"/>
    <x v="3"/>
    <s v="DMICDST"/>
    <s v="SABRE"/>
    <s v="PESSOA/FELIPE ROCHA"/>
    <s v="Valeria Domingues Cavalcante"/>
    <s v="Valeria Domingues Cavalcante"/>
    <d v="2025-09-11T13:18:00"/>
    <s v="EMAIL"/>
    <s v="-"/>
    <s v="ON LINE"/>
    <s v="Invoice"/>
    <s v="Faturado"/>
    <x v="0"/>
    <s v="N"/>
    <x v="1"/>
    <s v="Johnson Controls Hitachi Ar Condicionado do Brasil Ltda"/>
    <s v="-"/>
    <s v="-"/>
    <s v="-"/>
    <x v="1"/>
    <s v="-"/>
    <x v="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2"/>
  </r>
  <r>
    <n v="22826491"/>
    <n v="23611729"/>
    <s v="ACC01"/>
    <x v="11"/>
    <d v="2025-08-28T10:41:09"/>
    <x v="2"/>
    <x v="2"/>
    <n v="19759826"/>
    <s v="GOVER"/>
    <s v="Henrique Zanini Micheli"/>
    <s v="Marcos de Oliveira Miklos"/>
    <s v="Marcos de Oliveira Miklos"/>
    <d v="2025-08-28T00:00:00"/>
    <n v="4588558"/>
    <s v="-"/>
    <s v="OFF LINE"/>
    <s v="Cartão de crédito"/>
    <s v="Cartão de crédito"/>
    <x v="0"/>
    <s v="N"/>
    <x v="2"/>
    <s v="Intercement Nacoes Unidas"/>
    <s v="-"/>
    <s v="-"/>
    <s v="-"/>
    <x v="2"/>
    <s v="-"/>
    <x v="8"/>
    <n v="27.6"/>
    <n v="0"/>
    <n v="0"/>
    <n v="0"/>
    <n v="0"/>
    <n v="0"/>
    <s v="Reserva importada do sistema Gover. Id: 4588558"/>
    <s v="Fornecedor não preenchido! (ACC01)"/>
    <x v="0"/>
    <x v="0"/>
    <s v="Campo Fornecedor"/>
    <x v="0"/>
    <s v="Sistêmico"/>
    <s v="GRUPO KONTIK"/>
    <x v="0"/>
  </r>
  <r>
    <n v="22900840"/>
    <n v="23675031"/>
    <s v="ACC01"/>
    <x v="12"/>
    <d v="2025-09-10T10:02:00"/>
    <x v="3"/>
    <x v="3"/>
    <s v="MV2XSC04BNBR"/>
    <s v="GOVER"/>
    <s v="Vinicius Emanoel de Souza Ferreira"/>
    <s v="Marcos de Oliveira Miklos"/>
    <s v="Marcos de Oliveira Miklos"/>
    <d v="2025-09-10T09:48:00"/>
    <n v="4595261"/>
    <s v="Movida - Br - Mg - Mvd - Ipatinga Endereço: Avenida Pedro Linhares Gomes, 3900"/>
    <s v="OFF LINE"/>
    <s v="Invoice"/>
    <s v="Faturado"/>
    <x v="1"/>
    <s v="N"/>
    <x v="2"/>
    <s v="Intercement Nacoes Unidas"/>
    <s v="-"/>
    <s v="-"/>
    <s v="-"/>
    <x v="2"/>
    <s v="-"/>
    <x v="9"/>
    <n v="0"/>
    <n v="0"/>
    <n v="0"/>
    <n v="0"/>
    <n v="0"/>
    <n v="0"/>
    <s v="Reserva importada do sistema Gover. Id: 4595261"/>
    <s v="Fornecedor não preenchido! (ACC01)"/>
    <x v="0"/>
    <x v="0"/>
    <s v="Campo Fornecedor"/>
    <x v="0"/>
    <s v="Qualidade dos dados"/>
    <s v="KONTIK BUSINESS TRAVEL"/>
    <x v="1"/>
  </r>
  <r>
    <n v="22847982"/>
    <n v="23629529"/>
    <s v="ACC01"/>
    <x v="13"/>
    <d v="2025-09-01T13:20:29"/>
    <x v="2"/>
    <x v="2"/>
    <n v="19803803"/>
    <s v="GOVER"/>
    <s v="Henrique Zanini Micheli"/>
    <s v="Marcos de Oliveira Miklos"/>
    <s v="Marcos de Oliveira Miklos"/>
    <d v="2025-09-01T13:07:00"/>
    <n v="4590452"/>
    <s v="-"/>
    <s v="OFF LINE"/>
    <s v="Cartão de crédito"/>
    <s v="Cartão de crédito"/>
    <x v="0"/>
    <s v="N"/>
    <x v="2"/>
    <s v="Intercement Nacoes Unidas"/>
    <s v="-"/>
    <s v="-"/>
    <s v="-"/>
    <x v="2"/>
    <s v="-"/>
    <x v="8"/>
    <n v="27.6"/>
    <n v="0"/>
    <n v="0"/>
    <n v="0"/>
    <n v="0"/>
    <n v="0"/>
    <s v="Reserva importada do sistema Gover. Id: 4590452"/>
    <s v="Fornecedor não preenchido! (ACC01)"/>
    <x v="0"/>
    <x v="0"/>
    <s v="Campo Fornecedor"/>
    <x v="0"/>
    <s v="Sistêmico"/>
    <s v="GRUPO KONTIK"/>
    <x v="0"/>
  </r>
  <r>
    <n v="22793709"/>
    <n v="23584510"/>
    <s v="ACC01"/>
    <x v="14"/>
    <d v="2025-08-22T16:10:55"/>
    <x v="4"/>
    <x v="4"/>
    <n v="19688872"/>
    <s v="GOVER"/>
    <s v="Jason Albuquerque Netto"/>
    <s v="Gover"/>
    <s v="Gover"/>
    <d v="2025-08-22T15:45:00"/>
    <n v="4586749"/>
    <s v="-"/>
    <s v="ON LINE"/>
    <s v="Cartão de crédito"/>
    <s v="Cartão de crédito"/>
    <x v="0"/>
    <s v="N"/>
    <x v="2"/>
    <s v="Intercement Nacoes Unidas"/>
    <s v="-"/>
    <s v="-"/>
    <s v="-"/>
    <x v="2"/>
    <s v="-"/>
    <x v="10"/>
    <n v="0"/>
    <n v="0"/>
    <n v="0"/>
    <n v="0"/>
    <n v="0"/>
    <n v="0"/>
    <s v="Reserva importada do sistema Gover. Id: 4586749"/>
    <s v="Fornecedor não preenchido! (ACC01)"/>
    <x v="0"/>
    <x v="0"/>
    <s v="Campo Fornecedor"/>
    <x v="0"/>
    <s v="Sistêmico"/>
    <s v="GRUPO KONTIK"/>
    <x v="0"/>
  </r>
  <r>
    <n v="22814724"/>
    <n v="23601488"/>
    <s v="ACC01"/>
    <x v="15"/>
    <d v="2025-08-26T15:31:25"/>
    <x v="4"/>
    <x v="4"/>
    <n v="1174169057179"/>
    <s v="GOVER"/>
    <s v="Adriano Gamallo Gondim"/>
    <s v="Gover"/>
    <s v="Gover"/>
    <d v="2025-08-26T16:00:00"/>
    <n v="4588255"/>
    <s v="-"/>
    <s v="OFF LINE"/>
    <s v="Invoice"/>
    <s v="Faturado"/>
    <x v="0"/>
    <s v="N"/>
    <x v="2"/>
    <s v="Intercement Nacoes Unidas"/>
    <s v="-"/>
    <s v="-"/>
    <s v="-"/>
    <x v="2"/>
    <s v="-"/>
    <x v="11"/>
    <n v="33"/>
    <n v="0"/>
    <n v="0"/>
    <n v="0"/>
    <n v="0"/>
    <n v="0"/>
    <s v="Reserva importada do sistema Gover. Id: 4588255"/>
    <s v="Fornecedor não preenchido! (ACC01)"/>
    <x v="0"/>
    <x v="0"/>
    <s v="Campo Fornecedor"/>
    <x v="0"/>
    <s v="Sistêmico"/>
    <s v="GRUPO KONTIK"/>
    <x v="0"/>
  </r>
  <r>
    <n v="22875885"/>
    <n v="23654426"/>
    <s v="ACC01"/>
    <x v="16"/>
    <d v="2025-09-05T15:51:05"/>
    <x v="1"/>
    <x v="1"/>
    <n v="19881389"/>
    <s v="GOVER"/>
    <s v="Renato Labadia"/>
    <s v="Gover"/>
    <s v="Gover"/>
    <d v="2025-09-05T13:45:00"/>
    <n v="4593452"/>
    <s v="-"/>
    <s v="ON LINE"/>
    <s v="Cartão de crédito"/>
    <s v="Cartão de crédito"/>
    <x v="0"/>
    <s v="N"/>
    <x v="2"/>
    <s v="Intercement Nacoes Unidas"/>
    <s v="-"/>
    <s v="-"/>
    <s v="-"/>
    <x v="2"/>
    <s v="-"/>
    <x v="12"/>
    <n v="32.200000000000003"/>
    <n v="0"/>
    <n v="0"/>
    <n v="0"/>
    <n v="0"/>
    <n v="0"/>
    <s v="Reserva importada do sistema Gover. Id: 4593452"/>
    <s v="Fornecedor não preenchido! (ACC01)"/>
    <x v="0"/>
    <x v="0"/>
    <s v="Campo Fornecedor"/>
    <x v="0"/>
    <s v="Sistêmico"/>
    <s v="GRUPO KONTIK"/>
    <x v="0"/>
  </r>
  <r>
    <n v="22787117"/>
    <n v="23578675"/>
    <s v="ACC01"/>
    <x v="17"/>
    <d v="2025-09-02T13:15:46"/>
    <x v="2"/>
    <x v="4"/>
    <s v="CFC927"/>
    <s v="GOVER"/>
    <s v="Bruno de Oliveira e Silva"/>
    <s v="Wilson Jose Araujo de Gusmao Junior"/>
    <s v="Wilson Jose Araujo de Gusmao Junior"/>
    <d v="2025-08-21T17:57:00"/>
    <n v="4585211"/>
    <s v="National Car - Ar - Ex - Buenos Aires - Aeroparque Endereço: Av. Costanera Rafael Obligado S N"/>
    <s v="OFF LINE"/>
    <s v="Pagamento direto"/>
    <s v="Pagamento direto"/>
    <x v="1"/>
    <s v="N"/>
    <x v="3"/>
    <s v="Zf do Brasil - Divisao Ma"/>
    <s v="-"/>
    <s v="-"/>
    <s v="-"/>
    <x v="3"/>
    <s v="-"/>
    <x v="13"/>
    <n v="0"/>
    <n v="0"/>
    <n v="0"/>
    <n v="0"/>
    <n v="0"/>
    <n v="0"/>
    <s v="Reserva importada do sistema Gover. Id: 4585211"/>
    <s v="Fornecedor não preenchido! (ACC01)"/>
    <x v="0"/>
    <x v="0"/>
    <s v="Campo Fornecedor"/>
    <x v="0"/>
    <s v="Qualidade dos dados"/>
    <s v="KONTIK BUSINESS TRAVEL"/>
    <x v="1"/>
  </r>
  <r>
    <n v="22909385"/>
    <n v="23682586"/>
    <s v="ACC01"/>
    <x v="18"/>
    <d v="2025-09-11T15:22:01"/>
    <x v="3"/>
    <x v="3"/>
    <s v="BPRQLI"/>
    <s v="GOVER"/>
    <s v="Luis Augusto de Camargo Sotilo"/>
    <s v="Wilson Jose Araujo de Gusmao Junior"/>
    <s v="Wilson Jose Araujo de Gusmao Junior"/>
    <d v="2025-09-11T15:09:00"/>
    <n v="4595912"/>
    <s v="National Car - Ar - Ex - Buenos Aires - Aeroparque Endereço: Av. Costanera Rafael Obligado S N"/>
    <s v="OFF LINE"/>
    <s v="Pagamento direto"/>
    <s v="Pagamento direto"/>
    <x v="1"/>
    <s v="N"/>
    <x v="3"/>
    <s v="Zf do Brasil - Lemforder"/>
    <s v="-"/>
    <s v="-"/>
    <s v="-"/>
    <x v="3"/>
    <s v="-"/>
    <x v="14"/>
    <n v="0"/>
    <n v="0"/>
    <n v="0"/>
    <n v="0"/>
    <n v="0"/>
    <n v="0"/>
    <s v="Reserva importada do sistema Gover. Id: 4595912"/>
    <s v="Fornecedor não preenchido! (ACC01)"/>
    <x v="0"/>
    <x v="0"/>
    <s v="Campo Fornecedor"/>
    <x v="0"/>
    <s v="Qualidade dos dados"/>
    <s v="KONTIK BUSINESS TRAVEL"/>
    <x v="1"/>
  </r>
  <r>
    <n v="22869440"/>
    <n v="23648741"/>
    <s v="ACC01"/>
    <x v="19"/>
    <d v="2025-09-04T17:23:30"/>
    <x v="1"/>
    <x v="1"/>
    <s v="CXTGZ8"/>
    <s v="GOVER"/>
    <s v="Marcel Santarosa Porteiro"/>
    <s v="Wilson Jose Araujo de Gusmao Junior"/>
    <s v="Wilson Jose Araujo de Gusmao Junior"/>
    <d v="2025-09-04T16:23:00"/>
    <n v="4592707"/>
    <s v="National Car - Ar - Ex - Buenos Aires - Aeroparque Endereço: Av. Costanera Rafael Obligado S N"/>
    <s v="OFF LINE"/>
    <s v="Pagamento direto"/>
    <s v="Pagamento direto"/>
    <x v="1"/>
    <s v="N"/>
    <x v="3"/>
    <s v="Zf do Brasil - Cvs-sumare"/>
    <s v="-"/>
    <s v="-"/>
    <s v="-"/>
    <x v="3"/>
    <s v="-"/>
    <x v="15"/>
    <n v="0"/>
    <n v="0"/>
    <n v="0"/>
    <n v="0"/>
    <n v="0"/>
    <n v="0"/>
    <s v="Reserva importada do sistema Gover. Id: 4592707"/>
    <s v="Fornecedor não preenchido! (ACC01)"/>
    <x v="0"/>
    <x v="0"/>
    <s v="Campo Fornecedor"/>
    <x v="0"/>
    <s v="Qualidade dos dados"/>
    <s v="KONTIK BUSINESS TRAVEL"/>
    <x v="1"/>
  </r>
  <r>
    <n v="22897011"/>
    <n v="23671897"/>
    <s v="ACC01"/>
    <x v="20"/>
    <d v="2025-09-09T18:12:06"/>
    <x v="0"/>
    <x v="0"/>
    <n v="19930861"/>
    <s v="GOVER"/>
    <s v="Allan Guilherme de Castro Netto"/>
    <s v="Marcos de Oliveira Miklos"/>
    <s v="Marcos de Oliveira Miklos"/>
    <d v="2025-09-09T17:55:00"/>
    <n v="4594901"/>
    <s v="-"/>
    <s v="OFF LINE"/>
    <s v="Pagamento direto"/>
    <s v="Pagamento direto"/>
    <x v="0"/>
    <s v="N"/>
    <x v="3"/>
    <s v="Zf do Brasil - Cvs-sumare"/>
    <s v="-"/>
    <s v="-"/>
    <s v="-"/>
    <x v="3"/>
    <s v="-"/>
    <x v="16"/>
    <n v="0"/>
    <n v="0"/>
    <n v="0"/>
    <n v="0"/>
    <n v="0"/>
    <n v="0"/>
    <s v="Reserva importada do sistema Gover. Id: 4594901"/>
    <s v="Fornecedor não preenchido! (ACC01)"/>
    <x v="0"/>
    <x v="0"/>
    <s v="Campo Fornecedor"/>
    <x v="0"/>
    <s v="Sistêmico"/>
    <s v="GRUPO KONTIK"/>
    <x v="0"/>
  </r>
  <r>
    <n v="22848359"/>
    <n v="23629915"/>
    <s v="ACC01"/>
    <x v="21"/>
    <d v="2025-09-01T14:53:15"/>
    <x v="2"/>
    <x v="2"/>
    <n v="19802990"/>
    <s v="GOVER"/>
    <s v="Osmar da Silva Lopes"/>
    <s v="Gover"/>
    <s v="Gover"/>
    <d v="2025-09-01T12:26:00"/>
    <n v="4590802"/>
    <s v="-"/>
    <s v="ON LINE"/>
    <s v="Pagamento direto"/>
    <s v="Pagamento direto"/>
    <x v="0"/>
    <s v="N"/>
    <x v="3"/>
    <s v="Zf do Brasil - Cvs-campinas"/>
    <s v="-"/>
    <s v="-"/>
    <s v="-"/>
    <x v="3"/>
    <s v="-"/>
    <x v="17"/>
    <n v="26.3"/>
    <n v="0"/>
    <n v="0"/>
    <n v="0"/>
    <n v="0"/>
    <n v="0"/>
    <s v="Reserva importada do sistema Gover. Id: 4590802"/>
    <s v="Fornecedor não preenchido! (ACC01)"/>
    <x v="0"/>
    <x v="0"/>
    <s v="Campo Fornecedor"/>
    <x v="0"/>
    <s v="Sistêmico"/>
    <s v="GRUPO KONTIK"/>
    <x v="0"/>
  </r>
  <r>
    <n v="22880476"/>
    <n v="23658339"/>
    <s v="ACC01"/>
    <x v="22"/>
    <d v="2025-09-06T08:25:16"/>
    <x v="1"/>
    <x v="1"/>
    <s v="MV24KVTYAFBR"/>
    <s v="GOVER"/>
    <s v="Osmar da Silva Lopes"/>
    <s v="Gover"/>
    <s v="Gover"/>
    <d v="2025-09-06T08:12:00"/>
    <n v="4590799"/>
    <s v="Movida - Br - Es - Vitoria - Aeroporto Endereço: Avenida Roza Helena Schorling Albuquerque, 856 Ao L"/>
    <s v="OFF LINE"/>
    <s v="Pagamento direto"/>
    <s v="Pagamento direto"/>
    <x v="1"/>
    <s v="N"/>
    <x v="3"/>
    <s v="Zf do Brasil - Cvs-campinas"/>
    <s v="-"/>
    <s v="-"/>
    <s v="-"/>
    <x v="3"/>
    <s v="-"/>
    <x v="18"/>
    <n v="0"/>
    <n v="0"/>
    <n v="0"/>
    <n v="0"/>
    <n v="0"/>
    <n v="0"/>
    <s v="Reserva importada do sistema Gover. Id: 4590799"/>
    <s v="Fornecedor não preenchido! (ACC01)"/>
    <x v="0"/>
    <x v="0"/>
    <s v="Campo Fornecedor"/>
    <x v="0"/>
    <s v="Qualidade dos dados"/>
    <s v="KONTIK BUSINESS TRAVEL"/>
    <x v="1"/>
  </r>
  <r>
    <n v="22911577"/>
    <n v="23684733"/>
    <s v="ACC01"/>
    <x v="23"/>
    <d v="2025-09-11T21:16:04"/>
    <x v="3"/>
    <x v="3"/>
    <s v="5K693U"/>
    <s v="TMS"/>
    <s v="JULIANA MOLARI"/>
    <s v="ADRIANA MIRANDA COUTINHO"/>
    <s v="ADRIANA MIRANDA COUTINHO"/>
    <d v="2025-09-11T16:43:00"/>
    <n v="11654"/>
    <s v="-"/>
    <s v="OFF LINE"/>
    <s v="Cartão de crédito"/>
    <s v="Cartão de crédito"/>
    <x v="0"/>
    <s v="N"/>
    <x v="4"/>
    <s v="Braskem - Camacari"/>
    <s v="-"/>
    <s v="-"/>
    <s v="-"/>
    <x v="4"/>
    <s v="-"/>
    <x v="19"/>
    <n v="0"/>
    <n v="0"/>
    <n v="0"/>
    <n v="0"/>
    <n v="0"/>
    <n v="0"/>
    <s v="Reserva importada do Sistema TMS. OS: 11654"/>
    <s v="Fornecedor não preenchido! (ACC01)"/>
    <x v="2"/>
    <x v="0"/>
    <s v="Campo Fornecedor"/>
    <x v="0"/>
    <s v="Qualidade dos dados"/>
    <s v="KONTIK BUSINESS TRAVEL"/>
    <x v="1"/>
  </r>
  <r>
    <n v="22854486"/>
    <n v="23635292"/>
    <s v="ACC01"/>
    <x v="24"/>
    <d v="2025-09-11T13:37:14"/>
    <x v="3"/>
    <x v="2"/>
    <s v="5J9HVD"/>
    <s v="TMS"/>
    <s v="ADEMILTON SANTOS"/>
    <s v="Tms"/>
    <s v="Tms"/>
    <d v="2025-09-02T07:38:00"/>
    <n v="11407"/>
    <s v="-"/>
    <s v="ON LINE"/>
    <s v="Cartão de crédito"/>
    <s v="Cartão de crédito"/>
    <x v="0"/>
    <s v="N"/>
    <x v="4"/>
    <s v="Braskem - Camacari"/>
    <s v="-"/>
    <s v="-"/>
    <s v="-"/>
    <x v="4"/>
    <s v="-"/>
    <x v="20"/>
    <n v="0"/>
    <n v="0"/>
    <n v="0"/>
    <n v="0"/>
    <n v="0"/>
    <n v="0"/>
    <s v="Reserva importada do Sistema TMS. OS: 11407"/>
    <s v="Fornecedor não preenchido! (ACC01)"/>
    <x v="2"/>
    <x v="0"/>
    <s v="Campo Fornecedor"/>
    <x v="0"/>
    <s v="Sistêmico"/>
    <s v="GRUPO KONTIK"/>
    <x v="0"/>
  </r>
  <r>
    <n v="22847888"/>
    <n v="23629439"/>
    <s v="ACC01"/>
    <x v="25"/>
    <d v="2025-09-11T13:37:08"/>
    <x v="3"/>
    <x v="2"/>
    <s v="5J6OKQ"/>
    <s v="TMS"/>
    <s v="MARCELO DOMINGUEZ"/>
    <s v="Tms"/>
    <s v="Tms"/>
    <d v="2025-09-01T10:01:00"/>
    <n v="11372"/>
    <s v="-"/>
    <s v="ON LINE"/>
    <s v="Cartão de crédito"/>
    <s v="Cartão de crédito"/>
    <x v="0"/>
    <s v="N"/>
    <x v="4"/>
    <s v="Braskem - Camacari"/>
    <s v="-"/>
    <s v="-"/>
    <s v="-"/>
    <x v="4"/>
    <s v="-"/>
    <x v="21"/>
    <n v="0"/>
    <n v="0"/>
    <n v="0"/>
    <n v="0"/>
    <n v="9.64"/>
    <n v="0"/>
    <s v="Reserva importada do Sistema TMS. OS: 11372"/>
    <s v="Fornecedor não preenchido! (ACC01)"/>
    <x v="2"/>
    <x v="0"/>
    <s v="Campo Fornecedor"/>
    <x v="0"/>
    <s v="Sistêmico"/>
    <s v="GRUPO KONTIK"/>
    <x v="0"/>
  </r>
  <r>
    <n v="22850804"/>
    <n v="23632240"/>
    <s v="ACC01"/>
    <x v="26"/>
    <d v="2025-09-11T13:37:10"/>
    <x v="3"/>
    <x v="2"/>
    <s v="5JGX7S"/>
    <s v="TMS"/>
    <s v="FABIO SANTOS"/>
    <s v="Tms"/>
    <s v="Tms"/>
    <d v="2025-09-01T14:56:00"/>
    <n v="11406"/>
    <s v="-"/>
    <s v="ON LINE"/>
    <s v="Cartão de crédito"/>
    <s v="Cartão de crédito"/>
    <x v="0"/>
    <s v="N"/>
    <x v="4"/>
    <s v="Braskem - Camacari"/>
    <s v="-"/>
    <s v="-"/>
    <s v="-"/>
    <x v="4"/>
    <s v="-"/>
    <x v="20"/>
    <n v="0"/>
    <n v="0"/>
    <n v="0"/>
    <n v="0"/>
    <n v="0"/>
    <n v="0"/>
    <s v="Reserva importada do Sistema TMS. OS: 11406"/>
    <s v="Fornecedor não preenchido! (ACC01)"/>
    <x v="2"/>
    <x v="0"/>
    <s v="Campo Fornecedor"/>
    <x v="0"/>
    <s v="Sistêmico"/>
    <s v="GRUPO KONTIK"/>
    <x v="0"/>
  </r>
  <r>
    <n v="22850806"/>
    <n v="23632241"/>
    <s v="ACC01"/>
    <x v="27"/>
    <d v="2025-09-11T13:37:11"/>
    <x v="3"/>
    <x v="2"/>
    <s v="5J6SUX"/>
    <s v="TMS"/>
    <s v="BRUNO GODINHO"/>
    <s v="Tms"/>
    <s v="Tms"/>
    <d v="2025-09-01T16:59:00"/>
    <n v="11405"/>
    <s v="-"/>
    <s v="ON LINE"/>
    <s v="Cartão de crédito"/>
    <s v="Cartão de crédito"/>
    <x v="0"/>
    <s v="N"/>
    <x v="4"/>
    <s v="Braskem - Camacari"/>
    <s v="-"/>
    <s v="-"/>
    <s v="-"/>
    <x v="4"/>
    <s v="-"/>
    <x v="20"/>
    <n v="0"/>
    <n v="0"/>
    <n v="0"/>
    <n v="0"/>
    <n v="0"/>
    <n v="0"/>
    <s v="Reserva importada do Sistema TMS. OS: 11405"/>
    <s v="Fornecedor não preenchido! (ACC01)"/>
    <x v="2"/>
    <x v="0"/>
    <s v="Campo Fornecedor"/>
    <x v="0"/>
    <s v="Sistêmico"/>
    <s v="GRUPO KONTIK"/>
    <x v="0"/>
  </r>
  <r>
    <n v="22911560"/>
    <n v="23684716"/>
    <s v="ACC01"/>
    <x v="28"/>
    <d v="2025-09-11T21:11:18"/>
    <x v="3"/>
    <x v="3"/>
    <s v="5KJ8E7"/>
    <s v="TMS"/>
    <s v="LUCAS SCHMIDT"/>
    <s v="Tms"/>
    <s v="Tms"/>
    <d v="2025-09-11T14:46:00"/>
    <n v="11864"/>
    <s v="Passo Fundo / PFB"/>
    <s v="ON LINE"/>
    <s v="Invoice"/>
    <s v="Faturado"/>
    <x v="1"/>
    <s v="N"/>
    <x v="4"/>
    <s v="Braskem - Camacari"/>
    <s v="-"/>
    <s v="-"/>
    <s v="-"/>
    <x v="4"/>
    <s v="-"/>
    <x v="22"/>
    <n v="0"/>
    <n v="0"/>
    <n v="0"/>
    <n v="0"/>
    <n v="0"/>
    <n v="0"/>
    <s v="Reserva importada do Sistema TMS. OS: 11864"/>
    <s v="Fornecedor não preenchido! (ACC01)"/>
    <x v="2"/>
    <x v="0"/>
    <s v="Campo Fornecedor"/>
    <x v="0"/>
    <s v="Qualidade dos dados"/>
    <s v="KONTIK BUSINESS TRAVEL"/>
    <x v="1"/>
  </r>
  <r>
    <n v="22912828"/>
    <n v="23685776"/>
    <s v="ACC01"/>
    <x v="29"/>
    <d v="2025-09-12T01:11:08"/>
    <x v="3"/>
    <x v="3"/>
    <s v="5KKG67"/>
    <s v="TMS"/>
    <s v="ANTONIO BARBOSA"/>
    <s v="Tms"/>
    <s v="Tms"/>
    <d v="2025-09-11T20:28:00"/>
    <n v="11883"/>
    <s v="Brasília / BSB"/>
    <s v="ON LINE"/>
    <s v="Invoice"/>
    <s v="Faturado"/>
    <x v="1"/>
    <s v="N"/>
    <x v="4"/>
    <s v="Braskem - Camacari"/>
    <s v="-"/>
    <s v="-"/>
    <s v="-"/>
    <x v="4"/>
    <s v="-"/>
    <x v="23"/>
    <n v="0"/>
    <n v="0"/>
    <n v="0"/>
    <n v="0"/>
    <n v="0"/>
    <n v="0"/>
    <s v="Reserva importada do Sistema TMS. OS: 11883"/>
    <s v="Fornecedor não preenchido! (ACC01)"/>
    <x v="2"/>
    <x v="0"/>
    <s v="Campo Fornecedor"/>
    <x v="0"/>
    <s v="Qualidade dos dados"/>
    <s v="KONTIK BUSINESS TRAVEL"/>
    <x v="1"/>
  </r>
  <r>
    <n v="22857168"/>
    <n v="23637907"/>
    <s v="ACC01"/>
    <x v="30"/>
    <d v="2025-09-11T13:38:09"/>
    <x v="3"/>
    <x v="2"/>
    <s v="5JYTDV"/>
    <s v="TMS"/>
    <s v="LUCIANA PAULA"/>
    <s v="Tms"/>
    <s v="Tms"/>
    <d v="2025-09-02T13:56:00"/>
    <n v="1078"/>
    <s v="-"/>
    <s v="ON LINE"/>
    <s v="Cartão de crédito"/>
    <s v="Cartão de crédito"/>
    <x v="0"/>
    <s v="N"/>
    <x v="5"/>
    <s v="Argo It"/>
    <s v="-"/>
    <s v="-"/>
    <s v="-"/>
    <x v="5"/>
    <s v="-"/>
    <x v="24"/>
    <n v="0"/>
    <n v="0"/>
    <n v="0"/>
    <n v="0"/>
    <n v="66.75"/>
    <n v="0"/>
    <s v="Reserva importada do Sistema TMS. OS: 1078"/>
    <s v="Fornecedor não preenchido! (ACC01)"/>
    <x v="2"/>
    <x v="0"/>
    <s v="Campo Fornecedor"/>
    <x v="0"/>
    <s v="Sistêmico"/>
    <s v="GRUPO KONTIK"/>
    <x v="0"/>
  </r>
  <r>
    <n v="22812117"/>
    <n v="23598986"/>
    <s v="ACC01"/>
    <x v="31"/>
    <d v="2025-08-26T08:06:19"/>
    <x v="4"/>
    <x v="4"/>
    <s v="GEZSZNT"/>
    <s v="SABRE"/>
    <s v="BARREIRA/ARTHUR BRAMBILLA"/>
    <s v="WS"/>
    <s v="WS"/>
    <d v="2025-08-25T19:06:00"/>
    <s v="GEZSZN"/>
    <s v="-"/>
    <s v="ON LINE"/>
    <s v="Cartão de crédito"/>
    <s v="Cartão de crédito"/>
    <x v="0"/>
    <s v="N"/>
    <x v="6"/>
    <s v="Wallenius"/>
    <s v="-"/>
    <s v="-"/>
    <s v="-"/>
    <x v="6"/>
    <s v="-"/>
    <x v="25"/>
    <n v="154.68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132"/>
    <n v="23679100"/>
    <s v="ACC01"/>
    <x v="32"/>
    <d v="2025-09-10T21:19:01"/>
    <x v="3"/>
    <x v="3"/>
    <s v="HXRZIAT"/>
    <s v="SABRE"/>
    <s v="MACIEL SILVA/IRIS"/>
    <s v="Paulo Roberto Mendes da Silva"/>
    <s v="Paulo Roberto Mendes da Silva"/>
    <d v="2025-09-09T15:22:00"/>
    <s v="HXRZIA"/>
    <s v="-"/>
    <s v="OFF LINE"/>
    <s v="Cartão de crédito"/>
    <s v="Cartão de crédito"/>
    <x v="0"/>
    <s v="N"/>
    <x v="7"/>
    <s v="Iron Mountain"/>
    <s v="-"/>
    <s v="-"/>
    <s v="-"/>
    <x v="7"/>
    <s v="-"/>
    <x v="2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109"/>
    <n v="23679084"/>
    <s v="ACC01"/>
    <x v="33"/>
    <d v="2025-09-10T21:19:00"/>
    <x v="3"/>
    <x v="3"/>
    <s v="EIUWMST"/>
    <s v="SABRE"/>
    <s v="DA LUZ/DIEGO"/>
    <s v="Paulo Roberto Mendes da Silva"/>
    <s v="Paulo Roberto Mendes da Silva"/>
    <d v="2025-09-09T12:57:00"/>
    <s v="EIUWMS"/>
    <s v="-"/>
    <s v="OFF LINE"/>
    <s v="Cartão de crédito"/>
    <s v="Cartão de crédito"/>
    <x v="0"/>
    <s v="N"/>
    <x v="7"/>
    <s v="Iron Mountain"/>
    <s v="-"/>
    <s v="-"/>
    <s v="-"/>
    <x v="7"/>
    <s v="-"/>
    <x v="2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112"/>
    <n v="23679086"/>
    <s v="ACC01"/>
    <x v="34"/>
    <d v="2025-09-10T21:19:00"/>
    <x v="3"/>
    <x v="3"/>
    <s v="OUENHUT"/>
    <s v="SABRE"/>
    <s v="SOUTO/MARCIO"/>
    <s v="Paulo Roberto Mendes da Silva"/>
    <s v="Paulo Roberto Mendes da Silva"/>
    <d v="2025-09-09T13:09:00"/>
    <s v="OUENHU"/>
    <s v="-"/>
    <s v="OFF LINE"/>
    <s v="Cartão de crédito"/>
    <s v="Cartão de crédito"/>
    <x v="0"/>
    <s v="N"/>
    <x v="7"/>
    <s v="Iron Mountain"/>
    <s v="-"/>
    <s v="-"/>
    <s v="-"/>
    <x v="7"/>
    <s v="-"/>
    <x v="2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1171"/>
    <n v="23684347"/>
    <s v="ACC01"/>
    <x v="35"/>
    <d v="2025-09-11T20:32:20"/>
    <x v="3"/>
    <x v="3"/>
    <s v="5KJ1SJ"/>
    <s v="TMS"/>
    <s v="STUART HOULE"/>
    <s v="Tms"/>
    <s v="Tms"/>
    <d v="2025-09-11T13:53:00"/>
    <n v="17678"/>
    <s v="Fortaleza / FOR"/>
    <s v="ON LINE"/>
    <s v="Invoice"/>
    <s v="Faturado"/>
    <x v="1"/>
    <s v="N"/>
    <x v="8"/>
    <s v="Petroreconcavo"/>
    <s v="-"/>
    <s v="-"/>
    <s v="-"/>
    <x v="8"/>
    <s v="-"/>
    <x v="28"/>
    <n v="0"/>
    <n v="0"/>
    <n v="0"/>
    <n v="0"/>
    <n v="0"/>
    <n v="0"/>
    <s v="Reserva importada do Sistema TMS. OS: 17678"/>
    <s v="Fornecedor não preenchido! (ACC01)"/>
    <x v="2"/>
    <x v="0"/>
    <s v="Campo Fornecedor"/>
    <x v="0"/>
    <s v="Qualidade dos dados"/>
    <s v="KONTIK BUSINESS TRAVEL"/>
    <x v="1"/>
  </r>
  <r>
    <n v="22909998"/>
    <n v="23683213"/>
    <s v="ACC01"/>
    <x v="36"/>
    <d v="2025-09-11T17:11:05"/>
    <x v="3"/>
    <x v="3"/>
    <s v="YJQORJ"/>
    <s v="GOVER"/>
    <s v="Gustavo Adolfo Manzano Soares"/>
    <s v="Gover"/>
    <s v="Gover"/>
    <d v="2025-09-11T16:53:00"/>
    <n v="4596424"/>
    <s v="-"/>
    <s v="OFF LINE"/>
    <s v="Invoice"/>
    <s v="Faturado"/>
    <x v="0"/>
    <s v="N"/>
    <x v="9"/>
    <s v="Fm Global - Servicos"/>
    <s v="Cliente FEE no POS"/>
    <s v="-"/>
    <s v="-"/>
    <x v="9"/>
    <s v="-"/>
    <x v="29"/>
    <n v="4.5"/>
    <n v="0"/>
    <n v="0"/>
    <n v="0"/>
    <n v="0"/>
    <n v="0"/>
    <s v="Reserva importada do sistema Gover. Id: 4596424"/>
    <s v="Este cliente não possui permissão para usar este tipo de pagamento e recebimento para este produto."/>
    <x v="0"/>
    <x v="1"/>
    <s v="Forma PG. e REC."/>
    <x v="0"/>
    <s v="Qualidade dos dados"/>
    <s v="KONTIK BUSINESS TRAVEL"/>
    <x v="2"/>
  </r>
  <r>
    <n v="22867368"/>
    <n v="23646448"/>
    <s v="ACC01"/>
    <x v="37"/>
    <d v="2025-09-05T03:12:21"/>
    <x v="1"/>
    <x v="1"/>
    <n v="84335266"/>
    <s v="GOVER"/>
    <s v="Felipe Selzer Raymann"/>
    <s v="Karen Aparecida Ferreira"/>
    <s v="Karen Aparecida Ferreira"/>
    <d v="2025-09-03T18:00:00"/>
    <n v="4592242"/>
    <s v="-"/>
    <s v="OFF LINE"/>
    <s v="Cartão de crédito"/>
    <s v="Cartão de crédito"/>
    <x v="0"/>
    <s v="N"/>
    <x v="9"/>
    <s v="Fm Global - Servicos"/>
    <s v="Cliente FEE no POS"/>
    <s v="-"/>
    <s v="-"/>
    <x v="9"/>
    <s v="-"/>
    <x v="30"/>
    <n v="51.9"/>
    <n v="0"/>
    <n v="0"/>
    <n v="0"/>
    <n v="0"/>
    <n v="72"/>
    <s v="Reserva importada do sistema Gover. Id: 4592242"/>
    <s v="Fornecedor não preenchido! (ACC01)"/>
    <x v="0"/>
    <x v="0"/>
    <s v="Campo Fornecedor"/>
    <x v="0"/>
    <s v="Sistêmico"/>
    <s v="GRUPO KONTIK"/>
    <x v="0"/>
  </r>
  <r>
    <n v="22827664"/>
    <n v="23612999"/>
    <s v="ACC01"/>
    <x v="38"/>
    <d v="2025-08-29T03:06:37"/>
    <x v="2"/>
    <x v="2"/>
    <s v="JHGFES"/>
    <s v="GOVER"/>
    <s v="Alexandre Marques Crisol"/>
    <s v="Karen Aparecida Ferreira"/>
    <s v="Karen Aparecida Ferreira"/>
    <d v="2025-08-27T18:55:00"/>
    <n v="4589450"/>
    <s v="-"/>
    <s v="OFF LINE"/>
    <s v="Cartão de crédito"/>
    <s v="Cartão de crédito"/>
    <x v="0"/>
    <s v="N"/>
    <x v="9"/>
    <s v="Fm Global - Servicos"/>
    <s v="Cliente FEE no POS"/>
    <s v="-"/>
    <s v="-"/>
    <x v="9"/>
    <s v="-"/>
    <x v="31"/>
    <n v="0"/>
    <n v="0"/>
    <n v="0"/>
    <n v="0"/>
    <n v="0"/>
    <n v="72"/>
    <s v="Reserva importada do sistema Gover. Id: 4589450"/>
    <s v="Fornecedor não preenchido! (ACC01)"/>
    <x v="0"/>
    <x v="0"/>
    <s v="Campo Fornecedor"/>
    <x v="0"/>
    <s v="Sistêmico"/>
    <s v="GRUPO KONTIK"/>
    <x v="0"/>
  </r>
  <r>
    <n v="22907842"/>
    <n v="23681210"/>
    <s v="ACC01"/>
    <x v="39"/>
    <d v="2025-09-12T03:14:15"/>
    <x v="3"/>
    <x v="3"/>
    <s v="SBR00000609119"/>
    <s v="GOVER"/>
    <s v="Felipe Augusto Romualdo Dos Santos"/>
    <s v="Karen Aparecida Ferreira"/>
    <s v="Karen Aparecida Ferreira"/>
    <d v="2025-09-09T15:01:00"/>
    <n v="4595060"/>
    <s v="-"/>
    <s v="OFF LINE"/>
    <s v="Cartão de crédito"/>
    <s v="Cartão de crédito"/>
    <x v="0"/>
    <s v="N"/>
    <x v="9"/>
    <s v="Fm Global - Servicos"/>
    <s v="Cliente FEE no POS"/>
    <s v="-"/>
    <s v="-"/>
    <x v="9"/>
    <s v="-"/>
    <x v="32"/>
    <n v="0"/>
    <n v="0"/>
    <n v="0"/>
    <n v="0"/>
    <n v="0"/>
    <n v="72"/>
    <s v="Reserva importada do sistema Gover. Id: 4595060"/>
    <s v="Fornecedor não preenchido! (ACC01)"/>
    <x v="0"/>
    <x v="0"/>
    <s v="Campo Fornecedor"/>
    <x v="0"/>
    <s v="Sistêmico"/>
    <s v="GRUPO KONTIK"/>
    <x v="0"/>
  </r>
  <r>
    <n v="22847781"/>
    <n v="23629328"/>
    <s v="ACC01"/>
    <x v="40"/>
    <d v="2025-09-01T12:51:03"/>
    <x v="2"/>
    <x v="2"/>
    <n v="19801003"/>
    <s v="GOVER"/>
    <s v="PAULO MARGONARI ADAMO"/>
    <s v="Gover"/>
    <s v="Gover"/>
    <d v="2025-09-01T11:15:00"/>
    <n v="4590745"/>
    <s v="-"/>
    <s v="ON LINE"/>
    <s v="Cartão de crédito"/>
    <s v="Cartão de crédito"/>
    <x v="0"/>
    <s v="N"/>
    <x v="10"/>
    <s v="Lojas Avenida S.a."/>
    <s v="-"/>
    <s v="-"/>
    <s v="-"/>
    <x v="3"/>
    <s v="-"/>
    <x v="33"/>
    <n v="0"/>
    <n v="0"/>
    <n v="0"/>
    <n v="0"/>
    <n v="0"/>
    <n v="0"/>
    <s v="Reserva importada do sistema Gover. Id: 4590745"/>
    <s v="Fornecedor não preenchido! (ACC01)"/>
    <x v="0"/>
    <x v="0"/>
    <s v="Campo Fornecedor"/>
    <x v="0"/>
    <s v="Sistêmico"/>
    <s v="GRUPO KONTIK"/>
    <x v="0"/>
  </r>
  <r>
    <n v="22847783"/>
    <n v="23629330"/>
    <s v="ACC01"/>
    <x v="41"/>
    <d v="2025-09-01T12:51:04"/>
    <x v="2"/>
    <x v="2"/>
    <n v="19801015"/>
    <s v="GOVER"/>
    <s v="CAMILA  RODRIGUES SANTORO"/>
    <s v="Gover"/>
    <s v="Gover"/>
    <d v="2025-09-01T11:15:00"/>
    <n v="4590746"/>
    <s v="-"/>
    <s v="ON LINE"/>
    <s v="Cartão de crédito"/>
    <s v="Cartão de crédito"/>
    <x v="0"/>
    <s v="N"/>
    <x v="10"/>
    <s v="Lojas Avenida S.a."/>
    <s v="-"/>
    <s v="-"/>
    <s v="-"/>
    <x v="3"/>
    <s v="-"/>
    <x v="33"/>
    <n v="0"/>
    <n v="0"/>
    <n v="0"/>
    <n v="0"/>
    <n v="0"/>
    <n v="0"/>
    <s v="Reserva importada do sistema Gover. Id: 4590746"/>
    <s v="Fornecedor não preenchido! (ACC01)"/>
    <x v="0"/>
    <x v="0"/>
    <s v="Campo Fornecedor"/>
    <x v="0"/>
    <s v="Sistêmico"/>
    <s v="GRUPO KONTIK"/>
    <x v="0"/>
  </r>
  <r>
    <n v="22874266"/>
    <n v="23652830"/>
    <s v="ACC01"/>
    <x v="42"/>
    <d v="2025-09-05T11:21:14"/>
    <x v="1"/>
    <x v="1"/>
    <n v="19876808"/>
    <s v="GOVER"/>
    <s v="GUTIERRIS BENICIO IGNES"/>
    <s v="Gover"/>
    <s v="Gover"/>
    <d v="2025-09-05T10:18:00"/>
    <n v="4593293"/>
    <s v="-"/>
    <s v="ON LINE"/>
    <s v="Cartão de crédito"/>
    <s v="Cartão de crédito"/>
    <x v="0"/>
    <s v="N"/>
    <x v="10"/>
    <s v="Lojas Avenida S.a."/>
    <s v="-"/>
    <s v="-"/>
    <s v="-"/>
    <x v="3"/>
    <s v="-"/>
    <x v="34"/>
    <n v="13.15"/>
    <n v="0"/>
    <n v="0"/>
    <n v="0"/>
    <n v="0"/>
    <n v="0"/>
    <s v="Reserva importada do sistema Gover. Id: 4593293"/>
    <s v="Fornecedor não preenchido! (ACC01)"/>
    <x v="0"/>
    <x v="0"/>
    <s v="Campo Fornecedor"/>
    <x v="0"/>
    <s v="Sistêmico"/>
    <s v="GRUPO KONTIK"/>
    <x v="0"/>
  </r>
  <r>
    <n v="22853399"/>
    <n v="23634238"/>
    <s v="ACC01"/>
    <x v="43"/>
    <d v="2025-09-02T10:51:17"/>
    <x v="2"/>
    <x v="2"/>
    <s v="MV3024LSEUBR"/>
    <s v="GOVER"/>
    <s v="Renata Fernandes Vieira Camargo"/>
    <s v="Marcos de Oliveira Miklos"/>
    <s v="Marcos de Oliveira Miklos"/>
    <d v="2025-09-02T10:36:00"/>
    <n v="4590237"/>
    <s v="Movida - Br - Sp - Sao Paulo - Pinheiros Endereço: Avenida Reboucas, 3970 Pinheiros"/>
    <s v="OFF LINE"/>
    <s v="Invoice"/>
    <s v="Faturado"/>
    <x v="1"/>
    <s v="N"/>
    <x v="11"/>
    <s v="Unica Sp"/>
    <s v="-"/>
    <s v="-"/>
    <s v="-"/>
    <x v="3"/>
    <s v="-"/>
    <x v="35"/>
    <n v="0"/>
    <n v="0"/>
    <n v="0"/>
    <n v="0"/>
    <n v="0"/>
    <n v="0"/>
    <s v="Reserva importada do sistema Gover. Id: 4590237"/>
    <s v="Fornecedor não preenchido! (ACC01)"/>
    <x v="0"/>
    <x v="0"/>
    <s v="Campo Fornecedor"/>
    <x v="0"/>
    <s v="Qualidade dos dados"/>
    <s v="KONTIK BUSINESS TRAVEL"/>
    <x v="1"/>
  </r>
  <r>
    <n v="22875800"/>
    <n v="23654337"/>
    <s v="ACC01"/>
    <x v="44"/>
    <d v="2025-09-05T15:33:13"/>
    <x v="1"/>
    <x v="1"/>
    <n v="19878556"/>
    <s v="GOVER"/>
    <s v="Isabella Martinez Gasparetto "/>
    <s v="Gover"/>
    <s v="Gover"/>
    <d v="2025-09-05T11:21:00"/>
    <n v="4593353"/>
    <s v="-"/>
    <s v="ON LINE"/>
    <s v="Cartão de crédito"/>
    <s v="Cartão de crédito"/>
    <x v="0"/>
    <s v="N"/>
    <x v="12"/>
    <s v="Falcon Goiania"/>
    <s v="-"/>
    <s v="-"/>
    <s v="-"/>
    <x v="10"/>
    <s v="-"/>
    <x v="11"/>
    <n v="0"/>
    <n v="0"/>
    <n v="0"/>
    <n v="0"/>
    <n v="0"/>
    <n v="0"/>
    <s v="Reserva importada do sistema Gover. Id: 4593353"/>
    <s v="Fornecedor não preenchido! (ACC01)"/>
    <x v="0"/>
    <x v="0"/>
    <s v="Campo Fornecedor"/>
    <x v="0"/>
    <s v="Sistêmico"/>
    <s v="GRUPO KONTIK"/>
    <x v="0"/>
  </r>
  <r>
    <n v="22875842"/>
    <n v="23654386"/>
    <s v="ACC01"/>
    <x v="45"/>
    <d v="2025-09-05T15:40:35"/>
    <x v="1"/>
    <x v="1"/>
    <n v="19878467"/>
    <s v="GOVER"/>
    <s v="JULIA KHOURI PLUT"/>
    <s v="Gover"/>
    <s v="Gover"/>
    <d v="2025-09-05T11:19:00"/>
    <n v="4593347"/>
    <s v="-"/>
    <s v="ON LINE"/>
    <s v="Cartão de crédito"/>
    <s v="Cartão de crédito"/>
    <x v="0"/>
    <s v="N"/>
    <x v="12"/>
    <s v="Falcon Goiania"/>
    <s v="-"/>
    <s v="-"/>
    <s v="-"/>
    <x v="10"/>
    <s v="-"/>
    <x v="11"/>
    <n v="0"/>
    <n v="0"/>
    <n v="0"/>
    <n v="0"/>
    <n v="0"/>
    <n v="0"/>
    <s v="Reserva importada do sistema Gover. Id: 4593347"/>
    <s v="Fornecedor não preenchido! (ACC01)"/>
    <x v="0"/>
    <x v="0"/>
    <s v="Campo Fornecedor"/>
    <x v="0"/>
    <s v="Sistêmico"/>
    <s v="GRUPO KONTIK"/>
    <x v="0"/>
  </r>
  <r>
    <n v="22860115"/>
    <n v="23640136"/>
    <s v="ACC01"/>
    <x v="46"/>
    <d v="2025-09-03T10:20:22"/>
    <x v="2"/>
    <x v="2"/>
    <n v="19788177"/>
    <s v="GOVER"/>
    <s v="Jacques Alexandre Dos Santos Modesto"/>
    <s v="Gover"/>
    <s v="Gover"/>
    <d v="2025-08-29T17:06:00"/>
    <n v="4590344"/>
    <s v="-"/>
    <s v="ON LINE"/>
    <s v="Cartão de crédito"/>
    <s v="Cartão de crédito"/>
    <x v="0"/>
    <s v="N"/>
    <x v="12"/>
    <s v="Falcon Goiania"/>
    <s v="-"/>
    <s v="-"/>
    <s v="-"/>
    <x v="10"/>
    <s v="-"/>
    <x v="36"/>
    <n v="0"/>
    <n v="0"/>
    <n v="0"/>
    <n v="0"/>
    <n v="0"/>
    <n v="0"/>
    <s v="Reserva importada do sistema Gover. Id: 4590344"/>
    <s v="Fornecedor não preenchido! (ACC01)"/>
    <x v="0"/>
    <x v="0"/>
    <s v="Campo Fornecedor"/>
    <x v="0"/>
    <s v="Sistêmico"/>
    <s v="GRUPO KONTIK"/>
    <x v="0"/>
  </r>
  <r>
    <n v="22879085"/>
    <n v="23657424"/>
    <s v="ACC01"/>
    <x v="47"/>
    <d v="2025-09-12T06:10:43"/>
    <x v="3"/>
    <x v="1"/>
    <s v="5K8K2P"/>
    <s v="TMS"/>
    <s v="JOSE DA CONCEIÇÃO"/>
    <s v="Sergio Henrique Mendes"/>
    <s v="Sergio Henrique Mendes"/>
    <d v="2025-09-05T09:49:00"/>
    <n v="46594"/>
    <s v="-"/>
    <s v="OFF LINE"/>
    <s v="Invoice"/>
    <s v="Faturado"/>
    <x v="2"/>
    <s v="N"/>
    <x v="13"/>
    <s v="Htb Construcoes"/>
    <s v="-"/>
    <s v="-"/>
    <s v="-"/>
    <x v="11"/>
    <s v="-"/>
    <x v="37"/>
    <n v="11.95"/>
    <n v="0"/>
    <n v="0"/>
    <n v="0"/>
    <n v="0"/>
    <n v="0"/>
    <s v="Reserva importada do Sistema TMS. OS: 46594"/>
    <s v="Fornecedor não preenchido! (ACC01)"/>
    <x v="2"/>
    <x v="0"/>
    <s v="Campo Fornecedor"/>
    <x v="0"/>
    <s v="Qualidade dos dados"/>
    <s v="KONTIK BUSINESS TRAVEL"/>
    <x v="1"/>
  </r>
  <r>
    <n v="22879086"/>
    <n v="23657425"/>
    <s v="ACC01"/>
    <x v="48"/>
    <d v="2025-09-12T06:10:43"/>
    <x v="3"/>
    <x v="1"/>
    <s v="5KNKWM"/>
    <s v="TMS"/>
    <s v="FRANCISCO SILVA BARROS"/>
    <s v="Sergio Henrique Mendes"/>
    <s v="Sergio Henrique Mendes"/>
    <d v="2025-09-05T09:33:00"/>
    <n v="46593"/>
    <s v="-"/>
    <s v="OFF LINE"/>
    <s v="Invoice"/>
    <s v="Faturado"/>
    <x v="2"/>
    <s v="N"/>
    <x v="13"/>
    <s v="Htb Construcoes"/>
    <s v="-"/>
    <s v="-"/>
    <s v="-"/>
    <x v="11"/>
    <s v="-"/>
    <x v="37"/>
    <n v="11.95"/>
    <n v="0"/>
    <n v="0"/>
    <n v="0"/>
    <n v="0"/>
    <n v="0"/>
    <s v="Reserva importada do Sistema TMS. OS: 46593"/>
    <s v="Fornecedor não preenchido! (ACC01)"/>
    <x v="2"/>
    <x v="0"/>
    <s v="Campo Fornecedor"/>
    <x v="0"/>
    <s v="Qualidade dos dados"/>
    <s v="KONTIK BUSINESS TRAVEL"/>
    <x v="1"/>
  </r>
  <r>
    <n v="22906116"/>
    <n v="23680000"/>
    <s v="ACC01"/>
    <x v="49"/>
    <d v="2025-09-12T06:10:44"/>
    <x v="3"/>
    <x v="3"/>
    <s v="5KAHP6"/>
    <s v="TMS"/>
    <s v="ANTONIELLI DA SILVEIRA DE LIMA"/>
    <s v="Cintya Cocco Figueiredo"/>
    <s v="Cintya Cocco Figueiredo"/>
    <d v="2025-09-10T16:39:00"/>
    <n v="46687"/>
    <s v="-"/>
    <s v="OFF LINE"/>
    <s v="Invoice"/>
    <s v="Faturado"/>
    <x v="2"/>
    <s v="N"/>
    <x v="13"/>
    <s v="Tedesco"/>
    <s v="-"/>
    <s v="-"/>
    <s v="-"/>
    <x v="11"/>
    <s v="-"/>
    <x v="38"/>
    <n v="10.95"/>
    <n v="0"/>
    <n v="0"/>
    <n v="0"/>
    <n v="0"/>
    <n v="0"/>
    <s v="Reserva importada do Sistema TMS. OS: 46687"/>
    <s v="Fornecedor não preenchido! (ACC01)"/>
    <x v="2"/>
    <x v="0"/>
    <s v="Campo Fornecedor"/>
    <x v="0"/>
    <s v="Qualidade dos dados"/>
    <s v="KONTIK BUSINESS TRAVEL"/>
    <x v="1"/>
  </r>
  <r>
    <n v="22890454"/>
    <n v="23666002"/>
    <s v="ACC01"/>
    <x v="50"/>
    <d v="2025-09-08T17:31:05"/>
    <x v="0"/>
    <x v="0"/>
    <s v="AYSR9F"/>
    <s v="GOVER"/>
    <s v="Patricia Rodrigues da Cunha Goto"/>
    <s v="Wilson Jose Araujo de Gusmao Junior"/>
    <s v="Wilson Jose Araujo de Gusmao Junior"/>
    <d v="2025-09-08T17:19:00"/>
    <n v="4594063"/>
    <s v="Budget - Us - Ca - San Francisco Intl Airport-SFO Endereço: 780 Mcdonnell Rd"/>
    <s v="OFF LINE"/>
    <s v="Invoice"/>
    <s v="Faturado"/>
    <x v="1"/>
    <s v="N"/>
    <x v="14"/>
    <s v="Santista Textil S/a"/>
    <s v="-"/>
    <s v="-"/>
    <s v="-"/>
    <x v="3"/>
    <s v="-"/>
    <x v="39"/>
    <n v="4.24"/>
    <n v="0"/>
    <n v="0"/>
    <n v="0"/>
    <n v="0"/>
    <n v="0"/>
    <s v="Reserva importada do sistema Gover. Id: 4594063"/>
    <s v="Fornecedor não preenchido! (ACC01)"/>
    <x v="0"/>
    <x v="0"/>
    <s v="Campo Fornecedor"/>
    <x v="0"/>
    <s v="Qualidade dos dados"/>
    <s v="KONTIK BUSINESS TRAVEL"/>
    <x v="1"/>
  </r>
  <r>
    <n v="22911442"/>
    <n v="23684605"/>
    <s v="ACC01"/>
    <x v="51"/>
    <d v="2025-09-11T21:05:53"/>
    <x v="3"/>
    <x v="3"/>
    <s v="5K8TC7"/>
    <s v="TMS"/>
    <s v="FERNANDO LIANI"/>
    <s v="Tms"/>
    <s v="Tms"/>
    <d v="2025-09-11T18:25:00"/>
    <n v="232669"/>
    <s v="Brasília / BSB"/>
    <s v="ON LINE"/>
    <s v="Invoice"/>
    <s v="Faturado"/>
    <x v="1"/>
    <s v="N"/>
    <x v="15"/>
    <s v="Kpmg"/>
    <s v="-"/>
    <s v="-"/>
    <s v="-"/>
    <x v="12"/>
    <s v="-"/>
    <x v="40"/>
    <n v="0"/>
    <n v="0"/>
    <n v="0"/>
    <n v="0"/>
    <n v="0"/>
    <n v="0"/>
    <s v="Reserva importada do Sistema TMS. OS: 232669"/>
    <s v="Fornecedor não preenchido! (ACC01)"/>
    <x v="2"/>
    <x v="0"/>
    <s v="Campo Fornecedor"/>
    <x v="0"/>
    <s v="Qualidade dos dados"/>
    <s v="KONTIK BUSINESS TRAVEL"/>
    <x v="1"/>
  </r>
  <r>
    <n v="22909695"/>
    <n v="23682932"/>
    <s v="ACC01"/>
    <x v="52"/>
    <d v="2025-09-11T16:22:15"/>
    <x v="3"/>
    <x v="3"/>
    <s v="5KZLYH"/>
    <s v="TMS"/>
    <s v="LORHANY ALMEIDA"/>
    <s v="Robson Amaro Santos da Silva"/>
    <s v="Robson Amaro Santos da Silva"/>
    <d v="2025-09-11T16:03:00"/>
    <n v="232555"/>
    <s v="NITEROI TERMINAL BARCAS / RJ, Brasil"/>
    <s v="OFF LINE"/>
    <s v="Invoice"/>
    <s v="Faturado"/>
    <x v="1"/>
    <s v="N"/>
    <x v="15"/>
    <s v="Kpmg"/>
    <s v="-"/>
    <s v="-"/>
    <s v="-"/>
    <x v="12"/>
    <s v="-"/>
    <x v="41"/>
    <n v="0"/>
    <n v="0"/>
    <n v="0"/>
    <n v="0"/>
    <n v="0"/>
    <n v="0"/>
    <s v="Reserva importada do Sistema TMS. OS: 232555"/>
    <s v="Fornecedor não preenchido! (ACC01)"/>
    <x v="2"/>
    <x v="0"/>
    <s v="Campo Fornecedor"/>
    <x v="0"/>
    <s v="Qualidade dos dados"/>
    <s v="KONTIK BUSINESS TRAVEL"/>
    <x v="3"/>
  </r>
  <r>
    <n v="22857325"/>
    <n v="23638057"/>
    <s v="ACC01"/>
    <x v="53"/>
    <d v="2025-09-11T13:40:38"/>
    <x v="3"/>
    <x v="2"/>
    <s v="5J4DVV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15"/>
    <s v="Kpmg Assessores"/>
    <s v="-"/>
    <s v="-"/>
    <s v="-"/>
    <x v="12"/>
    <s v="-"/>
    <x v="42"/>
    <n v="0"/>
    <n v="0"/>
    <n v="0"/>
    <n v="0"/>
    <n v="0"/>
    <n v="0"/>
    <s v="Reserva importada do Sistema TMS. OS: 230458"/>
    <s v="Fornecedor não preenchido! (ACC01)"/>
    <x v="2"/>
    <x v="0"/>
    <s v="Campo Fornecedor"/>
    <x v="0"/>
    <s v="Qualidade dos dados"/>
    <s v="KONTIK BUSINESS TRAVEL"/>
    <x v="1"/>
  </r>
  <r>
    <n v="22857326"/>
    <n v="23638058"/>
    <s v="ACC01"/>
    <x v="54"/>
    <d v="2025-09-11T13:40:38"/>
    <x v="3"/>
    <x v="2"/>
    <s v="5JT3V4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15"/>
    <s v="Kpmg Assessores"/>
    <s v="-"/>
    <s v="-"/>
    <s v="-"/>
    <x v="12"/>
    <s v="-"/>
    <x v="42"/>
    <n v="0"/>
    <n v="0"/>
    <n v="0"/>
    <n v="0"/>
    <n v="0"/>
    <n v="0"/>
    <s v="Reserva importada do Sistema TMS. OS: 230458"/>
    <s v="Fornecedor não preenchido! (ACC01)"/>
    <x v="2"/>
    <x v="0"/>
    <s v="Campo Fornecedor"/>
    <x v="0"/>
    <s v="Qualidade dos dados"/>
    <s v="KONTIK BUSINESS TRAVEL"/>
    <x v="1"/>
  </r>
  <r>
    <n v="22857327"/>
    <n v="23638059"/>
    <s v="ACC01"/>
    <x v="55"/>
    <d v="2025-09-11T13:40:39"/>
    <x v="3"/>
    <x v="2"/>
    <s v="5JHD4R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15"/>
    <s v="Kpmg Assessores"/>
    <s v="-"/>
    <s v="-"/>
    <s v="-"/>
    <x v="12"/>
    <s v="-"/>
    <x v="42"/>
    <n v="0"/>
    <n v="0"/>
    <n v="0"/>
    <n v="0"/>
    <n v="0"/>
    <n v="0"/>
    <s v="Reserva importada do Sistema TMS. OS: 230458"/>
    <s v="Fornecedor não preenchido! (ACC01)"/>
    <x v="2"/>
    <x v="0"/>
    <s v="Campo Fornecedor"/>
    <x v="0"/>
    <s v="Qualidade dos dados"/>
    <s v="KONTIK BUSINESS TRAVEL"/>
    <x v="1"/>
  </r>
  <r>
    <n v="22857328"/>
    <n v="23638060"/>
    <s v="ACC01"/>
    <x v="56"/>
    <d v="2025-09-11T13:40:40"/>
    <x v="3"/>
    <x v="2"/>
    <s v="5J8E44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15"/>
    <s v="Kpmg Assessores"/>
    <s v="-"/>
    <s v="-"/>
    <s v="-"/>
    <x v="12"/>
    <s v="-"/>
    <x v="42"/>
    <n v="0"/>
    <n v="0"/>
    <n v="0"/>
    <n v="0"/>
    <n v="0"/>
    <n v="0"/>
    <s v="Reserva importada do Sistema TMS. OS: 230458"/>
    <s v="Fornecedor não preenchido! (ACC01)"/>
    <x v="2"/>
    <x v="0"/>
    <s v="Campo Fornecedor"/>
    <x v="0"/>
    <s v="Qualidade dos dados"/>
    <s v="KONTIK BUSINESS TRAVEL"/>
    <x v="1"/>
  </r>
  <r>
    <n v="22846878"/>
    <n v="23628433"/>
    <s v="ACC01"/>
    <x v="57"/>
    <d v="2025-09-01T11:11:03"/>
    <x v="2"/>
    <x v="2"/>
    <n v="19800020"/>
    <s v="GOVER"/>
    <s v="Chia Huang Chu"/>
    <s v="Gover"/>
    <s v="Gover"/>
    <d v="2025-09-01T10:46:00"/>
    <n v="4590713"/>
    <s v="-"/>
    <s v="ON LINE"/>
    <s v="Cartão de crédito"/>
    <s v="Cartão de crédito"/>
    <x v="0"/>
    <s v="N"/>
    <x v="16"/>
    <s v="Cmoc - Dom Domenico Rangoni"/>
    <s v="-"/>
    <s v="-"/>
    <s v="-"/>
    <x v="13"/>
    <s v="-"/>
    <x v="43"/>
    <n v="37.119999999999997"/>
    <n v="0"/>
    <n v="0"/>
    <n v="0"/>
    <n v="0"/>
    <n v="0"/>
    <s v="Reserva importada do sistema Gover. Id: 4590713"/>
    <s v="Fornecedor não preenchido! (ACC01)"/>
    <x v="0"/>
    <x v="0"/>
    <s v="Campo Fornecedor"/>
    <x v="0"/>
    <s v="Sistêmico"/>
    <s v="GRUPO KONTIK"/>
    <x v="0"/>
  </r>
  <r>
    <n v="22909740"/>
    <n v="23682978"/>
    <s v="ACC01"/>
    <x v="58"/>
    <d v="2025-09-11T16:23:07"/>
    <x v="3"/>
    <x v="3"/>
    <s v="5KH07H"/>
    <s v="TMS"/>
    <s v="KETULLE GODINHO"/>
    <s v="Robson Amaro Santos da Silva"/>
    <s v="Robson Amaro Santos da Silva"/>
    <d v="2025-09-11T13:41:00"/>
    <n v="232379"/>
    <s v="Joao Pessoa / PB, Brasil (JPA)"/>
    <s v="OFF LINE"/>
    <s v="Invoice"/>
    <s v="Faturado"/>
    <x v="1"/>
    <s v="N"/>
    <x v="15"/>
    <s v="Kpmg Consultoria"/>
    <s v="-"/>
    <s v="-"/>
    <s v="-"/>
    <x v="12"/>
    <s v="-"/>
    <x v="44"/>
    <n v="0"/>
    <n v="0"/>
    <n v="0"/>
    <n v="0"/>
    <n v="0"/>
    <n v="0"/>
    <s v="Reserva importada do Sistema TMS. OS: 232379"/>
    <s v="Fornecedor não preenchido! (ACC01)"/>
    <x v="2"/>
    <x v="0"/>
    <s v="Campo Fornecedor"/>
    <x v="0"/>
    <s v="Qualidade dos dados"/>
    <s v="KONTIK BUSINESS TRAVEL"/>
    <x v="3"/>
  </r>
  <r>
    <n v="22828475"/>
    <n v="23613914"/>
    <s v="ACC01"/>
    <x v="59"/>
    <d v="2025-08-28T17:03:05"/>
    <x v="2"/>
    <x v="2"/>
    <n v="19768262"/>
    <s v="GOVER"/>
    <s v="GUILHERME DA SILVA"/>
    <s v="Gover"/>
    <s v="Gover"/>
    <d v="2025-08-28T16:14:00"/>
    <n v="4589652"/>
    <s v="-"/>
    <s v="ON LINE"/>
    <s v="Cartão de crédito"/>
    <s v="Cartão de crédito"/>
    <x v="0"/>
    <s v="N"/>
    <x v="17"/>
    <s v="Quantiq"/>
    <s v="-"/>
    <s v="-"/>
    <s v="-"/>
    <x v="6"/>
    <s v="-"/>
    <x v="45"/>
    <n v="0"/>
    <n v="0"/>
    <n v="0"/>
    <n v="0"/>
    <n v="0"/>
    <n v="0"/>
    <s v="Reserva importada do sistema Gover. Id: 4589652"/>
    <s v="Fornecedor não preenchido! (ACC01)"/>
    <x v="0"/>
    <x v="0"/>
    <s v="Campo Fornecedor"/>
    <x v="0"/>
    <s v="Sistêmico"/>
    <s v="GRUPO KONTIK"/>
    <x v="0"/>
  </r>
  <r>
    <n v="22911468"/>
    <n v="23684631"/>
    <s v="ACC01"/>
    <x v="60"/>
    <d v="2025-09-11T19:30:37"/>
    <x v="3"/>
    <x v="3"/>
    <s v="YMVDVZC"/>
    <s v="SABRE"/>
    <s v="PAES/ALINE MISS"/>
    <s v="Luciene Carvalho Santos"/>
    <s v="Luciene Carvalho Santos"/>
    <d v="2025-09-11T14:19:00"/>
    <s v="DI1109251621"/>
    <s v="CPQ"/>
    <s v="OFF LINE"/>
    <s v="Invoice"/>
    <s v="Faturado"/>
    <x v="1"/>
    <s v="N"/>
    <x v="18"/>
    <s v="Diageo Brasil"/>
    <s v="Cliente FEE no POS"/>
    <s v="-"/>
    <s v="-"/>
    <x v="14"/>
    <s v="-"/>
    <x v="46"/>
    <n v="399.02"/>
    <n v="0"/>
    <n v="0"/>
    <n v="0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KONTIK BUSINESS TRAVEL"/>
    <x v="2"/>
  </r>
  <r>
    <n v="22911472"/>
    <n v="23684635"/>
    <s v="ACC01"/>
    <x v="61"/>
    <d v="2025-09-11T19:30:41"/>
    <x v="3"/>
    <x v="3"/>
    <s v="AUXPJDC"/>
    <s v="SABRE"/>
    <s v="MADUREIRA/PAULA REGINA OLIVEIRA MISS"/>
    <s v="Luciene Carvalho Santos"/>
    <s v="Luciene Carvalho Santos"/>
    <d v="2025-09-11T15:46:00"/>
    <s v="DI1109251746"/>
    <s v="SAO"/>
    <s v="OFF LINE"/>
    <s v="Invoice"/>
    <s v="Faturado"/>
    <x v="1"/>
    <s v="N"/>
    <x v="18"/>
    <s v="Diageo Brasil"/>
    <s v="Cliente FEE no POS"/>
    <s v="-"/>
    <s v="-"/>
    <x v="14"/>
    <s v="-"/>
    <x v="47"/>
    <n v="94.58"/>
    <n v="0"/>
    <n v="0"/>
    <n v="0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KONTIK BUSINESS TRAVEL"/>
    <x v="2"/>
  </r>
  <r>
    <n v="22790979"/>
    <n v="23581851"/>
    <s v="ACC01"/>
    <x v="62"/>
    <d v="2025-08-22T09:45:16"/>
    <x v="4"/>
    <x v="4"/>
    <s v="ERTDNPT"/>
    <s v="SABRE"/>
    <s v="DI SERIO/RICARDO MARTINI MR"/>
    <s v="WS"/>
    <s v="WS"/>
    <d v="2025-08-21T17:49:00"/>
    <s v="ERTDNP"/>
    <s v="-"/>
    <s v="ON LINE"/>
    <s v="Cartão de crédito"/>
    <s v="Cartão de crédito"/>
    <x v="0"/>
    <s v="N"/>
    <x v="19"/>
    <s v="Ses Dth"/>
    <s v="-"/>
    <s v="-"/>
    <s v="-"/>
    <x v="15"/>
    <s v="-"/>
    <x v="48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1"/>
    <x v="2"/>
    <s v="Falta de informação Gerencial"/>
    <x v="0"/>
    <s v="Qualidade dos dados"/>
    <s v="KONTIK BUSINESS TRAVEL"/>
    <x v="1"/>
  </r>
  <r>
    <n v="22786000"/>
    <n v="23577451"/>
    <s v="ACC01"/>
    <x v="63"/>
    <d v="2025-09-02T13:12:58"/>
    <x v="2"/>
    <x v="4"/>
    <s v="EZLDLMC"/>
    <s v="SABRE"/>
    <s v="DI SERIO/RICARDO MARTINI MR"/>
    <s v="WS"/>
    <s v="WS"/>
    <d v="2025-08-21T12:42:00"/>
    <s v="EZLDLM"/>
    <s v="PER"/>
    <s v="ON LINE"/>
    <s v="Invoice"/>
    <s v="Faturado"/>
    <x v="1"/>
    <s v="N"/>
    <x v="19"/>
    <s v="Ses Dth"/>
    <s v="-"/>
    <s v="-"/>
    <s v="-"/>
    <x v="15"/>
    <s v="-"/>
    <x v="49"/>
    <n v="118.77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25750"/>
    <n v="23611034"/>
    <s v="ACC01"/>
    <x v="64"/>
    <d v="2025-09-02T13:13:07"/>
    <x v="2"/>
    <x v="2"/>
    <s v="JKWUFLC"/>
    <s v="SABRE"/>
    <s v="DI SERIO/RICARDO MARTINI MR"/>
    <s v="WS"/>
    <s v="WS"/>
    <d v="2025-08-27T23:33:00"/>
    <s v="JKWUFL"/>
    <s v="DBO"/>
    <s v="ON LINE"/>
    <s v="Invoice"/>
    <s v="Faturado"/>
    <x v="1"/>
    <s v="N"/>
    <x v="19"/>
    <s v="Ses Dth"/>
    <s v="-"/>
    <s v="-"/>
    <s v="-"/>
    <x v="15"/>
    <s v="-"/>
    <x v="50"/>
    <n v="90.08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085"/>
    <n v="23679057"/>
    <s v="ACC01"/>
    <x v="65"/>
    <d v="2025-09-10T21:27:26"/>
    <x v="3"/>
    <x v="3"/>
    <s v="IUKTZVT"/>
    <s v="SABRE"/>
    <s v="DE OLIVEIRA TEBALDI/TIAGO MR"/>
    <s v="WS"/>
    <s v="WS"/>
    <d v="2025-09-08T18:29:00"/>
    <s v="IUKTZV"/>
    <s v="-"/>
    <s v="ON LINE"/>
    <s v="Cartão de crédito"/>
    <s v="Cartão de crédito"/>
    <x v="0"/>
    <s v="N"/>
    <x v="19"/>
    <s v="New Skies"/>
    <s v="-"/>
    <s v="-"/>
    <s v="-"/>
    <x v="15"/>
    <s v="-"/>
    <x v="51"/>
    <n v="21.8"/>
    <n v="0"/>
    <n v="0"/>
    <n v="0"/>
    <n v="0"/>
    <n v="0"/>
    <s v="Reserva importada por HubTravel"/>
    <s v="Centro de custo não preenchido! (ACC01) Empenho/departamento não preenchido! (ACC01) Matrícula não preenchida! (ACC01)"/>
    <x v="1"/>
    <x v="2"/>
    <s v="Falta de informação Gerencial"/>
    <x v="0"/>
    <s v="Qualidade dos dados"/>
    <s v="KONTIK BUSINESS TRAVEL"/>
    <x v="1"/>
  </r>
  <r>
    <n v="22909648"/>
    <n v="23682892"/>
    <s v="ACC01"/>
    <x v="66"/>
    <d v="2025-09-12T05:16:57"/>
    <x v="3"/>
    <x v="3"/>
    <s v="IRUVNKT"/>
    <s v="SABRE"/>
    <s v="SANTOS/ELMO MR"/>
    <s v="CT"/>
    <s v="CT"/>
    <d v="2025-09-11T10:03:00"/>
    <n v="13893799819"/>
    <s v="-"/>
    <s v="ON LINE"/>
    <s v="Cartão de crédito"/>
    <s v="Cartão de crédito"/>
    <x v="0"/>
    <s v="N"/>
    <x v="18"/>
    <s v="Diageo Brasil"/>
    <s v="Cliente FEE no POS"/>
    <s v="-"/>
    <s v="-"/>
    <x v="14"/>
    <s v="-"/>
    <x v="52"/>
    <n v="18.39"/>
    <n v="0"/>
    <n v="0"/>
    <n v="0"/>
    <n v="0"/>
    <n v="27.34"/>
    <s v="Reserva importada por HubTravel"/>
    <s v="Fornecedor não preenchido! (ACC01)"/>
    <x v="1"/>
    <x v="0"/>
    <s v="Campo Fornecedor"/>
    <x v="0"/>
    <s v="Sistêmico"/>
    <s v="GRUPO KONTIK"/>
    <x v="0"/>
  </r>
  <r>
    <n v="22899116"/>
    <n v="23673798"/>
    <s v="ACC01"/>
    <x v="67"/>
    <d v="2025-09-12T06:10:44"/>
    <x v="3"/>
    <x v="3"/>
    <s v="5K7ASF"/>
    <s v="TMS"/>
    <s v="VINICIUS ROSA"/>
    <s v="Loizy Lima de Oliveira"/>
    <s v="Loizy Lima de Oliveira"/>
    <d v="2025-09-09T14:13:00"/>
    <n v="8555"/>
    <s v="-"/>
    <s v="OFF LINE"/>
    <s v="Invoice"/>
    <s v="Faturado"/>
    <x v="2"/>
    <s v="N"/>
    <x v="20"/>
    <s v="Cbo"/>
    <s v="-"/>
    <s v="-"/>
    <s v="-"/>
    <x v="16"/>
    <s v="-"/>
    <x v="53"/>
    <n v="0"/>
    <n v="0"/>
    <n v="0"/>
    <n v="0"/>
    <n v="0"/>
    <n v="0"/>
    <s v="Reserva importada do Sistema TMS. OS: 8555"/>
    <s v="Fornecedor não preenchido! (ACC01)"/>
    <x v="2"/>
    <x v="0"/>
    <s v="Campo Fornecedor"/>
    <x v="0"/>
    <s v="Qualidade dos dados"/>
    <s v="KONTIK BUSINESS TRAVEL"/>
    <x v="1"/>
  </r>
  <r>
    <n v="22853284"/>
    <n v="23634129"/>
    <s v="ACC01"/>
    <x v="68"/>
    <d v="2025-09-03T04:57:53"/>
    <x v="2"/>
    <x v="2"/>
    <s v="WQPXZLT"/>
    <s v="SABRE"/>
    <s v="DA SILVA/LUCIANA PINTO"/>
    <s v="WS"/>
    <s v="WS"/>
    <d v="2025-09-01T18:47:00"/>
    <s v="WQPXZL"/>
    <s v="-"/>
    <s v="ON LINE"/>
    <s v="Cartão de crédito"/>
    <s v="Cartão de crédito"/>
    <x v="0"/>
    <s v="N"/>
    <x v="21"/>
    <s v="Bdb Ferramentas do Brasil Ltda"/>
    <s v="Cliente FEE no POS"/>
    <s v="-"/>
    <s v="-"/>
    <x v="15"/>
    <s v="-"/>
    <x v="54"/>
    <n v="60.44"/>
    <n v="0"/>
    <n v="0"/>
    <n v="0"/>
    <n v="0"/>
    <n v="8"/>
    <s v="Reserva importada por HubTravel"/>
    <s v="Fornecedor não preenchido! (ACC01)"/>
    <x v="1"/>
    <x v="0"/>
    <s v="Campo Fornecedor"/>
    <x v="0"/>
    <s v="Sistêmico"/>
    <s v="GRUPO KONTIK"/>
    <x v="0"/>
  </r>
  <r>
    <n v="22853289"/>
    <n v="23634132"/>
    <s v="ACC01"/>
    <x v="69"/>
    <d v="2025-09-02T11:06:44"/>
    <x v="2"/>
    <x v="2"/>
    <s v="LWZABNC"/>
    <s v="SABRE"/>
    <s v="DA SILVA/LUCIANA PINTO"/>
    <s v="WS"/>
    <s v="WS"/>
    <d v="2025-09-01T18:51:00"/>
    <s v="LWZABN"/>
    <s v="CLT"/>
    <s v="ON LINE"/>
    <s v="Invoice"/>
    <s v="Faturado"/>
    <x v="1"/>
    <s v="N"/>
    <x v="21"/>
    <s v="Bdb Ferramentas do Brasil Ltda"/>
    <s v="Cliente FEE no POS"/>
    <s v="-"/>
    <s v="-"/>
    <x v="15"/>
    <s v="-"/>
    <x v="55"/>
    <n v="68.27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53292"/>
    <n v="23634135"/>
    <s v="ACC01"/>
    <x v="70"/>
    <d v="2025-09-02T11:06:52"/>
    <x v="2"/>
    <x v="2"/>
    <s v="OIKXQRC"/>
    <s v="SABRE"/>
    <s v="DA SILVA/LUCIANA PINTO"/>
    <s v="WS"/>
    <s v="WS"/>
    <d v="2025-09-01T18:57:00"/>
    <s v="OIKXQR"/>
    <s v="MIA"/>
    <s v="ON LINE"/>
    <s v="Invoice"/>
    <s v="Faturado"/>
    <x v="1"/>
    <s v="N"/>
    <x v="21"/>
    <s v="Bdb Ferramentas do Brasil Ltda"/>
    <s v="Cliente FEE no POS"/>
    <s v="-"/>
    <s v="-"/>
    <x v="15"/>
    <s v="-"/>
    <x v="56"/>
    <n v="29.56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90482"/>
    <n v="23666032"/>
    <s v="ACC01"/>
    <x v="71"/>
    <d v="2025-09-08T18:06:42"/>
    <x v="0"/>
    <x v="0"/>
    <s v="WOHFAAC"/>
    <s v="SABRE"/>
    <s v="GONGORA/FABIO TEODORO"/>
    <s v="WS"/>
    <s v="WS"/>
    <d v="2025-09-08T09:24:00"/>
    <s v="WOHFAA"/>
    <s v="SOD"/>
    <s v="ON LINE"/>
    <s v="Invoice"/>
    <s v="Faturado"/>
    <x v="1"/>
    <s v="N"/>
    <x v="21"/>
    <s v="Bdb Ferramentas do Brasil Ltda"/>
    <s v="Cliente FEE no POS"/>
    <s v="-"/>
    <s v="-"/>
    <x v="15"/>
    <s v="-"/>
    <x v="57"/>
    <n v="204.01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90485"/>
    <n v="23666034"/>
    <s v="ACC01"/>
    <x v="72"/>
    <d v="2025-09-08T18:06:49"/>
    <x v="0"/>
    <x v="0"/>
    <s v="WQSJWQC"/>
    <s v="SABRE"/>
    <s v="GONGORA/FABIO TEODORO"/>
    <s v="WS"/>
    <s v="WS"/>
    <d v="2025-09-08T09:35:00"/>
    <s v="WQSJWQ"/>
    <s v="SOD"/>
    <s v="ON LINE"/>
    <s v="Invoice"/>
    <s v="Faturado"/>
    <x v="1"/>
    <s v="N"/>
    <x v="21"/>
    <s v="Bdb Ferramentas do Brasil Ltda"/>
    <s v="Cliente FEE no POS"/>
    <s v="-"/>
    <s v="-"/>
    <x v="15"/>
    <s v="-"/>
    <x v="58"/>
    <n v="342.8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0088"/>
    <n v="23640119"/>
    <s v="ACC01"/>
    <x v="73"/>
    <d v="2025-09-04T22:15:37"/>
    <x v="1"/>
    <x v="2"/>
    <s v="FCOEUB"/>
    <s v="GOVER"/>
    <s v="Felipe de Almeida Americo"/>
    <s v="Gover"/>
    <s v="Gover"/>
    <d v="2025-09-03T09:42:00"/>
    <n v="4591912"/>
    <s v="-"/>
    <s v="ON LINE"/>
    <s v="Cartão de crédito"/>
    <s v="Cartão de crédito"/>
    <x v="0"/>
    <s v="N"/>
    <x v="22"/>
    <s v="Bull Ltda"/>
    <s v="-"/>
    <s v="-"/>
    <s v="-"/>
    <x v="17"/>
    <s v="-"/>
    <x v="59"/>
    <n v="22.62"/>
    <n v="0"/>
    <n v="0"/>
    <n v="0"/>
    <n v="0"/>
    <n v="0"/>
    <s v="Reserva importada do sistema Gover. Id: 4591912"/>
    <s v="Fornecedor não preenchido! (ACC01)"/>
    <x v="0"/>
    <x v="0"/>
    <s v="Campo Fornecedor"/>
    <x v="0"/>
    <s v="Sistêmico"/>
    <s v="GRUPO KONTIK"/>
    <x v="0"/>
  </r>
  <r>
    <n v="22819175"/>
    <n v="23605304"/>
    <s v="ACC01"/>
    <x v="74"/>
    <d v="2025-08-28T06:20:39"/>
    <x v="2"/>
    <x v="4"/>
    <s v="WKAALHT"/>
    <s v="SABRE"/>
    <s v="RESNIZKY/MARIA LUZ MS"/>
    <s v="WS"/>
    <s v="WS"/>
    <d v="2025-08-26T23:12:00"/>
    <s v="WKAALH"/>
    <s v="-"/>
    <s v="ON LINE"/>
    <s v="Cartão de crédito"/>
    <s v="Cartão de crédito"/>
    <x v="0"/>
    <s v="N"/>
    <x v="23"/>
    <s v="Honeywell"/>
    <s v="Cliente FEE no POS"/>
    <s v="-"/>
    <s v="-"/>
    <x v="18"/>
    <s v="-"/>
    <x v="60"/>
    <n v="0"/>
    <n v="0"/>
    <n v="0"/>
    <n v="0"/>
    <n v="0"/>
    <n v="13"/>
    <s v="Reserva importada por HubTravel"/>
    <s v="Fornecedor não preenchido! (ACC01)"/>
    <x v="1"/>
    <x v="0"/>
    <s v="Campo Fornecedor"/>
    <x v="0"/>
    <s v="Sistêmico"/>
    <s v="GRUPO KONTIK"/>
    <x v="0"/>
  </r>
  <r>
    <n v="22821368"/>
    <n v="23607400"/>
    <s v="ACC01"/>
    <x v="75"/>
    <d v="2025-08-28T06:40:11"/>
    <x v="2"/>
    <x v="4"/>
    <s v="ITCCUNT"/>
    <s v="SABRE"/>
    <s v="MELLI/LEON MR"/>
    <s v="WS"/>
    <s v="WS"/>
    <d v="2025-08-22T11:32:00"/>
    <s v="ITCCUN"/>
    <s v="-"/>
    <s v="ON LINE"/>
    <s v="Cartão de crédito"/>
    <s v="Cartão de crédito"/>
    <x v="0"/>
    <s v="N"/>
    <x v="23"/>
    <s v="Honeywell"/>
    <s v="Cliente FEE no POS"/>
    <s v="-"/>
    <s v="-"/>
    <x v="18"/>
    <s v="-"/>
    <x v="61"/>
    <n v="785"/>
    <n v="0"/>
    <n v="0"/>
    <n v="0"/>
    <n v="0"/>
    <n v="13"/>
    <s v="Reserva importada por HubTravel"/>
    <s v="Fornecedor não preenchido! (ACC01)"/>
    <x v="1"/>
    <x v="0"/>
    <s v="Campo Fornecedor"/>
    <x v="0"/>
    <s v="Sistêmico"/>
    <s v="GRUPO KONTIK"/>
    <x v="0"/>
  </r>
  <r>
    <n v="22846100"/>
    <n v="23627691"/>
    <s v="ACC01"/>
    <x v="76"/>
    <d v="2025-09-02T06:23:05"/>
    <x v="2"/>
    <x v="2"/>
    <s v="HWRPYIT"/>
    <s v="SABRE"/>
    <s v="DA SILVA/ERICK CORREA"/>
    <s v="WS"/>
    <s v="WS"/>
    <d v="2025-08-29T13:07:00"/>
    <s v="HWRPYI"/>
    <s v="-"/>
    <s v="ON LINE"/>
    <s v="Cartão de crédito"/>
    <s v="Cartão de crédito"/>
    <x v="0"/>
    <s v="N"/>
    <x v="23"/>
    <s v="Honeywell"/>
    <s v="Cliente FEE no POS"/>
    <s v="-"/>
    <s v="-"/>
    <x v="18"/>
    <s v="-"/>
    <x v="62"/>
    <n v="0"/>
    <n v="0"/>
    <n v="0"/>
    <n v="0"/>
    <n v="0"/>
    <n v="13"/>
    <s v="Reserva importada por HubTravel"/>
    <s v="Fornecedor não preenchido! (ACC01)"/>
    <x v="1"/>
    <x v="0"/>
    <s v="Campo Fornecedor"/>
    <x v="0"/>
    <s v="Sistêmico"/>
    <s v="GRUPO KONTIK"/>
    <x v="0"/>
  </r>
  <r>
    <n v="22850136"/>
    <n v="23631688"/>
    <s v="ACC01"/>
    <x v="77"/>
    <d v="2025-09-02T06:48:10"/>
    <x v="2"/>
    <x v="2"/>
    <s v="YGLRNZT"/>
    <s v="SABRE"/>
    <s v="SANTACROCE/RENATO DE ANDRADE MR"/>
    <s v="WS"/>
    <s v="WS"/>
    <d v="2025-09-01T13:10:00"/>
    <s v="YGLRNZ"/>
    <s v="-"/>
    <s v="ON LINE"/>
    <s v="Cartão de crédito"/>
    <s v="Cartão de crédito"/>
    <x v="0"/>
    <s v="N"/>
    <x v="23"/>
    <s v="Honeywell"/>
    <s v="Cliente FEE no POS"/>
    <s v="-"/>
    <s v="-"/>
    <x v="18"/>
    <s v="-"/>
    <x v="63"/>
    <n v="218.38"/>
    <n v="0"/>
    <n v="0"/>
    <n v="0"/>
    <n v="0"/>
    <n v="38"/>
    <s v="Reserva importada por HubTravel"/>
    <s v="Fornecedor não preenchido! (ACC01)"/>
    <x v="1"/>
    <x v="0"/>
    <s v="Campo Fornecedor"/>
    <x v="0"/>
    <s v="Sistêmico"/>
    <s v="GRUPO KONTIK"/>
    <x v="0"/>
  </r>
  <r>
    <n v="22905536"/>
    <n v="23679474"/>
    <s v="ACC01"/>
    <x v="78"/>
    <d v="2025-09-10T22:49:03"/>
    <x v="3"/>
    <x v="3"/>
    <s v="HJRDPQT"/>
    <s v="SABRE"/>
    <s v="MARTINS/BRENDA MS"/>
    <s v="Paulo Roberto Mendes da Silva"/>
    <s v="Paulo Roberto Mendes da Silva"/>
    <d v="2025-09-10T14:56:00"/>
    <s v="HJRDPQ"/>
    <s v="-"/>
    <s v="OFF LINE"/>
    <s v="Invoice"/>
    <s v="Faturado"/>
    <x v="0"/>
    <s v="N"/>
    <x v="23"/>
    <s v="Essex Hornets Brazil Ltda."/>
    <s v="-"/>
    <s v="-"/>
    <s v="-"/>
    <x v="18"/>
    <s v="-"/>
    <x v="6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1953"/>
    <n v="23641862"/>
    <s v="ACC01"/>
    <x v="79"/>
    <d v="2025-09-03T15:35:31"/>
    <x v="2"/>
    <x v="2"/>
    <n v="19847091"/>
    <s v="GOVER"/>
    <s v="Sidney Souza"/>
    <s v="Gover"/>
    <s v="Gover"/>
    <d v="2025-09-03T15:14:00"/>
    <n v="4592209"/>
    <s v="-"/>
    <s v="ON LINE"/>
    <s v="Cartão de crédito"/>
    <s v="Cartão de crédito"/>
    <x v="0"/>
    <s v="N"/>
    <x v="24"/>
    <s v="Energisa Sul-sudeste - Distribuidora de Energia S.a."/>
    <s v="-"/>
    <s v="-"/>
    <s v="-"/>
    <x v="19"/>
    <s v="-"/>
    <x v="65"/>
    <n v="0"/>
    <n v="0"/>
    <n v="0"/>
    <n v="0"/>
    <n v="0"/>
    <n v="0"/>
    <s v="Reserva importada do sistema Gover. Id: 4592209"/>
    <s v="Fornecedor não preenchido! (ACC01)"/>
    <x v="0"/>
    <x v="0"/>
    <s v="Campo Fornecedor"/>
    <x v="0"/>
    <s v="Sistêmico"/>
    <s v="GRUPO KONTIK"/>
    <x v="0"/>
  </r>
  <r>
    <n v="22889471"/>
    <n v="23664955"/>
    <s v="ACC01"/>
    <x v="80"/>
    <d v="2025-09-08T14:11:18"/>
    <x v="0"/>
    <x v="0"/>
    <n v="19897901"/>
    <s v="GOVER"/>
    <s v="Sidney Souza"/>
    <s v="Gover"/>
    <s v="Gover"/>
    <d v="2025-09-08T10:13:00"/>
    <n v="4594004"/>
    <s v="-"/>
    <s v="ON LINE"/>
    <s v="Cartão de crédito"/>
    <s v="Cartão de crédito"/>
    <x v="0"/>
    <s v="N"/>
    <x v="24"/>
    <s v="Energisa Sul-sudeste - Distribuidora de Energia S.a."/>
    <s v="-"/>
    <s v="-"/>
    <s v="-"/>
    <x v="19"/>
    <s v="-"/>
    <x v="66"/>
    <n v="0"/>
    <n v="0"/>
    <n v="0"/>
    <n v="0"/>
    <n v="0"/>
    <n v="0"/>
    <s v="Reserva importada do sistema Gover. Id: 4594004"/>
    <s v="Fornecedor não preenchido! (ACC01)"/>
    <x v="0"/>
    <x v="0"/>
    <s v="Campo Fornecedor"/>
    <x v="0"/>
    <s v="Sistêmico"/>
    <s v="GRUPO KONTIK"/>
    <x v="0"/>
  </r>
  <r>
    <n v="22896699"/>
    <n v="23671607"/>
    <s v="ACC01"/>
    <x v="81"/>
    <d v="2025-09-09T17:12:17"/>
    <x v="0"/>
    <x v="0"/>
    <n v="19928698"/>
    <s v="GOVER"/>
    <s v=" Carlos Andre Soares Fonseca"/>
    <s v="Gover"/>
    <s v="Gover"/>
    <d v="2025-09-09T16:53:00"/>
    <n v="4595046"/>
    <s v="-"/>
    <s v="ON LINE"/>
    <s v="Cartão de crédito"/>
    <s v="Cartão de crédito"/>
    <x v="0"/>
    <s v="N"/>
    <x v="24"/>
    <s v="Energisa Solucoes S.a."/>
    <s v="-"/>
    <s v="-"/>
    <s v="-"/>
    <x v="19"/>
    <s v="-"/>
    <x v="67"/>
    <n v="0"/>
    <n v="0"/>
    <n v="0"/>
    <n v="0"/>
    <n v="0"/>
    <n v="0"/>
    <s v="Reserva importada do sistema Gover. Id: 4595046"/>
    <s v="Fornecedor não preenchido! (ACC01)"/>
    <x v="0"/>
    <x v="0"/>
    <s v="Campo Fornecedor"/>
    <x v="0"/>
    <s v="Sistêmico"/>
    <s v="GRUPO KONTIK"/>
    <x v="0"/>
  </r>
  <r>
    <n v="22792981"/>
    <n v="23583750"/>
    <s v="ACC01"/>
    <x v="82"/>
    <d v="2025-08-22T14:10:42"/>
    <x v="4"/>
    <x v="4"/>
    <n v="19670467"/>
    <s v="GOVER"/>
    <s v="Luis Oliveira"/>
    <s v="Gover"/>
    <s v="Gover"/>
    <d v="2025-08-21T15:38:00"/>
    <n v="4586093"/>
    <s v="-"/>
    <s v="ON LINE"/>
    <s v="Invoice"/>
    <s v="Faturado"/>
    <x v="0"/>
    <s v="N"/>
    <x v="24"/>
    <s v="Energisa Biogas S.a"/>
    <s v="-"/>
    <s v="-"/>
    <s v="-"/>
    <x v="19"/>
    <s v="-"/>
    <x v="68"/>
    <n v="99.75"/>
    <n v="0"/>
    <n v="0"/>
    <n v="0"/>
    <n v="0"/>
    <n v="0"/>
    <s v="Reserva importada do sistema Gover. Id: 4586093"/>
    <s v="Fornecedor não preenchido! (ACC01)"/>
    <x v="0"/>
    <x v="0"/>
    <s v="Campo Fornecedor"/>
    <x v="0"/>
    <s v="Sistêmico"/>
    <s v="GRUPO KONTIK"/>
    <x v="0"/>
  </r>
  <r>
    <n v="22827499"/>
    <n v="23612825"/>
    <s v="ACC01"/>
    <x v="83"/>
    <d v="2025-09-11T13:32:04"/>
    <x v="3"/>
    <x v="2"/>
    <s v="5IAZS8"/>
    <s v="TMS"/>
    <s v="RICARDO PLACA OSCAR"/>
    <s v="Tms"/>
    <s v="Tms"/>
    <d v="2025-08-28T11:24:00"/>
    <n v="78436"/>
    <s v="-"/>
    <s v="ON LINE"/>
    <s v="Cartão de crédito"/>
    <s v="Cartão de crédito"/>
    <x v="0"/>
    <s v="N"/>
    <x v="25"/>
    <s v="Ultragaz Comercializadora de Energia"/>
    <s v="-"/>
    <s v="-"/>
    <s v="-"/>
    <x v="20"/>
    <s v="-"/>
    <x v="69"/>
    <n v="0"/>
    <n v="0"/>
    <n v="0"/>
    <n v="0"/>
    <n v="155"/>
    <n v="0"/>
    <s v="Reserva importada do Sistema TMS. OS: 78436"/>
    <s v="Fornecedor não preenchido! (ACC01)"/>
    <x v="2"/>
    <x v="0"/>
    <s v="Campo Fornecedor"/>
    <x v="0"/>
    <s v="Sistêmico"/>
    <s v="GRUPO KONTIK"/>
    <x v="0"/>
  </r>
  <r>
    <n v="22851646"/>
    <n v="23632843"/>
    <s v="ACC01"/>
    <x v="84"/>
    <d v="2025-09-11T13:37:12"/>
    <x v="3"/>
    <x v="2"/>
    <s v="5JMCLX"/>
    <s v="TMS"/>
    <s v="CELSO MARQUES FILHO"/>
    <s v="Tms"/>
    <s v="Tms"/>
    <d v="2025-09-01T18:09:00"/>
    <n v="79655"/>
    <s v="-"/>
    <s v="ON LINE"/>
    <s v="Cartão de crédito"/>
    <s v="Cartão de crédito"/>
    <x v="0"/>
    <s v="N"/>
    <x v="25"/>
    <s v="Ultragaz-matriz"/>
    <s v="-"/>
    <s v="-"/>
    <s v="-"/>
    <x v="21"/>
    <s v="-"/>
    <x v="70"/>
    <n v="0"/>
    <n v="0"/>
    <n v="0"/>
    <n v="0"/>
    <n v="0"/>
    <n v="0"/>
    <s v="Reserva importada do Sistema TMS. OS: 79655"/>
    <s v="Fornecedor não preenchido! (ACC01)"/>
    <x v="2"/>
    <x v="0"/>
    <s v="Campo Fornecedor"/>
    <x v="0"/>
    <s v="Sistêmico"/>
    <s v="GRUPO KONTIK"/>
    <x v="0"/>
  </r>
  <r>
    <n v="22851647"/>
    <n v="23632844"/>
    <s v="ACC01"/>
    <x v="85"/>
    <d v="2025-09-11T13:37:12"/>
    <x v="3"/>
    <x v="2"/>
    <s v="5JADO2"/>
    <s v="TMS"/>
    <s v="JULIANA CASSIA DOS SANTOS SOUZA"/>
    <s v="Tms"/>
    <s v="Tms"/>
    <d v="2025-09-01T18:10:00"/>
    <n v="79654"/>
    <s v="-"/>
    <s v="ON LINE"/>
    <s v="Cartão de crédito"/>
    <s v="Cartão de crédito"/>
    <x v="0"/>
    <s v="N"/>
    <x v="25"/>
    <s v="Ultragaz-matriz"/>
    <s v="-"/>
    <s v="-"/>
    <s v="-"/>
    <x v="21"/>
    <s v="-"/>
    <x v="70"/>
    <n v="0"/>
    <n v="0"/>
    <n v="0"/>
    <n v="0"/>
    <n v="0"/>
    <n v="0"/>
    <s v="Reserva importada do Sistema TMS. OS: 79654"/>
    <s v="Fornecedor não preenchido! (ACC01)"/>
    <x v="2"/>
    <x v="0"/>
    <s v="Campo Fornecedor"/>
    <x v="0"/>
    <s v="Sistêmico"/>
    <s v="GRUPO KONTIK"/>
    <x v="0"/>
  </r>
  <r>
    <n v="22829976"/>
    <n v="23615404"/>
    <s v="ACC01"/>
    <x v="86"/>
    <d v="2025-09-11T13:33:07"/>
    <x v="3"/>
    <x v="2"/>
    <s v="5IJ1PL"/>
    <s v="TMS"/>
    <s v="DANILO HILGEMBERG"/>
    <s v="Tms"/>
    <s v="Tms"/>
    <d v="2025-08-28T15:10:00"/>
    <n v="79159"/>
    <s v="-"/>
    <s v="ON LINE"/>
    <s v="Cartão de crédito"/>
    <s v="Cartão de crédito"/>
    <x v="0"/>
    <s v="N"/>
    <x v="25"/>
    <s v="Ultragaz-matriz"/>
    <s v="-"/>
    <s v="-"/>
    <s v="-"/>
    <x v="21"/>
    <s v="-"/>
    <x v="71"/>
    <n v="0"/>
    <n v="0"/>
    <n v="0"/>
    <n v="0"/>
    <n v="0"/>
    <n v="0"/>
    <s v="Reserva importada do Sistema TMS. OS: 79159"/>
    <s v="Fornecedor não preenchido! (ACC01)"/>
    <x v="2"/>
    <x v="0"/>
    <s v="Campo Fornecedor"/>
    <x v="0"/>
    <s v="Sistêmico"/>
    <s v="GRUPO KONTIK"/>
    <x v="0"/>
  </r>
  <r>
    <n v="22829977"/>
    <n v="23615405"/>
    <s v="ACC01"/>
    <x v="87"/>
    <d v="2025-09-11T13:35:22"/>
    <x v="3"/>
    <x v="2"/>
    <s v="5IIA0L"/>
    <s v="TMS"/>
    <s v="GEVERSON DA COSTA"/>
    <s v="Tms"/>
    <s v="Tms"/>
    <d v="2025-08-28T15:10:00"/>
    <n v="79158"/>
    <s v="-"/>
    <s v="ON LINE"/>
    <s v="Cartão de crédito"/>
    <s v="Cartão de crédito"/>
    <x v="0"/>
    <s v="N"/>
    <x v="25"/>
    <s v="Ultragaz-matriz"/>
    <s v="-"/>
    <s v="-"/>
    <s v="-"/>
    <x v="21"/>
    <s v="-"/>
    <x v="71"/>
    <n v="0"/>
    <n v="0"/>
    <n v="0"/>
    <n v="0"/>
    <n v="0"/>
    <n v="0"/>
    <s v="Reserva importada do Sistema TMS. OS: 79158"/>
    <s v="Fornecedor não preenchido! (ACC01)"/>
    <x v="2"/>
    <x v="0"/>
    <s v="Campo Fornecedor"/>
    <x v="0"/>
    <s v="Sistêmico"/>
    <s v="GRUPO KONTIK"/>
    <x v="0"/>
  </r>
  <r>
    <n v="22836708"/>
    <n v="23621360"/>
    <s v="ACC01"/>
    <x v="88"/>
    <d v="2025-09-11T13:36:24"/>
    <x v="3"/>
    <x v="2"/>
    <s v="5JYFUB"/>
    <s v="TMS"/>
    <s v="FELIPE KUBIS"/>
    <s v="Tms"/>
    <s v="Tms"/>
    <d v="2025-08-29T14:30:00"/>
    <n v="79375"/>
    <s v="-"/>
    <s v="ON LINE"/>
    <s v="Cartão de crédito"/>
    <s v="Cartão de crédito"/>
    <x v="0"/>
    <s v="N"/>
    <x v="25"/>
    <s v="Ultragaz-matriz"/>
    <s v="-"/>
    <s v="-"/>
    <s v="-"/>
    <x v="21"/>
    <s v="-"/>
    <x v="71"/>
    <n v="0"/>
    <n v="0"/>
    <n v="0"/>
    <n v="0"/>
    <n v="0"/>
    <n v="0"/>
    <s v="Reserva importada do Sistema TMS. OS: 79375"/>
    <s v="Fornecedor não preenchido! (ACC01)"/>
    <x v="2"/>
    <x v="0"/>
    <s v="Campo Fornecedor"/>
    <x v="0"/>
    <s v="Sistêmico"/>
    <s v="GRUPO KONTIK"/>
    <x v="0"/>
  </r>
  <r>
    <n v="22906237"/>
    <n v="23680113"/>
    <s v="ACC01"/>
    <x v="89"/>
    <d v="2025-09-11T14:36:33"/>
    <x v="3"/>
    <x v="3"/>
    <s v="5K5S1Y"/>
    <s v="TMS"/>
    <s v="CARINA MELO GOUVEIA"/>
    <s v="Tms"/>
    <s v="Tms"/>
    <d v="2025-09-10T19:12:00"/>
    <n v="80737"/>
    <s v="-"/>
    <s v="ON LINE"/>
    <s v="Cartão de crédito"/>
    <s v="Cartão de crédito"/>
    <x v="0"/>
    <s v="N"/>
    <x v="25"/>
    <s v="Bahiana Distribuidora de Gas"/>
    <s v="-"/>
    <s v="-"/>
    <s v="-"/>
    <x v="21"/>
    <s v="-"/>
    <x v="72"/>
    <n v="0"/>
    <n v="0"/>
    <n v="0"/>
    <n v="0"/>
    <n v="9.1"/>
    <n v="0"/>
    <s v="Reserva importada do Sistema TMS. OS: 80737"/>
    <s v="Fornecedor não preenchido! (ACC01)"/>
    <x v="2"/>
    <x v="0"/>
    <s v="Campo Fornecedor"/>
    <x v="0"/>
    <s v="Sistêmico"/>
    <s v="GRUPO KONTIK"/>
    <x v="0"/>
  </r>
  <r>
    <n v="22836322"/>
    <n v="23620986"/>
    <s v="ACC01"/>
    <x v="90"/>
    <d v="2025-09-11T13:36:21"/>
    <x v="3"/>
    <x v="2"/>
    <s v="5JKCTM"/>
    <s v="TMS"/>
    <s v="ALEXANDRE NOVAES"/>
    <s v="Tms"/>
    <s v="Tms"/>
    <d v="2025-08-29T13:05:00"/>
    <n v="8338"/>
    <s v="-"/>
    <s v="ON LINE"/>
    <s v="Cartão de crédito"/>
    <s v="Cartão de crédito"/>
    <x v="0"/>
    <s v="N"/>
    <x v="26"/>
    <s v="Mars Brasil - Mogi Mirim"/>
    <s v="-"/>
    <s v="-"/>
    <s v="-"/>
    <x v="22"/>
    <s v="-"/>
    <x v="73"/>
    <n v="0"/>
    <n v="0"/>
    <n v="0"/>
    <n v="0"/>
    <n v="0"/>
    <n v="0"/>
    <s v="Reserva importada do Sistema TMS. OS: 8338"/>
    <s v="Fornecedor não preenchido! (ACC01)"/>
    <x v="2"/>
    <x v="0"/>
    <s v="Campo Fornecedor"/>
    <x v="0"/>
    <s v="Sistêmico"/>
    <s v="GRUPO KONTIK"/>
    <x v="0"/>
  </r>
  <r>
    <n v="22910940"/>
    <n v="23684117"/>
    <s v="ACC01"/>
    <x v="91"/>
    <d v="2025-09-11T20:08:40"/>
    <x v="3"/>
    <x v="3"/>
    <s v="5K09MJ"/>
    <s v="TMS"/>
    <s v="TALITA CARAVANA"/>
    <s v="Tms"/>
    <s v="Tms"/>
    <d v="2025-09-11T16:58:00"/>
    <n v="8610"/>
    <s v="Taubate / QHP"/>
    <s v="ON LINE"/>
    <s v="Invoice"/>
    <s v="Faturado"/>
    <x v="1"/>
    <s v="N"/>
    <x v="26"/>
    <s v="Mars Brasil - Guararema"/>
    <s v="-"/>
    <s v="-"/>
    <s v="-"/>
    <x v="22"/>
    <s v="-"/>
    <x v="74"/>
    <n v="0"/>
    <n v="0"/>
    <n v="0"/>
    <n v="0"/>
    <n v="0"/>
    <n v="0"/>
    <s v="Reserva importada do Sistema TMS. OS: 8610"/>
    <s v="Fornecedor não preenchido! (ACC01)"/>
    <x v="2"/>
    <x v="0"/>
    <s v="Campo Fornecedor"/>
    <x v="0"/>
    <s v="Qualidade dos dados"/>
    <s v="KONTIK BUSINESS TRAVEL"/>
    <x v="1"/>
  </r>
  <r>
    <n v="22816673"/>
    <n v="23603408"/>
    <s v="ACC01"/>
    <x v="92"/>
    <d v="2025-09-11T13:28:22"/>
    <x v="3"/>
    <x v="4"/>
    <s v="5IZI75"/>
    <s v="TMS"/>
    <s v="LEANDRO DOS SANTOS"/>
    <s v="Jessica Soares Teixeira"/>
    <s v="Jessica Soares Teixeira"/>
    <d v="2025-08-26T17:59:00"/>
    <n v="78784"/>
    <s v="-"/>
    <s v="OFF LINE"/>
    <s v="Invoice"/>
    <s v="Faturado"/>
    <x v="0"/>
    <s v="N"/>
    <x v="25"/>
    <s v="Bahiana Distribuidora de Gas"/>
    <s v="-"/>
    <s v="-"/>
    <s v="-"/>
    <x v="21"/>
    <s v="-"/>
    <x v="75"/>
    <n v="0"/>
    <n v="0"/>
    <n v="0"/>
    <n v="0"/>
    <n v="0"/>
    <n v="0"/>
    <s v="Reserva importada do Sistema TMS. OS: 78784"/>
    <s v="Fornecedor não preenchido! (ACC01)"/>
    <x v="2"/>
    <x v="0"/>
    <s v="Campo Fornecedor"/>
    <x v="0"/>
    <s v="Qualidade dos dados"/>
    <s v="KONTIK BUSINESS TRAVEL"/>
    <x v="1"/>
  </r>
  <r>
    <n v="22827485"/>
    <n v="23612812"/>
    <s v="ACC01"/>
    <x v="93"/>
    <d v="2025-09-11T13:32:03"/>
    <x v="3"/>
    <x v="2"/>
    <s v="5I99QK"/>
    <s v="TMS"/>
    <s v="WELLINGTON E SILVA"/>
    <s v="Tamara Michels Behn"/>
    <s v="Tamara Michels Behn"/>
    <d v="2025-08-28T09:36:00"/>
    <n v="79107"/>
    <s v="-"/>
    <s v="OFF LINE"/>
    <s v="Cartão de crédito"/>
    <s v="Cartão de crédito"/>
    <x v="0"/>
    <s v="N"/>
    <x v="25"/>
    <s v="Bahiana Distribuidora de Gas"/>
    <s v="-"/>
    <s v="-"/>
    <s v="-"/>
    <x v="21"/>
    <s v="-"/>
    <x v="76"/>
    <n v="0"/>
    <n v="0"/>
    <n v="0"/>
    <n v="0"/>
    <n v="0"/>
    <n v="0"/>
    <s v="Reserva importada do Sistema TMS. OS: 79107"/>
    <s v="Fornecedor não preenchido! (ACC01)"/>
    <x v="2"/>
    <x v="0"/>
    <s v="Campo Fornecedor"/>
    <x v="0"/>
    <s v="Qualidade dos dados"/>
    <s v="KONTIK BUSINESS TRAVEL"/>
    <x v="1"/>
  </r>
  <r>
    <n v="22837869"/>
    <n v="23622298"/>
    <s v="ACC01"/>
    <x v="94"/>
    <d v="2025-09-02T13:15:48"/>
    <x v="2"/>
    <x v="2"/>
    <s v="KCNZBL"/>
    <s v="GOVER"/>
    <s v="MAIARA Dias Duarte RODRIGUES"/>
    <s v="Gover"/>
    <s v="Gover"/>
    <d v="2025-08-29T16:21:00"/>
    <n v="4590285"/>
    <s v="SAON07 Endereço: "/>
    <s v="ON LINE"/>
    <s v="Invoice"/>
    <s v="Faturado"/>
    <x v="1"/>
    <s v="N"/>
    <x v="27"/>
    <s v="Jti Distribuidora - Sao Paulo - Vila Nova Conceicao"/>
    <s v="-"/>
    <s v="-"/>
    <s v="-"/>
    <x v="23"/>
    <s v="-"/>
    <x v="77"/>
    <n v="117.7"/>
    <n v="0"/>
    <n v="0"/>
    <n v="0"/>
    <n v="0"/>
    <n v="0"/>
    <s v="Reserva importada do sistema Gover. Id: 4590285"/>
    <s v="Fornecedor não preenchido! (ACC01)"/>
    <x v="0"/>
    <x v="0"/>
    <s v="Campo Fornecedor"/>
    <x v="0"/>
    <s v="Sistêmico"/>
    <s v="GRUPO KONTIK"/>
    <x v="0"/>
  </r>
  <r>
    <n v="22872083"/>
    <n v="23651126"/>
    <s v="ACC01"/>
    <x v="95"/>
    <d v="2025-09-05T00:05:40"/>
    <x v="1"/>
    <x v="1"/>
    <s v="YWNFTH"/>
    <s v="GOVER"/>
    <s v="FELIPE LISBOA"/>
    <s v="Gover"/>
    <s v="Gover"/>
    <d v="2025-09-04T18:54:00"/>
    <n v="4593119"/>
    <s v="-"/>
    <s v="ON LINE"/>
    <s v="Pagamento direto"/>
    <s v="Pagamento direto"/>
    <x v="0"/>
    <s v="N"/>
    <x v="27"/>
    <s v="Jti Distribuidora - Sao Paulo - Vila Nova Conceicao"/>
    <s v="-"/>
    <s v="-"/>
    <s v="-"/>
    <x v="23"/>
    <s v="-"/>
    <x v="78"/>
    <n v="201.48"/>
    <n v="0"/>
    <n v="0"/>
    <n v="0"/>
    <n v="0"/>
    <n v="0"/>
    <s v="Reserva importada do sistema Gover. Id: 4593119"/>
    <s v="Fornecedor não preenchido! (ACC01)"/>
    <x v="0"/>
    <x v="0"/>
    <s v="Campo Fornecedor"/>
    <x v="0"/>
    <s v="Sistêmico"/>
    <s v="GRUPO KONTIK"/>
    <x v="0"/>
  </r>
  <r>
    <n v="22872084"/>
    <n v="23651127"/>
    <s v="ACC01"/>
    <x v="96"/>
    <d v="2025-09-05T00:05:41"/>
    <x v="1"/>
    <x v="1"/>
    <s v="YXOXFD"/>
    <s v="GOVER"/>
    <s v="LUCIANO AUGUSTO DOS SANTOS CHAVES"/>
    <s v="Gover"/>
    <s v="Gover"/>
    <d v="2025-09-04T18:58:00"/>
    <n v="4593122"/>
    <s v="-"/>
    <s v="ON LINE"/>
    <s v="Pagamento direto"/>
    <s v="Pagamento direto"/>
    <x v="0"/>
    <s v="N"/>
    <x v="27"/>
    <s v="Jti Distribuidora - Sao Paulo - Vila Nova Conceicao"/>
    <s v="-"/>
    <s v="-"/>
    <s v="-"/>
    <x v="23"/>
    <s v="-"/>
    <x v="78"/>
    <n v="201.48"/>
    <n v="0"/>
    <n v="0"/>
    <n v="0"/>
    <n v="0"/>
    <n v="0"/>
    <s v="Reserva importada do sistema Gover. Id: 4593122"/>
    <s v="Fornecedor não preenchido! (ACC01)"/>
    <x v="0"/>
    <x v="0"/>
    <s v="Campo Fornecedor"/>
    <x v="0"/>
    <s v="Sistêmico"/>
    <s v="GRUPO KONTIK"/>
    <x v="0"/>
  </r>
  <r>
    <n v="22879020"/>
    <n v="23657360"/>
    <s v="ACC01"/>
    <x v="97"/>
    <d v="2025-09-06T00:10:30"/>
    <x v="1"/>
    <x v="1"/>
    <s v="ASAYIU"/>
    <s v="GOVER"/>
    <s v="RODRIGO FURLAN"/>
    <s v="Gover"/>
    <s v="Gover"/>
    <d v="2025-09-05T15:29:00"/>
    <n v="4593552"/>
    <s v="-"/>
    <s v="ON LINE"/>
    <s v="Pagamento direto"/>
    <s v="Pagamento direto"/>
    <x v="0"/>
    <s v="N"/>
    <x v="27"/>
    <s v="Jti Distribuidora - Sao Paulo - Vila Nova Conceicao"/>
    <s v="-"/>
    <s v="-"/>
    <s v="-"/>
    <x v="23"/>
    <s v="-"/>
    <x v="79"/>
    <n v="200.28"/>
    <n v="0"/>
    <n v="0"/>
    <n v="0"/>
    <n v="0"/>
    <n v="0"/>
    <s v="Reserva importada do sistema Gover. Id: 4593552"/>
    <s v="Fornecedor não preenchido! (ACC01)"/>
    <x v="0"/>
    <x v="0"/>
    <s v="Campo Fornecedor"/>
    <x v="0"/>
    <s v="Sistêmico"/>
    <s v="GRUPO KONTIK"/>
    <x v="0"/>
  </r>
  <r>
    <n v="22879021"/>
    <n v="23657361"/>
    <s v="ACC01"/>
    <x v="98"/>
    <d v="2025-09-06T00:10:30"/>
    <x v="1"/>
    <x v="1"/>
    <s v="OBYTQL"/>
    <s v="GOVER"/>
    <s v="EDUARDO RAFFI NIGOGHOSIAN"/>
    <s v="Gover"/>
    <s v="Gover"/>
    <d v="2025-09-05T15:29:00"/>
    <n v="4593553"/>
    <s v="-"/>
    <s v="ON LINE"/>
    <s v="Pagamento direto"/>
    <s v="Pagamento direto"/>
    <x v="0"/>
    <s v="N"/>
    <x v="27"/>
    <s v="Jti Distribuidora - Sao Paulo - Vila Nova Conceicao"/>
    <s v="-"/>
    <s v="-"/>
    <s v="-"/>
    <x v="23"/>
    <s v="-"/>
    <x v="79"/>
    <n v="200.28"/>
    <n v="0"/>
    <n v="0"/>
    <n v="0"/>
    <n v="0"/>
    <n v="0"/>
    <s v="Reserva importada do sistema Gover. Id: 4593553"/>
    <s v="Fornecedor não preenchido! (ACC01)"/>
    <x v="0"/>
    <x v="0"/>
    <s v="Campo Fornecedor"/>
    <x v="0"/>
    <s v="Sistêmico"/>
    <s v="GRUPO KONTIK"/>
    <x v="0"/>
  </r>
  <r>
    <n v="22879022"/>
    <n v="23657362"/>
    <s v="ACC01"/>
    <x v="99"/>
    <d v="2025-09-06T00:10:31"/>
    <x v="1"/>
    <x v="1"/>
    <s v="EGARRC"/>
    <s v="GOVER"/>
    <s v="RODRIGO FURLAN"/>
    <s v="Gover"/>
    <s v="Gover"/>
    <d v="2025-09-05T15:33:00"/>
    <n v="4593559"/>
    <s v="-"/>
    <s v="ON LINE"/>
    <s v="Pagamento direto"/>
    <s v="Pagamento direto"/>
    <x v="0"/>
    <s v="N"/>
    <x v="27"/>
    <s v="Jti Distribuidora - Sao Paulo - Vila Nova Conceicao"/>
    <s v="-"/>
    <s v="-"/>
    <s v="-"/>
    <x v="23"/>
    <s v="-"/>
    <x v="79"/>
    <n v="200.28"/>
    <n v="0"/>
    <n v="0"/>
    <n v="0"/>
    <n v="0"/>
    <n v="0"/>
    <s v="Reserva importada do sistema Gover. Id: 4593559"/>
    <s v="Fornecedor não preenchido! (ACC01)"/>
    <x v="0"/>
    <x v="0"/>
    <s v="Campo Fornecedor"/>
    <x v="0"/>
    <s v="Sistêmico"/>
    <s v="GRUPO KONTIK"/>
    <x v="0"/>
  </r>
  <r>
    <n v="22848745"/>
    <n v="23630322"/>
    <s v="ACC01"/>
    <x v="100"/>
    <d v="2025-09-11T13:36:23"/>
    <x v="3"/>
    <x v="2"/>
    <s v="WZRBGJC"/>
    <s v="SABRE"/>
    <s v="SILVA PONTIN/PAULO JOSE"/>
    <s v="WS"/>
    <s v="WS"/>
    <d v="2025-08-28T13:36:00"/>
    <s v="WZRBGJ"/>
    <s v="CUN"/>
    <s v="ON LINE"/>
    <s v="Invoice"/>
    <s v="Faturado"/>
    <x v="1"/>
    <s v="N"/>
    <x v="28"/>
    <s v="Verizon Telecomunicacoes do Brasil Ltda"/>
    <s v="Cliente FEE no POS"/>
    <s v="-"/>
    <s v="-"/>
    <x v="15"/>
    <s v="-"/>
    <x v="80"/>
    <n v="14.67"/>
    <n v="0"/>
    <n v="0"/>
    <n v="0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KONTIK BUSINESS TRAVEL"/>
    <x v="1"/>
  </r>
  <r>
    <n v="22896560"/>
    <n v="23671489"/>
    <s v="ACC01"/>
    <x v="101"/>
    <d v="2025-09-10T22:37:28"/>
    <x v="3"/>
    <x v="0"/>
    <n v="19921908"/>
    <s v="GOVER"/>
    <s v="Luiz Renato Costa Filho"/>
    <s v="Gover"/>
    <s v="Gover"/>
    <d v="2025-09-09T12:53:00"/>
    <n v="4594848"/>
    <s v="-"/>
    <s v="ON LINE"/>
    <s v="Cartão de crédito"/>
    <s v="Cartão de crédito"/>
    <x v="0"/>
    <s v="N"/>
    <x v="29"/>
    <s v="Samsung Eletronica da Amazonia"/>
    <s v="-"/>
    <s v="-"/>
    <s v="-"/>
    <x v="24"/>
    <s v="-"/>
    <x v="81"/>
    <n v="118.28"/>
    <n v="0"/>
    <n v="0"/>
    <n v="0"/>
    <n v="0"/>
    <n v="0"/>
    <s v="Reserva importada do sistema Gover. Id: 4594848"/>
    <s v="Fornecedor não preenchido! (ACC01)"/>
    <x v="0"/>
    <x v="0"/>
    <s v="Campo Fornecedor"/>
    <x v="0"/>
    <s v="Sistêmico"/>
    <s v="GRUPO KONTIK"/>
    <x v="0"/>
  </r>
  <r>
    <n v="22901730"/>
    <n v="23675885"/>
    <s v="ACC01"/>
    <x v="102"/>
    <d v="2025-09-11T22:32:07"/>
    <x v="3"/>
    <x v="3"/>
    <n v="19923421"/>
    <s v="GOVER"/>
    <s v="Jackson Pereira da Silva"/>
    <s v="Gover"/>
    <s v="Gover"/>
    <d v="2025-09-09T14:13:00"/>
    <n v="4594891"/>
    <s v="-"/>
    <s v="ON LINE"/>
    <s v="Cartão de crédito"/>
    <s v="Cartão de crédito"/>
    <x v="0"/>
    <s v="N"/>
    <x v="29"/>
    <s v="Samsung Eletronica da Amazonia"/>
    <s v="-"/>
    <s v="-"/>
    <s v="-"/>
    <x v="24"/>
    <s v="-"/>
    <x v="82"/>
    <n v="59.14"/>
    <n v="0"/>
    <n v="0"/>
    <n v="0"/>
    <n v="0"/>
    <n v="0"/>
    <s v="Reserva importada do sistema Gover. Id: 4594891"/>
    <s v="Fornecedor não preenchido! (ACC01)"/>
    <x v="0"/>
    <x v="0"/>
    <s v="Campo Fornecedor"/>
    <x v="0"/>
    <s v="Sistêmico"/>
    <s v="GRUPO KONTIK"/>
    <x v="0"/>
  </r>
  <r>
    <n v="22809805"/>
    <n v="23597334"/>
    <s v="ACC01"/>
    <x v="103"/>
    <d v="2025-09-11T13:27:28"/>
    <x v="3"/>
    <x v="4"/>
    <s v="5II8Z4"/>
    <s v="TMS"/>
    <s v="HADSON SANTOS"/>
    <s v="Tms"/>
    <s v="Tms"/>
    <d v="2025-08-25T15:41:00"/>
    <n v="78683"/>
    <s v="-"/>
    <s v="ON LINE"/>
    <s v="Cartão de crédito"/>
    <s v="Cartão de crédito"/>
    <x v="0"/>
    <s v="N"/>
    <x v="25"/>
    <s v="Bahiana Distribuidora de Gas"/>
    <s v="-"/>
    <s v="-"/>
    <s v="-"/>
    <x v="21"/>
    <s v="-"/>
    <x v="83"/>
    <n v="0"/>
    <n v="0"/>
    <n v="0"/>
    <n v="0"/>
    <n v="0"/>
    <n v="0"/>
    <s v="Reserva importada do Sistema TMS. OS: 78683"/>
    <s v="Fornecedor não preenchido! (ACC01)"/>
    <x v="2"/>
    <x v="0"/>
    <s v="Campo Fornecedor"/>
    <x v="0"/>
    <s v="Sistêmico"/>
    <s v="GRUPO KONTIK"/>
    <x v="0"/>
  </r>
  <r>
    <n v="22905088"/>
    <n v="23679060"/>
    <s v="ACC01"/>
    <x v="104"/>
    <d v="2025-09-11T13:42:18"/>
    <x v="3"/>
    <x v="3"/>
    <s v="YKFNODT"/>
    <s v="SABRE"/>
    <s v="ITUASSU/ANDRE LUIS MOURA MR"/>
    <s v="Renata Rosenthal dos Santos"/>
    <s v="Renata Rosenthal dos Santos"/>
    <d v="2025-09-09T07:12:00"/>
    <s v="YKFNOD"/>
    <s v="-"/>
    <s v="OFF LINE"/>
    <s v="Cartão de crédito"/>
    <s v="Cartão de crédito"/>
    <x v="0"/>
    <s v="N"/>
    <x v="30"/>
    <s v="I - Systems"/>
    <s v="-"/>
    <s v="-"/>
    <s v="-"/>
    <x v="15"/>
    <s v="-"/>
    <x v="84"/>
    <n v="164.44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160"/>
    <n v="23679129"/>
    <s v="ACC01"/>
    <x v="105"/>
    <d v="2025-09-11T13:42:19"/>
    <x v="3"/>
    <x v="3"/>
    <s v="NYDGMOT"/>
    <s v="SABRE"/>
    <s v="ALMEIDA/RACHEL FERRARI MS"/>
    <s v="Renata Rosenthal dos Santos"/>
    <s v="Renata Rosenthal dos Santos"/>
    <d v="2025-09-10T13:22:00"/>
    <s v="NYDGMO"/>
    <s v="-"/>
    <s v="OFF LINE"/>
    <s v="Invoice"/>
    <s v="Faturado"/>
    <x v="0"/>
    <s v="N"/>
    <x v="30"/>
    <s v="Ihs Brasil Cessao de Infraestruturas S a"/>
    <s v="-"/>
    <s v="-"/>
    <s v="-"/>
    <x v="15"/>
    <s v="-"/>
    <x v="8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4982"/>
    <n v="23678959"/>
    <s v="ACC01"/>
    <x v="106"/>
    <d v="2025-09-11T13:36:30"/>
    <x v="3"/>
    <x v="3"/>
    <s v="MGRJUDT"/>
    <s v="SABRE"/>
    <s v="TEBERGA/RENATO BEDAQUE MR"/>
    <s v="CT"/>
    <s v="CT"/>
    <d v="2025-07-01T08:49:00"/>
    <s v="MGRJUD"/>
    <s v="-"/>
    <s v="ON LINE"/>
    <s v="Pagamento direto"/>
    <s v="Pagamento direto"/>
    <x v="0"/>
    <s v="N"/>
    <x v="31"/>
    <s v="Basf Sa"/>
    <s v="-"/>
    <s v="-"/>
    <s v="-"/>
    <x v="25"/>
    <s v="-"/>
    <x v="86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260"/>
    <n v="23682459"/>
    <s v="ACC01"/>
    <x v="107"/>
    <d v="2025-09-11T15:10:16"/>
    <x v="3"/>
    <x v="3"/>
    <s v="SZDSUTT"/>
    <s v="SABRE"/>
    <s v="CONESSA/DANIEL KAPOR MR"/>
    <s v="CT"/>
    <s v="CT"/>
    <d v="2025-09-09T13:46:00"/>
    <s v="183952124-23088"/>
    <s v="-"/>
    <s v="ON LINE"/>
    <s v="Pagamento direto"/>
    <s v="Pagamento direto"/>
    <x v="0"/>
    <s v="N"/>
    <x v="31"/>
    <s v="Basf Sa"/>
    <s v="-"/>
    <s v="-"/>
    <s v="-"/>
    <x v="25"/>
    <s v="-"/>
    <x v="87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260"/>
    <n v="23682460"/>
    <s v="ACC02"/>
    <x v="107"/>
    <d v="2025-09-11T15:10:16"/>
    <x v="3"/>
    <x v="3"/>
    <s v="SZDSUTT"/>
    <s v="SABRE"/>
    <s v="CONESSA/DANIEL KAPOR MR"/>
    <s v="CT"/>
    <s v="CT"/>
    <d v="2025-09-09T13:46:00"/>
    <s v="183952124-23088"/>
    <s v="-"/>
    <s v="ON LINE"/>
    <s v="Pagamento direto"/>
    <s v="Pagamento direto"/>
    <x v="0"/>
    <s v="N"/>
    <x v="31"/>
    <s v="Basf Sa"/>
    <s v="-"/>
    <s v="-"/>
    <s v="-"/>
    <x v="25"/>
    <s v="-"/>
    <x v="88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260"/>
    <n v="23682461"/>
    <s v="ACC03"/>
    <x v="107"/>
    <d v="2025-09-11T15:10:16"/>
    <x v="3"/>
    <x v="3"/>
    <s v="SZDSUTT"/>
    <s v="SABRE"/>
    <s v="CONESSA/DANIEL KAPOR MR"/>
    <s v="CT"/>
    <s v="CT"/>
    <d v="2025-09-09T13:46:00"/>
    <s v="183952124-23088"/>
    <s v="-"/>
    <s v="ON LINE"/>
    <s v="Pagamento direto"/>
    <s v="Pagamento direto"/>
    <x v="0"/>
    <s v="N"/>
    <x v="31"/>
    <s v="Basf Sa"/>
    <s v="-"/>
    <s v="-"/>
    <s v="-"/>
    <x v="25"/>
    <s v="-"/>
    <x v="87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260"/>
    <n v="23682463"/>
    <s v="ACC04"/>
    <x v="107"/>
    <d v="2025-09-11T15:10:16"/>
    <x v="3"/>
    <x v="3"/>
    <s v="SZDSUTT"/>
    <s v="SABRE"/>
    <s v="CONESSA/DANIEL KAPOR MR"/>
    <s v="CT"/>
    <s v="CT"/>
    <d v="2025-09-09T13:46:00"/>
    <s v="183952124-23088"/>
    <s v="-"/>
    <s v="ON LINE"/>
    <s v="Pagamento direto"/>
    <s v="Pagamento direto"/>
    <x v="0"/>
    <s v="N"/>
    <x v="31"/>
    <s v="Basf Sa"/>
    <s v="-"/>
    <s v="-"/>
    <s v="-"/>
    <x v="25"/>
    <s v="-"/>
    <x v="88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11941"/>
    <n v="23685025"/>
    <s v="ACC01"/>
    <x v="108"/>
    <d v="2025-09-12T06:54:21"/>
    <x v="3"/>
    <x v="3"/>
    <s v="ICDHNUT"/>
    <s v="SABRE"/>
    <s v="CARVALHO/LARISSA LOZANO TEIXEIRA DE MISS"/>
    <s v="CT"/>
    <s v="CT"/>
    <d v="2025-09-11T08:51:00"/>
    <s v="ICDHNU"/>
    <s v="-"/>
    <s v="ON LINE"/>
    <s v="Pagamento direto"/>
    <s v="Pagamento direto"/>
    <x v="0"/>
    <s v="N"/>
    <x v="31"/>
    <s v="Basf Sa"/>
    <s v="-"/>
    <s v="-"/>
    <s v="-"/>
    <x v="25"/>
    <s v="-"/>
    <x v="89"/>
    <n v="21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13663"/>
    <n v="23686254"/>
    <s v="ACC01"/>
    <x v="109"/>
    <d v="2025-09-12T06:56:33"/>
    <x v="3"/>
    <x v="3"/>
    <s v="DIOJXVC"/>
    <s v="SABRE"/>
    <s v="POLIZEL DO NASCIMENTO/JULIANA MRS"/>
    <s v="CT"/>
    <s v="CT"/>
    <d v="2025-09-10T16:19:00"/>
    <s v="DIOJXV"/>
    <s v="JFK"/>
    <s v="ON LINE"/>
    <s v="Invoice"/>
    <s v="Faturado"/>
    <x v="1"/>
    <s v="N"/>
    <x v="31"/>
    <s v="Basf Sa"/>
    <s v="-"/>
    <s v="-"/>
    <s v="-"/>
    <x v="25"/>
    <s v="-"/>
    <x v="90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3664"/>
    <n v="23686255"/>
    <s v="ACC01"/>
    <x v="110"/>
    <d v="2025-09-12T06:56:33"/>
    <x v="3"/>
    <x v="3"/>
    <s v="IGBHCCT"/>
    <s v="SABRE"/>
    <s v="FURLAN/MARIA STELLA MRS"/>
    <s v="CT"/>
    <s v="CT"/>
    <d v="2025-09-11T07:25:00"/>
    <s v="184003690-51348"/>
    <s v="-"/>
    <s v="ON LINE"/>
    <s v="Pagamento direto"/>
    <s v="Pagamento direto"/>
    <x v="0"/>
    <s v="N"/>
    <x v="31"/>
    <s v="Basf Sa"/>
    <s v="-"/>
    <s v="-"/>
    <s v="-"/>
    <x v="25"/>
    <s v="-"/>
    <x v="91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68261"/>
    <n v="23647337"/>
    <s v="ACC01"/>
    <x v="111"/>
    <d v="2025-09-11T13:36:26"/>
    <x v="3"/>
    <x v="1"/>
    <s v="FHOEMVT"/>
    <s v="SABRE"/>
    <s v="SABINO OLIVEIRA/LUIS FERNANDO LEITE MR"/>
    <s v="CT"/>
    <s v="CT"/>
    <d v="2025-09-03T17:17:00"/>
    <s v="183808190-65014"/>
    <s v="-"/>
    <s v="ON LINE"/>
    <s v="Pagamento direto"/>
    <s v="Pagamento direto"/>
    <x v="0"/>
    <s v="N"/>
    <x v="31"/>
    <s v="Basf Sa"/>
    <s v="-"/>
    <s v="-"/>
    <s v="-"/>
    <x v="25"/>
    <s v="-"/>
    <x v="92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68263"/>
    <n v="23647339"/>
    <s v="ACC01"/>
    <x v="112"/>
    <d v="2025-09-11T13:36:28"/>
    <x v="3"/>
    <x v="1"/>
    <s v="OXVJBMT"/>
    <s v="SABRE"/>
    <s v="TAVARES DEMARQUI/VINICIUS MR"/>
    <s v="CT"/>
    <s v="CT"/>
    <d v="2025-09-02T21:19:00"/>
    <s v="183776782-52791"/>
    <s v="-"/>
    <s v="ON LINE"/>
    <s v="Pagamento direto"/>
    <s v="Pagamento direto"/>
    <x v="0"/>
    <s v="N"/>
    <x v="31"/>
    <s v="Basf Sa"/>
    <s v="-"/>
    <s v="-"/>
    <s v="-"/>
    <x v="25"/>
    <s v="-"/>
    <x v="93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68011"/>
    <n v="23647091"/>
    <s v="ACC01"/>
    <x v="113"/>
    <d v="2025-09-11T13:36:24"/>
    <x v="3"/>
    <x v="1"/>
    <s v="NYVIAXT"/>
    <s v="SABRE"/>
    <s v="CRISTOFOLI PEREIRA/ISADORA MISS"/>
    <s v="CT"/>
    <s v="CT"/>
    <d v="2025-09-02T12:17:00"/>
    <s v="NYVIAX"/>
    <s v="-"/>
    <s v="ON LINE"/>
    <s v="Pagamento direto"/>
    <s v="Pagamento direto"/>
    <x v="0"/>
    <s v="N"/>
    <x v="31"/>
    <s v="Basf Sa"/>
    <s v="-"/>
    <s v="-"/>
    <s v="-"/>
    <x v="25"/>
    <s v="-"/>
    <x v="94"/>
    <n v="522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300"/>
    <n v="23682507"/>
    <s v="ACC01"/>
    <x v="114"/>
    <d v="2025-09-11T15:13:25"/>
    <x v="3"/>
    <x v="3"/>
    <s v="UGTNOKT"/>
    <s v="SABRE"/>
    <s v="CALDAS/NILSON DIAS MR"/>
    <s v="Felipe Anderson da Silva"/>
    <s v="Felipe Anderson da Silva"/>
    <d v="2025-09-10T08:56:00"/>
    <s v="BA1009251055"/>
    <s v="-"/>
    <s v="OFF LINE"/>
    <s v="Pagamento direto"/>
    <s v="Pagamento direto"/>
    <x v="0"/>
    <s v="N"/>
    <x v="31"/>
    <s v="Basf Sa"/>
    <s v="-"/>
    <s v="-"/>
    <s v="-"/>
    <x v="25"/>
    <s v="-"/>
    <x v="9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9319"/>
    <n v="23682521"/>
    <s v="ACC01"/>
    <x v="115"/>
    <d v="2025-09-11T15:14:05"/>
    <x v="3"/>
    <x v="3"/>
    <s v="NWREPNC"/>
    <s v="SABRE"/>
    <s v="MENDES MACHADO/NATALIA MRS"/>
    <s v="Felipe Anderson da Silva"/>
    <s v="Felipe Anderson da Silva"/>
    <d v="2025-09-10T13:10:00"/>
    <s v="BA1009251509"/>
    <s v="SAO"/>
    <s v="OFF LINE"/>
    <s v="Invoice"/>
    <s v="Faturado"/>
    <x v="1"/>
    <s v="N"/>
    <x v="31"/>
    <s v="Basf Sa"/>
    <s v="-"/>
    <s v="-"/>
    <s v="-"/>
    <x v="25"/>
    <s v="-"/>
    <x v="96"/>
    <n v="103.93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3658"/>
    <n v="23686248"/>
    <s v="ACC01"/>
    <x v="116"/>
    <d v="2025-09-12T06:56:22"/>
    <x v="3"/>
    <x v="3"/>
    <s v="IEMCHIC"/>
    <s v="SABRE"/>
    <s v="RIEKES/AUGUSTO MEDEIROS  MR"/>
    <s v="Felipe Anderson da Silva"/>
    <s v="Felipe Anderson da Silva"/>
    <d v="2025-09-11T07:48:00"/>
    <s v="BA1109250948"/>
    <s v="SJK"/>
    <s v="OFF LINE"/>
    <s v="Invoice"/>
    <s v="Faturado"/>
    <x v="1"/>
    <s v="N"/>
    <x v="31"/>
    <s v="Basf Sa"/>
    <s v="-"/>
    <s v="-"/>
    <s v="-"/>
    <x v="25"/>
    <s v="-"/>
    <x v="97"/>
    <n v="288.47000000000003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35322"/>
    <n v="23620016"/>
    <s v="ACC01"/>
    <x v="117"/>
    <d v="2025-09-11T13:36:17"/>
    <x v="3"/>
    <x v="2"/>
    <s v="YXQXFET"/>
    <s v="SABRE"/>
    <s v="CRISTOFOLI PEREIRA/ISADORA MISS"/>
    <s v="CT"/>
    <s v="CT"/>
    <d v="2025-08-29T07:30:00"/>
    <s v="YXQXFE"/>
    <s v="-"/>
    <s v="ON LINE"/>
    <s v="Pagamento direto"/>
    <s v="Pagamento direto"/>
    <x v="0"/>
    <s v="N"/>
    <x v="31"/>
    <s v="Basf Sa"/>
    <s v="-"/>
    <s v="-"/>
    <s v="-"/>
    <x v="25"/>
    <s v="-"/>
    <x v="98"/>
    <n v="351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46340"/>
    <n v="23627905"/>
    <s v="ACC01"/>
    <x v="118"/>
    <d v="2025-09-11T13:36:19"/>
    <x v="3"/>
    <x v="2"/>
    <s v="WKCLDWT"/>
    <s v="SABRE"/>
    <s v="DE LA CRUZ EPIGMENIO/SALVADOR MR"/>
    <s v="CT"/>
    <s v="CT"/>
    <d v="2025-08-29T16:28:00"/>
    <s v="WKCLDW"/>
    <s v="-"/>
    <s v="ON LINE"/>
    <s v="Pagamento direto"/>
    <s v="Pagamento direto"/>
    <x v="0"/>
    <s v="N"/>
    <x v="31"/>
    <s v="Basf Sa"/>
    <s v="-"/>
    <s v="-"/>
    <s v="-"/>
    <x v="25"/>
    <s v="-"/>
    <x v="99"/>
    <n v="16.02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46340"/>
    <n v="23627906"/>
    <s v="ACC02"/>
    <x v="118"/>
    <d v="2025-09-11T13:36:19"/>
    <x v="3"/>
    <x v="2"/>
    <s v="WKCLDWT"/>
    <s v="SABRE"/>
    <s v="DE LA CRUZ EPIGMENIO/SALVADOR MR"/>
    <s v="CT"/>
    <s v="CT"/>
    <d v="2025-08-29T16:28:00"/>
    <s v="WKCLDW"/>
    <s v="-"/>
    <s v="ON LINE"/>
    <s v="Pagamento direto"/>
    <s v="Pagamento direto"/>
    <x v="0"/>
    <s v="N"/>
    <x v="31"/>
    <s v="Basf Sa"/>
    <s v="-"/>
    <s v="-"/>
    <s v="-"/>
    <x v="25"/>
    <s v="-"/>
    <x v="100"/>
    <n v="10.11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46340"/>
    <n v="23627907"/>
    <s v="ACC03"/>
    <x v="118"/>
    <d v="2025-09-11T13:36:19"/>
    <x v="3"/>
    <x v="2"/>
    <s v="WKCLDWT"/>
    <s v="SABRE"/>
    <s v="DE LA CRUZ EPIGMENIO/SALVADOR MR"/>
    <s v="CT"/>
    <s v="CT"/>
    <d v="2025-08-29T16:28:00"/>
    <s v="WKCLDW"/>
    <s v="-"/>
    <s v="ON LINE"/>
    <s v="Pagamento direto"/>
    <s v="Pagamento direto"/>
    <x v="0"/>
    <s v="N"/>
    <x v="31"/>
    <s v="Basf Sa"/>
    <s v="-"/>
    <s v="-"/>
    <s v="-"/>
    <x v="25"/>
    <s v="-"/>
    <x v="101"/>
    <n v="17.05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33086"/>
    <n v="23617877"/>
    <s v="ACC01"/>
    <x v="119"/>
    <d v="2025-09-11T13:36:16"/>
    <x v="3"/>
    <x v="2"/>
    <s v="FZHDGST"/>
    <s v="SABRE"/>
    <s v="CARDOSO CALLEGARI/CAROLINE MISS"/>
    <s v="CT"/>
    <s v="CT"/>
    <d v="2025-08-28T15:29:00"/>
    <s v="FZHDGS"/>
    <s v="-"/>
    <s v="ON LINE"/>
    <s v="Pagamento direto"/>
    <s v="Pagamento direto"/>
    <x v="0"/>
    <s v="N"/>
    <x v="31"/>
    <s v="Basf Sa"/>
    <s v="-"/>
    <s v="-"/>
    <s v="-"/>
    <x v="25"/>
    <s v="-"/>
    <x v="102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48723"/>
    <n v="23630302"/>
    <s v="ACC01"/>
    <x v="120"/>
    <d v="2025-09-11T13:36:23"/>
    <x v="3"/>
    <x v="2"/>
    <s v="JAWQKUT"/>
    <s v="SABRE"/>
    <s v="DIAS/RENATA MARTINS MRS"/>
    <s v="CT"/>
    <s v="CT"/>
    <d v="2025-09-01T12:50:00"/>
    <s v="JAWQKU"/>
    <s v="-"/>
    <s v="ON LINE"/>
    <s v="Pagamento direto"/>
    <s v="Pagamento direto"/>
    <x v="0"/>
    <s v="N"/>
    <x v="31"/>
    <s v="Basf Sa"/>
    <s v="-"/>
    <s v="-"/>
    <s v="-"/>
    <x v="25"/>
    <s v="-"/>
    <x v="103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61747"/>
    <n v="23641683"/>
    <s v="ACC01"/>
    <x v="121"/>
    <d v="2025-09-11T13:36:23"/>
    <x v="3"/>
    <x v="2"/>
    <s v="DLPYWDC"/>
    <s v="SABRE"/>
    <s v="LOCATELLI/ANA CAROLINA MRS"/>
    <s v="CT"/>
    <s v="CT"/>
    <d v="2025-09-02T09:04:00"/>
    <s v="DLPYWD"/>
    <s v="FRA"/>
    <s v="ON LINE"/>
    <s v="Invoice"/>
    <s v="Faturado"/>
    <x v="1"/>
    <s v="N"/>
    <x v="31"/>
    <s v="Basf Sa"/>
    <s v="-"/>
    <s v="-"/>
    <s v="-"/>
    <x v="25"/>
    <s v="-"/>
    <x v="104"/>
    <n v="112.15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47036"/>
    <n v="23628591"/>
    <s v="ACC01"/>
    <x v="122"/>
    <d v="2025-09-11T13:36:20"/>
    <x v="3"/>
    <x v="2"/>
    <s v="WZRDOVT"/>
    <s v="SABRE"/>
    <s v="PINHEIRO ROCHA/DAVI MR"/>
    <s v="CT"/>
    <s v="CT"/>
    <d v="2025-09-01T06:57:00"/>
    <s v="183727480-26492"/>
    <s v="-"/>
    <s v="ON LINE"/>
    <s v="Pagamento direto"/>
    <s v="Pagamento direto"/>
    <x v="0"/>
    <s v="N"/>
    <x v="31"/>
    <s v="Basf Sa"/>
    <s v="-"/>
    <s v="-"/>
    <s v="-"/>
    <x v="25"/>
    <s v="-"/>
    <x v="105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268"/>
    <n v="23682471"/>
    <s v="ACC02"/>
    <x v="123"/>
    <d v="2025-09-11T15:10:43"/>
    <x v="3"/>
    <x v="3"/>
    <s v="GKSNPUT"/>
    <s v="SABRE"/>
    <s v="ISMAEL/MARCELO MANIERO MR"/>
    <s v="Marcelo de Freitas"/>
    <s v="Marcelo de Freitas"/>
    <d v="2025-09-08T16:55:00"/>
    <s v="BA0909250955"/>
    <s v="-"/>
    <s v="OFF LINE"/>
    <s v="Pagamento direto"/>
    <s v="Pagamento direto"/>
    <x v="0"/>
    <s v="N"/>
    <x v="31"/>
    <s v="Basf Sa"/>
    <s v="-"/>
    <s v="-"/>
    <s v="-"/>
    <x v="25"/>
    <s v="-"/>
    <x v="106"/>
    <n v="0"/>
    <n v="0"/>
    <n v="0"/>
    <n v="0"/>
    <n v="0"/>
    <n v="0"/>
    <s v="Reserva importada por HubTravel"/>
    <s v="Fornecedor não preenchido! (ACC02)"/>
    <x v="1"/>
    <x v="0"/>
    <s v="Campo Fornecedor"/>
    <x v="0"/>
    <s v="Qualidade dos dados"/>
    <s v="KONTIK BUSINESS TRAVEL"/>
    <x v="1"/>
  </r>
  <r>
    <n v="22868179"/>
    <n v="23647255"/>
    <s v="ACC01"/>
    <x v="124"/>
    <d v="2025-09-11T13:36:25"/>
    <x v="3"/>
    <x v="1"/>
    <s v="AMYQKDT"/>
    <s v="SABRE"/>
    <s v="KIRCHNER/CASSIO LUIZ MR"/>
    <s v="Marcelo de Freitas"/>
    <s v="Marcelo de Freitas"/>
    <d v="2025-09-03T14:00:00"/>
    <s v="BA0309251616"/>
    <s v="-"/>
    <s v="OFF LINE"/>
    <s v="Pagamento direto"/>
    <s v="Pagamento direto"/>
    <x v="0"/>
    <s v="N"/>
    <x v="31"/>
    <s v="Basf Sa"/>
    <s v="-"/>
    <s v="-"/>
    <s v="-"/>
    <x v="25"/>
    <s v="-"/>
    <x v="10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7916"/>
    <n v="23646993"/>
    <s v="ACC01"/>
    <x v="125"/>
    <d v="2025-09-11T13:36:24"/>
    <x v="3"/>
    <x v="1"/>
    <s v="WQPIHVT"/>
    <s v="SABRE"/>
    <s v="ISMAEL/MARCELO MANIERO MR"/>
    <s v="Marcelo de Freitas"/>
    <s v="Marcelo de Freitas"/>
    <d v="2025-08-08T07:48:00"/>
    <s v="BA0808250955"/>
    <s v="-"/>
    <s v="OFF LINE"/>
    <s v="Invoice"/>
    <s v="Faturado"/>
    <x v="0"/>
    <s v="N"/>
    <x v="31"/>
    <s v="Basf Sa"/>
    <s v="-"/>
    <s v="-"/>
    <s v="-"/>
    <x v="25"/>
    <s v="-"/>
    <x v="108"/>
    <n v="19.63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7916"/>
    <n v="23646995"/>
    <s v="ACC02"/>
    <x v="125"/>
    <d v="2025-09-11T13:36:24"/>
    <x v="3"/>
    <x v="1"/>
    <s v="WQPIHVT"/>
    <s v="SABRE"/>
    <s v="ISMAEL/MARCELO MANIERO MR"/>
    <s v="Marcelo de Freitas"/>
    <s v="Marcelo de Freitas"/>
    <d v="2025-08-08T07:48:00"/>
    <s v="BA0808250955"/>
    <s v="-"/>
    <s v="OFF LINE"/>
    <s v="Invoice"/>
    <s v="Faturado"/>
    <x v="0"/>
    <s v="N"/>
    <x v="31"/>
    <s v="Basf Sa"/>
    <s v="-"/>
    <s v="-"/>
    <s v="-"/>
    <x v="25"/>
    <s v="-"/>
    <x v="109"/>
    <n v="10.61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7916"/>
    <n v="23646996"/>
    <s v="ACC03"/>
    <x v="125"/>
    <d v="2025-09-11T13:36:24"/>
    <x v="3"/>
    <x v="1"/>
    <s v="WQPIHVT"/>
    <s v="SABRE"/>
    <s v="ISMAEL/MARCELO MANIERO MR"/>
    <s v="Marcelo de Freitas"/>
    <s v="Marcelo de Freitas"/>
    <d v="2025-08-08T07:48:00"/>
    <s v="BA0808250955"/>
    <s v="-"/>
    <s v="OFF LINE"/>
    <s v="Invoice"/>
    <s v="Faturado"/>
    <x v="0"/>
    <s v="N"/>
    <x v="31"/>
    <s v="Basf Sa"/>
    <s v="-"/>
    <s v="-"/>
    <s v="-"/>
    <x v="25"/>
    <s v="-"/>
    <x v="110"/>
    <n v="20.93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48692"/>
    <n v="23630272"/>
    <s v="ACC03"/>
    <x v="126"/>
    <d v="2025-09-11T13:36:21"/>
    <x v="3"/>
    <x v="2"/>
    <s v="LSFUAVT"/>
    <s v="SABRE"/>
    <s v="ZANON/RENATA BOCCI MISS"/>
    <s v="CT"/>
    <s v="CT"/>
    <d v="2025-09-01T08:55:00"/>
    <s v="183733836-76587"/>
    <s v="-"/>
    <s v="ON LINE"/>
    <s v="Pagamento direto"/>
    <s v="Pagamento direto"/>
    <x v="0"/>
    <s v="N"/>
    <x v="31"/>
    <s v="Basf Sa"/>
    <s v="-"/>
    <s v="-"/>
    <s v="-"/>
    <x v="25"/>
    <s v="-"/>
    <x v="111"/>
    <n v="16.809999999999999"/>
    <n v="0"/>
    <n v="0"/>
    <n v="0"/>
    <n v="0"/>
    <n v="0"/>
    <s v="Reserva importada por HubTravel"/>
    <s v="Fornecedor não preenchido! (ACC03)"/>
    <x v="1"/>
    <x v="0"/>
    <s v="Campo Fornecedor"/>
    <x v="0"/>
    <s v="Sistêmico"/>
    <s v="GRUPO KONTIK"/>
    <x v="0"/>
  </r>
  <r>
    <n v="22909323"/>
    <n v="23682527"/>
    <s v="ACC01"/>
    <x v="127"/>
    <d v="2025-09-11T15:19:14"/>
    <x v="3"/>
    <x v="3"/>
    <s v="HDOAGQC"/>
    <s v="SABRE"/>
    <s v="LIMA/SABRINA MISS"/>
    <s v="Marcelo Pereira de Melo"/>
    <s v="Marcelo Pereira de Melo"/>
    <d v="2025-09-10T13:36:00"/>
    <s v="BA10092025"/>
    <s v="SAO"/>
    <s v="OFF LINE"/>
    <s v="Invoice"/>
    <s v="Faturado"/>
    <x v="1"/>
    <s v="N"/>
    <x v="31"/>
    <s v="Basf Sa"/>
    <s v="-"/>
    <s v="-"/>
    <s v="-"/>
    <x v="25"/>
    <s v="-"/>
    <x v="112"/>
    <n v="107.71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3636"/>
    <n v="23686225"/>
    <s v="ACC01"/>
    <x v="128"/>
    <d v="2025-09-12T06:48:36"/>
    <x v="3"/>
    <x v="3"/>
    <s v="JPNYLBT"/>
    <s v="SABRE"/>
    <s v="ELIAS ASCAR/DANIELA MRS"/>
    <s v="Marcelo de Freitas"/>
    <s v="Marcelo de Freitas"/>
    <d v="2025-08-20T13:39:00"/>
    <s v="BA2508251024"/>
    <s v="-"/>
    <s v="OFF LINE"/>
    <s v="Invoice"/>
    <s v="Faturado"/>
    <x v="0"/>
    <s v="N"/>
    <x v="31"/>
    <s v="Basf Sa"/>
    <s v="-"/>
    <s v="-"/>
    <s v="-"/>
    <x v="25"/>
    <s v="-"/>
    <x v="11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3636"/>
    <n v="23686226"/>
    <s v="ACC02"/>
    <x v="128"/>
    <d v="2025-09-12T06:48:36"/>
    <x v="3"/>
    <x v="3"/>
    <s v="JPNYLBT"/>
    <s v="SABRE"/>
    <s v="ELIAS ASCAR/DANIELA MRS"/>
    <s v="Marcelo de Freitas"/>
    <s v="Marcelo de Freitas"/>
    <d v="2025-08-20T13:39:00"/>
    <s v="BA2508251024"/>
    <s v="-"/>
    <s v="OFF LINE"/>
    <s v="Invoice"/>
    <s v="Faturado"/>
    <x v="0"/>
    <s v="N"/>
    <x v="31"/>
    <s v="Basf Sa"/>
    <s v="-"/>
    <s v="-"/>
    <s v="-"/>
    <x v="25"/>
    <s v="-"/>
    <x v="11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3640"/>
    <n v="23686230"/>
    <s v="ACC01"/>
    <x v="129"/>
    <d v="2025-09-12T06:48:41"/>
    <x v="3"/>
    <x v="3"/>
    <s v="APLNKVT"/>
    <s v="SABRE"/>
    <s v="SCHREINER DE OLIVEIRA/FELIPE MR"/>
    <s v="Renata Godoy Sant Anna"/>
    <s v="Renata Godoy Sant Anna"/>
    <d v="2025-09-09T12:20:00"/>
    <s v="BA1009251746"/>
    <s v="-"/>
    <s v="OFF LINE"/>
    <s v="Invoice"/>
    <s v="Faturado"/>
    <x v="0"/>
    <s v="N"/>
    <x v="31"/>
    <s v="Basf Sa"/>
    <s v="-"/>
    <s v="-"/>
    <s v="-"/>
    <x v="25"/>
    <s v="-"/>
    <x v="11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3643"/>
    <n v="23686233"/>
    <s v="ACC01"/>
    <x v="130"/>
    <d v="2025-09-12T06:54:40"/>
    <x v="3"/>
    <x v="3"/>
    <s v="GNYYWBT"/>
    <s v="SABRE"/>
    <s v="DA SILVA/WAGNER ANTUNES MR"/>
    <s v="Renata Godoy Sant Anna"/>
    <s v="Renata Godoy Sant Anna"/>
    <d v="2025-09-10T15:16:00"/>
    <s v="GNYYWB"/>
    <s v="-"/>
    <s v="ON LINE"/>
    <s v="Cartão de crédito"/>
    <s v="Cartão de crédito"/>
    <x v="0"/>
    <s v="N"/>
    <x v="31"/>
    <s v="Basf Sa"/>
    <s v="-"/>
    <s v="-"/>
    <s v="-"/>
    <x v="25"/>
    <s v="-"/>
    <x v="11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2"/>
  </r>
  <r>
    <n v="22904971"/>
    <n v="23678948"/>
    <s v="ACC01"/>
    <x v="131"/>
    <d v="2025-09-11T13:36:29"/>
    <x v="3"/>
    <x v="3"/>
    <s v="EAKTSHC"/>
    <s v="SABRE"/>
    <s v="GABRIEL/FABIO HENRIQUE PEIXOTO MR"/>
    <s v="Felipe Anderson da Silva"/>
    <s v="Felipe Anderson da Silva"/>
    <d v="2025-09-08T11:43:00"/>
    <s v="BA0809251342"/>
    <s v="HAJ"/>
    <s v="OFF LINE"/>
    <s v="Invoice"/>
    <s v="Faturado"/>
    <x v="1"/>
    <s v="N"/>
    <x v="31"/>
    <s v="Basf Catalisadores"/>
    <s v="-"/>
    <s v="-"/>
    <s v="-"/>
    <x v="25"/>
    <s v="-"/>
    <x v="116"/>
    <n v="1150.43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4988"/>
    <n v="23678966"/>
    <s v="ACC01"/>
    <x v="132"/>
    <d v="2025-09-11T13:42:14"/>
    <x v="3"/>
    <x v="3"/>
    <s v="KEGOJBT"/>
    <s v="SABRE"/>
    <s v="CORREIA/DEISE CRISTIANE BARRETO MRS"/>
    <s v="Felipe Anderson da Silva"/>
    <s v="Felipe Anderson da Silva"/>
    <d v="2025-09-08T13:14:00"/>
    <s v="BA0809251513"/>
    <s v="-"/>
    <s v="OFF LINE"/>
    <s v="Pagamento direto"/>
    <s v="Pagamento direto"/>
    <x v="0"/>
    <s v="N"/>
    <x v="31"/>
    <s v="Suvinil"/>
    <s v="-"/>
    <s v="-"/>
    <s v="-"/>
    <x v="25"/>
    <s v="-"/>
    <x v="11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4990"/>
    <n v="23678968"/>
    <s v="ACC01"/>
    <x v="133"/>
    <d v="2025-09-11T13:42:17"/>
    <x v="3"/>
    <x v="3"/>
    <s v="JUZDABT"/>
    <s v="SABRE"/>
    <s v="TERENTIN DE MISQUITA/HARON MR"/>
    <s v="Felipe Anderson da Silva"/>
    <s v="Felipe Anderson da Silva"/>
    <d v="2025-09-08T13:19:00"/>
    <s v="BA0809251518"/>
    <s v="-"/>
    <s v="OFF LINE"/>
    <s v="Invoice"/>
    <s v="Faturado"/>
    <x v="0"/>
    <s v="N"/>
    <x v="31"/>
    <s v="Suvinil"/>
    <s v="-"/>
    <s v="-"/>
    <s v="-"/>
    <x v="25"/>
    <s v="-"/>
    <x v="11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48704"/>
    <n v="23630282"/>
    <s v="ACC01"/>
    <x v="134"/>
    <d v="2025-09-11T13:36:22"/>
    <x v="3"/>
    <x v="2"/>
    <s v="YGAZUIT"/>
    <s v="SABRE"/>
    <s v="RODRIGUES/MARIANA RIBEIRO MRS"/>
    <s v="CT"/>
    <s v="CT"/>
    <d v="2025-09-01T12:36:00"/>
    <s v="183740115-54480"/>
    <s v="-"/>
    <s v="ON LINE"/>
    <s v="Pagamento direto"/>
    <s v="Pagamento direto"/>
    <x v="0"/>
    <s v="N"/>
    <x v="31"/>
    <s v="Suvinil"/>
    <s v="-"/>
    <s v="-"/>
    <s v="-"/>
    <x v="25"/>
    <s v="-"/>
    <x v="118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48706"/>
    <n v="23630285"/>
    <s v="ACC01"/>
    <x v="135"/>
    <d v="2025-09-11T13:36:22"/>
    <x v="3"/>
    <x v="2"/>
    <s v="JCDGIJT"/>
    <s v="SABRE"/>
    <s v="LOURENCO/NATALIA INACIO MISS"/>
    <s v="CT"/>
    <s v="CT"/>
    <d v="2025-09-01T12:39:00"/>
    <s v="183740146-19246"/>
    <s v="-"/>
    <s v="ON LINE"/>
    <s v="Pagamento direto"/>
    <s v="Pagamento direto"/>
    <x v="0"/>
    <s v="N"/>
    <x v="31"/>
    <s v="Suvinil"/>
    <s v="-"/>
    <s v="-"/>
    <s v="-"/>
    <x v="25"/>
    <s v="-"/>
    <x v="118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27600"/>
    <n v="23612939"/>
    <s v="ACC01"/>
    <x v="136"/>
    <d v="2025-09-11T13:36:15"/>
    <x v="3"/>
    <x v="2"/>
    <s v="UEGYQVT"/>
    <s v="SABRE"/>
    <s v="GOVEIA BATISTA SILVA/VICTOR MR"/>
    <s v="CT"/>
    <s v="CT"/>
    <d v="2025-08-28T08:20:00"/>
    <s v="UEGYQV"/>
    <s v="-"/>
    <s v="ON LINE"/>
    <s v="Pagamento direto"/>
    <s v="Pagamento direto"/>
    <x v="0"/>
    <s v="N"/>
    <x v="31"/>
    <s v="Suvinil"/>
    <s v="-"/>
    <s v="-"/>
    <s v="-"/>
    <x v="25"/>
    <s v="-"/>
    <x v="119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27693"/>
    <n v="23613029"/>
    <s v="ACC01"/>
    <x v="137"/>
    <d v="2025-09-11T13:36:16"/>
    <x v="3"/>
    <x v="2"/>
    <s v="GGOMHBT"/>
    <s v="SABRE"/>
    <s v="LUCIANO/LUCIANO LANCONI MR"/>
    <s v="CT"/>
    <s v="CT"/>
    <d v="2025-08-28T09:53:00"/>
    <s v="183666081-40839"/>
    <s v="-"/>
    <s v="ON LINE"/>
    <s v="Pagamento direto"/>
    <s v="Pagamento direto"/>
    <x v="0"/>
    <s v="N"/>
    <x v="31"/>
    <s v="Suvinil"/>
    <s v="-"/>
    <s v="-"/>
    <s v="-"/>
    <x v="25"/>
    <s v="-"/>
    <x v="120"/>
    <n v="0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9286"/>
    <n v="23682492"/>
    <s v="ACC01"/>
    <x v="138"/>
    <d v="2025-09-11T15:19:13"/>
    <x v="3"/>
    <x v="3"/>
    <s v="FHMPFUT"/>
    <s v="SABRE"/>
    <s v="SANTOS DE MORAIS/YASMIN"/>
    <s v="Marcelo Pereira de Melo"/>
    <s v="Marcelo Pereira de Melo"/>
    <d v="2025-09-09T15:25:00"/>
    <s v="BA09092025"/>
    <s v="-"/>
    <s v="OFF LINE"/>
    <s v="Invoice"/>
    <s v="Faturado"/>
    <x v="0"/>
    <s v="N"/>
    <x v="31"/>
    <s v="Suvinil"/>
    <s v="-"/>
    <s v="-"/>
    <s v="-"/>
    <x v="25"/>
    <s v="-"/>
    <x v="121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59874"/>
    <n v="23639913"/>
    <s v="ACC01"/>
    <x v="139"/>
    <d v="2025-09-03T09:20:43"/>
    <x v="2"/>
    <x v="2"/>
    <n v="19823673"/>
    <s v="GOVER"/>
    <s v="Lia Soares"/>
    <s v="Gover"/>
    <s v="Gover"/>
    <d v="2025-09-02T12:01:00"/>
    <n v="4591443"/>
    <s v="-"/>
    <s v="ON LINE"/>
    <s v="Cartão de crédito"/>
    <s v="Cartão de crédito"/>
    <x v="0"/>
    <s v="N"/>
    <x v="32"/>
    <s v="Chicago Pneumatic Brasil Ltda - Matriz"/>
    <s v="-"/>
    <s v="-"/>
    <s v="-"/>
    <x v="6"/>
    <s v="-"/>
    <x v="122"/>
    <n v="63.68"/>
    <n v="0"/>
    <n v="0"/>
    <n v="0"/>
    <n v="0"/>
    <n v="0"/>
    <s v="Reserva importada do sistema Gover. Id: 4591443"/>
    <s v="Fornecedor não preenchido! (ACC01)"/>
    <x v="0"/>
    <x v="0"/>
    <s v="Campo Fornecedor"/>
    <x v="0"/>
    <s v="Sistêmico"/>
    <s v="GRUPO KONTIK"/>
    <x v="0"/>
  </r>
  <r>
    <n v="22905429"/>
    <n v="23679366"/>
    <s v="ACC01"/>
    <x v="140"/>
    <d v="2025-09-10T22:26:39"/>
    <x v="3"/>
    <x v="3"/>
    <s v="JNHZHZT"/>
    <s v="SABRE"/>
    <s v="MENDES SILVA/GUSTAVO MR"/>
    <s v="WS"/>
    <s v="WS"/>
    <d v="2025-09-09T07:28:00"/>
    <s v="-"/>
    <s v="-"/>
    <s v="ON LINE"/>
    <s v="Cartão de crédito"/>
    <s v="Cartão de crédito"/>
    <x v="0"/>
    <s v="N"/>
    <x v="33"/>
    <s v="Chanel"/>
    <s v="-"/>
    <s v="-"/>
    <s v="-"/>
    <x v="26"/>
    <s v="-"/>
    <x v="123"/>
    <n v="8.4499999999999993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1417"/>
    <n v="23675579"/>
    <s v="ACC01"/>
    <x v="141"/>
    <d v="2025-09-10T12:08:10"/>
    <x v="3"/>
    <x v="3"/>
    <s v="5K576F"/>
    <s v="LEMONTECH"/>
    <s v="ROSSINI/RAFAEL"/>
    <s v="Lemontech"/>
    <s v="Lemontech"/>
    <d v="2025-09-09T00:00:00"/>
    <n v="17497766"/>
    <s v="-"/>
    <s v="ON LINE"/>
    <s v="Cartão de crédito"/>
    <s v="Cartão de crédito"/>
    <x v="0"/>
    <s v="N"/>
    <x v="34"/>
    <s v="Lojas Renner"/>
    <s v="-"/>
    <s v="-"/>
    <s v="-"/>
    <x v="27"/>
    <s v="-"/>
    <x v="69"/>
    <n v="0"/>
    <n v="0"/>
    <n v="0"/>
    <n v="0"/>
    <n v="0"/>
    <n v="0"/>
    <s v="Reserva importada do Sistema Lemontech. Solicitação: 17497766"/>
    <s v="Fornecedor não preenchido! (ACC01)"/>
    <x v="3"/>
    <x v="0"/>
    <s v="Campo Fornecedor"/>
    <x v="0"/>
    <s v="Qualidade dos dados"/>
    <s v="KONTIK BUSINESS TRAVEL"/>
    <x v="1"/>
  </r>
  <r>
    <n v="22895866"/>
    <n v="23670829"/>
    <s v="ACC01"/>
    <x v="142"/>
    <d v="2025-09-09T14:07:31"/>
    <x v="0"/>
    <x v="0"/>
    <s v="5K8HX3"/>
    <s v="LEMONTECH"/>
    <s v="DOS SANTOS BICCA/ROSELAINE"/>
    <s v="Lemontech"/>
    <s v="Lemontech"/>
    <d v="2025-09-09T00:00:00"/>
    <n v="17496736"/>
    <s v="-"/>
    <s v="ON LINE"/>
    <s v="Cartão de crédito"/>
    <s v="Cartão de crédito"/>
    <x v="0"/>
    <s v="N"/>
    <x v="34"/>
    <s v="Lojas Renner"/>
    <s v="-"/>
    <s v="-"/>
    <s v="-"/>
    <x v="27"/>
    <s v="-"/>
    <x v="124"/>
    <n v="0"/>
    <n v="0"/>
    <n v="0"/>
    <n v="0"/>
    <n v="0"/>
    <n v="0"/>
    <s v="Reserva importada do Sistema Lemontech. Solicitação: 17496736"/>
    <s v="Fornecedor não preenchido! (ACC01)"/>
    <x v="3"/>
    <x v="0"/>
    <s v="Campo Fornecedor"/>
    <x v="0"/>
    <s v="Qualidade dos dados"/>
    <s v="KONTIK BUSINESS TRAVEL"/>
    <x v="1"/>
  </r>
  <r>
    <n v="22889444"/>
    <n v="23664935"/>
    <s v="ACC01"/>
    <x v="143"/>
    <d v="2025-09-08T14:06:51"/>
    <x v="0"/>
    <x v="0"/>
    <s v="5KZ25Q"/>
    <s v="LEMONTECH"/>
    <s v="FERNANDES CRUZ/LEANDRO"/>
    <s v="Lemontech"/>
    <s v="Lemontech"/>
    <d v="2025-09-08T00:00:00"/>
    <n v="17484878"/>
    <s v="-"/>
    <s v="ON LINE"/>
    <s v="Cartão de crédito"/>
    <s v="Cartão de crédito"/>
    <x v="0"/>
    <s v="N"/>
    <x v="34"/>
    <s v="Lojas Renner"/>
    <s v="-"/>
    <s v="-"/>
    <s v="-"/>
    <x v="27"/>
    <s v="-"/>
    <x v="125"/>
    <n v="0"/>
    <n v="0"/>
    <n v="0"/>
    <n v="0"/>
    <n v="21.85"/>
    <n v="0"/>
    <s v="Reserva importada do Sistema Lemontech. Solicitação: 17484878"/>
    <s v="Fornecedor não preenchido! (ACC01)"/>
    <x v="3"/>
    <x v="0"/>
    <s v="Campo Fornecedor"/>
    <x v="0"/>
    <s v="Qualidade dos dados"/>
    <s v="KONTIK BUSINESS TRAVEL"/>
    <x v="1"/>
  </r>
  <r>
    <n v="22897842"/>
    <n v="23672730"/>
    <s v="ACC01"/>
    <x v="144"/>
    <d v="2025-09-09T19:07:14"/>
    <x v="0"/>
    <x v="0"/>
    <s v="5KCFL3"/>
    <s v="LEMONTECH"/>
    <s v="PEREIRA/LUCAS"/>
    <s v="Lemontech"/>
    <s v="Lemontech"/>
    <d v="2025-09-05T00:00:00"/>
    <n v="17476838"/>
    <s v="-"/>
    <s v="ON LINE"/>
    <s v="Cartão de crédito"/>
    <s v="Cartão de crédito"/>
    <x v="0"/>
    <s v="N"/>
    <x v="34"/>
    <s v="Lojas Renner"/>
    <s v="-"/>
    <s v="-"/>
    <s v="-"/>
    <x v="27"/>
    <s v="-"/>
    <x v="126"/>
    <n v="0"/>
    <n v="0"/>
    <n v="0"/>
    <n v="0"/>
    <n v="0"/>
    <n v="0"/>
    <s v="Reserva importada do Sistema Lemontech. Solicitação: 17476838"/>
    <s v="Fornecedor não preenchido! (ACC01)"/>
    <x v="3"/>
    <x v="0"/>
    <s v="Campo Fornecedor"/>
    <x v="0"/>
    <s v="Qualidade dos dados"/>
    <s v="KONTIK BUSINESS TRAVEL"/>
    <x v="1"/>
  </r>
  <r>
    <n v="22889051"/>
    <n v="23664542"/>
    <s v="ACC01"/>
    <x v="145"/>
    <d v="2025-09-08T13:14:02"/>
    <x v="0"/>
    <x v="0"/>
    <s v="5K6IDZ"/>
    <s v="LEMONTECH"/>
    <s v="VERGARA ORTIZ/ANDREA"/>
    <s v="Lemontech"/>
    <s v="Lemontech"/>
    <d v="2025-09-08T00:00:00"/>
    <n v="17484254"/>
    <s v="-"/>
    <s v="ON LINE"/>
    <s v="Cartão de crédito"/>
    <s v="Cartão de crédito"/>
    <x v="0"/>
    <s v="N"/>
    <x v="34"/>
    <s v="Lojas Renner"/>
    <s v="-"/>
    <s v="-"/>
    <s v="-"/>
    <x v="27"/>
    <s v="-"/>
    <x v="127"/>
    <n v="0"/>
    <n v="0"/>
    <n v="0"/>
    <n v="0"/>
    <n v="372"/>
    <n v="0"/>
    <s v="Reserva importada do Sistema Lemontech. Solicitação: 17484254"/>
    <s v="Fornecedor não preenchido! (ACC01)"/>
    <x v="3"/>
    <x v="0"/>
    <s v="Campo Fornecedor"/>
    <x v="0"/>
    <s v="Qualidade dos dados"/>
    <s v="KONTIK BUSINESS TRAVEL"/>
    <x v="1"/>
  </r>
  <r>
    <n v="22889052"/>
    <n v="23664544"/>
    <s v="ACC01"/>
    <x v="146"/>
    <d v="2025-09-08T13:14:03"/>
    <x v="0"/>
    <x v="0"/>
    <s v="5KUKEQ"/>
    <s v="LEMONTECH"/>
    <s v="SANGIOVANNI/NOELIA"/>
    <s v="Lemontech"/>
    <s v="Lemontech"/>
    <d v="2025-09-08T00:00:00"/>
    <n v="17484280"/>
    <s v="-"/>
    <s v="ON LINE"/>
    <s v="Cartão de crédito"/>
    <s v="Cartão de crédito"/>
    <x v="0"/>
    <s v="N"/>
    <x v="34"/>
    <s v="Lojas Renner"/>
    <s v="-"/>
    <s v="-"/>
    <s v="-"/>
    <x v="27"/>
    <s v="-"/>
    <x v="128"/>
    <n v="0"/>
    <n v="0"/>
    <n v="0"/>
    <n v="0"/>
    <n v="756"/>
    <n v="0"/>
    <s v="Reserva importada do Sistema Lemontech. Solicitação: 17484280"/>
    <s v="Fornecedor não preenchido! (ACC01)"/>
    <x v="3"/>
    <x v="0"/>
    <s v="Campo Fornecedor"/>
    <x v="0"/>
    <s v="Qualidade dos dados"/>
    <s v="KONTIK BUSINESS TRAVEL"/>
    <x v="1"/>
  </r>
  <r>
    <n v="22889056"/>
    <n v="23664548"/>
    <s v="ACC01"/>
    <x v="147"/>
    <d v="2025-09-08T13:14:11"/>
    <x v="0"/>
    <x v="0"/>
    <s v="5K1NC1"/>
    <s v="LEMONTECH"/>
    <s v="BORGES/JULIANE"/>
    <s v="Lemontech"/>
    <s v="Lemontech"/>
    <d v="2025-09-08T00:00:00"/>
    <n v="17484483"/>
    <s v="-"/>
    <s v="ON LINE"/>
    <s v="Cartão de crédito"/>
    <s v="Cartão de crédito"/>
    <x v="0"/>
    <s v="N"/>
    <x v="34"/>
    <s v="Lojas Renner"/>
    <s v="-"/>
    <s v="-"/>
    <s v="-"/>
    <x v="27"/>
    <s v="-"/>
    <x v="129"/>
    <n v="0"/>
    <n v="0"/>
    <n v="0"/>
    <n v="0"/>
    <n v="325.5"/>
    <n v="0"/>
    <s v="Reserva importada do Sistema Lemontech. Solicitação: 17484483"/>
    <s v="Fornecedor não preenchido! (ACC01)"/>
    <x v="3"/>
    <x v="0"/>
    <s v="Campo Fornecedor"/>
    <x v="0"/>
    <s v="Qualidade dos dados"/>
    <s v="KONTIK BUSINESS TRAVEL"/>
    <x v="1"/>
  </r>
  <r>
    <n v="22850867"/>
    <n v="23632278"/>
    <s v="ACC01"/>
    <x v="148"/>
    <d v="2025-09-01T22:27:08"/>
    <x v="2"/>
    <x v="2"/>
    <s v="5JZ3U2"/>
    <s v="LEMONTECH"/>
    <s v="SANTOS GUTIERREZ/FABIO"/>
    <s v="Lemontech"/>
    <s v="Lemontech"/>
    <d v="2025-08-30T00:00:00"/>
    <n v="17419331"/>
    <s v="-"/>
    <s v="ON LINE"/>
    <s v="Cartão de crédito"/>
    <s v="Cartão de crédito"/>
    <x v="0"/>
    <s v="N"/>
    <x v="34"/>
    <s v="Lojas Renner"/>
    <s v="-"/>
    <s v="-"/>
    <s v="-"/>
    <x v="27"/>
    <s v="-"/>
    <x v="130"/>
    <n v="0"/>
    <n v="0"/>
    <n v="0"/>
    <n v="0"/>
    <n v="0"/>
    <n v="0"/>
    <s v="Reserva importada do Sistema Lemontech. Solicitação: 17419331"/>
    <s v="Fornecedor não preenchido! (ACC01)"/>
    <x v="3"/>
    <x v="0"/>
    <s v="Campo Fornecedor"/>
    <x v="0"/>
    <s v="Qualidade dos dados"/>
    <s v="KONTIK BUSINESS TRAVEL"/>
    <x v="1"/>
  </r>
  <r>
    <n v="22869870"/>
    <n v="23649153"/>
    <s v="ACC01"/>
    <x v="149"/>
    <d v="2025-09-04T18:10:52"/>
    <x v="1"/>
    <x v="1"/>
    <s v="5JE96U"/>
    <s v="LEMONTECH"/>
    <s v="TABASNIK/RAFAEL"/>
    <s v="Lemontech"/>
    <s v="Lemontech"/>
    <d v="2025-09-04T00:00:00"/>
    <n v="17464422"/>
    <s v="-"/>
    <s v="ON LINE"/>
    <s v="Cartão de crédito"/>
    <s v="Cartão de crédito"/>
    <x v="0"/>
    <s v="N"/>
    <x v="34"/>
    <s v="Lojas Renner"/>
    <s v="-"/>
    <s v="-"/>
    <s v="-"/>
    <x v="27"/>
    <s v="-"/>
    <x v="131"/>
    <n v="0"/>
    <n v="0"/>
    <n v="0"/>
    <n v="0"/>
    <n v="42.39"/>
    <n v="0"/>
    <s v="Reserva importada do Sistema Lemontech. Solicitação: 17464422"/>
    <s v="Fornecedor não preenchido! (ACC01)"/>
    <x v="3"/>
    <x v="0"/>
    <s v="Campo Fornecedor"/>
    <x v="0"/>
    <s v="Qualidade dos dados"/>
    <s v="KONTIK BUSINESS TRAVEL"/>
    <x v="1"/>
  </r>
  <r>
    <n v="22896921"/>
    <n v="23671814"/>
    <s v="ACC01"/>
    <x v="150"/>
    <d v="2025-09-09T18:00:48"/>
    <x v="0"/>
    <x v="0"/>
    <s v="5KHVF3"/>
    <s v="LEMONTECH"/>
    <s v="RIBAS PIRES/ANNA"/>
    <s v="Hiran Ricardo da Silva Ramos"/>
    <s v="Hiran Ricardo da Silva Ramos"/>
    <d v="2025-09-03T10:01:00"/>
    <n v="17442113"/>
    <s v="-"/>
    <s v="OFF LINE"/>
    <s v="Cartão de crédito"/>
    <s v="Cartão de crédito"/>
    <x v="2"/>
    <s v="N"/>
    <x v="34"/>
    <s v="Lojas Renner"/>
    <s v="-"/>
    <s v="-"/>
    <s v="-"/>
    <x v="27"/>
    <s v="-"/>
    <x v="132"/>
    <n v="0"/>
    <n v="0"/>
    <n v="0"/>
    <n v="0"/>
    <n v="0"/>
    <n v="0"/>
    <s v="Reserva importada do Sistema Lemontech. Solicitação: 17442113"/>
    <s v="Fornecedor não preenchido! (ACC01)"/>
    <x v="3"/>
    <x v="0"/>
    <s v="Campo Fornecedor"/>
    <x v="0"/>
    <s v="Qualidade dos dados"/>
    <s v="KONTIK BUSINESS TRAVEL"/>
    <x v="1"/>
  </r>
  <r>
    <n v="22866664"/>
    <n v="23645789"/>
    <s v="ACC01"/>
    <x v="151"/>
    <d v="2025-09-04T09:06:37"/>
    <x v="1"/>
    <x v="1"/>
    <s v="5J88JY"/>
    <s v="LEMONTECH"/>
    <s v="SHINTAKU INAMURA/LOURDES"/>
    <s v="Hiran Ricardo da Silva Ramos"/>
    <s v="Hiran Ricardo da Silva Ramos"/>
    <d v="2025-09-02T00:00:00"/>
    <n v="17437366"/>
    <s v="-"/>
    <s v="ON LINE"/>
    <s v="Invoice"/>
    <s v="Faturado"/>
    <x v="0"/>
    <s v="N"/>
    <x v="34"/>
    <s v="Lojas Renner"/>
    <s v="-"/>
    <s v="-"/>
    <s v="-"/>
    <x v="27"/>
    <s v="-"/>
    <x v="133"/>
    <n v="0"/>
    <n v="0"/>
    <n v="0"/>
    <n v="0"/>
    <n v="0"/>
    <n v="0"/>
    <s v="Reserva importada do Sistema Lemontech. Solicitação: 17437366"/>
    <s v="Fornecedor não preenchido! (ACC01)"/>
    <x v="3"/>
    <x v="0"/>
    <s v="Campo Fornecedor"/>
    <x v="0"/>
    <s v="Qualidade dos dados"/>
    <s v="KONTIK BUSINESS TRAVEL"/>
    <x v="1"/>
  </r>
  <r>
    <n v="22866665"/>
    <n v="23645790"/>
    <s v="ACC01"/>
    <x v="152"/>
    <d v="2025-09-04T09:06:38"/>
    <x v="1"/>
    <x v="1"/>
    <s v="5JOK7H"/>
    <s v="LEMONTECH"/>
    <s v="SHINTAKU INAMURA/LOURDES"/>
    <s v="Hiran Ricardo da Silva Ramos"/>
    <s v="Hiran Ricardo da Silva Ramos"/>
    <d v="2025-09-02T00:00:00"/>
    <n v="17437366"/>
    <s v="-"/>
    <s v="ON LINE"/>
    <s v="Invoice"/>
    <s v="Faturado"/>
    <x v="0"/>
    <s v="N"/>
    <x v="34"/>
    <s v="Lojas Renner"/>
    <s v="-"/>
    <s v="-"/>
    <s v="-"/>
    <x v="27"/>
    <s v="-"/>
    <x v="134"/>
    <n v="0"/>
    <n v="0"/>
    <n v="0"/>
    <n v="0"/>
    <n v="0"/>
    <n v="0"/>
    <s v="Reserva importada do Sistema Lemontech. Solicitação: 17437366"/>
    <s v="Fornecedor não preenchido! (ACC01)"/>
    <x v="3"/>
    <x v="0"/>
    <s v="Campo Fornecedor"/>
    <x v="0"/>
    <s v="Qualidade dos dados"/>
    <s v="KONTIK BUSINESS TRAVEL"/>
    <x v="1"/>
  </r>
  <r>
    <n v="22887716"/>
    <n v="23663137"/>
    <s v="ACC01"/>
    <x v="153"/>
    <d v="2025-09-08T10:01:31"/>
    <x v="0"/>
    <x v="0"/>
    <s v="5KMFI0"/>
    <s v="LEMONTECH"/>
    <s v="SILVA JUNIOR/OZNI"/>
    <s v="Hiran Ricardo da Silva Ramos"/>
    <s v="Hiran Ricardo da Silva Ramos"/>
    <d v="2025-09-04T09:08:00"/>
    <n v="17456889"/>
    <s v="-"/>
    <s v="OFF LINE"/>
    <s v="Cartão de crédito"/>
    <s v="Cartão de crédito"/>
    <x v="2"/>
    <s v="N"/>
    <x v="34"/>
    <s v="Lojas Renner"/>
    <s v="-"/>
    <s v="-"/>
    <s v="-"/>
    <x v="27"/>
    <s v="-"/>
    <x v="135"/>
    <n v="0"/>
    <n v="0"/>
    <n v="0"/>
    <n v="0"/>
    <n v="0"/>
    <n v="0"/>
    <s v="Reserva importada do Sistema Lemontech. Solicitação: 17456889"/>
    <s v="Fornecedor não preenchido! (ACC01)"/>
    <x v="3"/>
    <x v="0"/>
    <s v="Campo Fornecedor"/>
    <x v="0"/>
    <s v="Qualidade dos dados"/>
    <s v="KONTIK BUSINESS TRAVEL"/>
    <x v="1"/>
  </r>
  <r>
    <n v="22873318"/>
    <n v="23651904"/>
    <s v="ACC01"/>
    <x v="154"/>
    <d v="2025-09-05T08:06:28"/>
    <x v="1"/>
    <x v="1"/>
    <s v="5JQJ58"/>
    <s v="LEMONTECH"/>
    <s v="LORA TOBAR/JULIA"/>
    <s v="Hiran Ricardo da Silva Ramos"/>
    <s v="Hiran Ricardo da Silva Ramos"/>
    <d v="2025-09-04T14:31:00"/>
    <n v="17461433"/>
    <s v="-"/>
    <s v="OFF LINE"/>
    <s v="Cartão de crédito"/>
    <s v="Cartão de crédito"/>
    <x v="2"/>
    <s v="N"/>
    <x v="34"/>
    <s v="Lojas Renner"/>
    <s v="-"/>
    <s v="-"/>
    <s v="-"/>
    <x v="27"/>
    <s v="-"/>
    <x v="136"/>
    <n v="0"/>
    <n v="0"/>
    <n v="0"/>
    <n v="0"/>
    <n v="0"/>
    <n v="0"/>
    <s v="Reserva importada do Sistema Lemontech. Solicitação: 17461433"/>
    <s v="Fornecedor não preenchido! (ACC01)"/>
    <x v="3"/>
    <x v="0"/>
    <s v="Campo Fornecedor"/>
    <x v="0"/>
    <s v="Qualidade dos dados"/>
    <s v="KONTIK BUSINESS TRAVEL"/>
    <x v="1"/>
  </r>
  <r>
    <n v="22849448"/>
    <n v="23631017"/>
    <s v="ACC01"/>
    <x v="155"/>
    <d v="2025-09-01T18:00:52"/>
    <x v="2"/>
    <x v="2"/>
    <s v="5JPSAS"/>
    <s v="LEMONTECH"/>
    <s v="DOS SANTOS/TIAGO"/>
    <s v="Hiran Ricardo da Silva Ramos"/>
    <s v="Hiran Ricardo da Silva Ramos"/>
    <d v="2025-09-01T00:00:00"/>
    <n v="17412128"/>
    <s v="-"/>
    <s v="ON LINE"/>
    <s v="Invoice"/>
    <s v="Faturado"/>
    <x v="0"/>
    <s v="N"/>
    <x v="34"/>
    <s v="Lojas Renner"/>
    <s v="-"/>
    <s v="-"/>
    <s v="-"/>
    <x v="27"/>
    <s v="-"/>
    <x v="137"/>
    <n v="0"/>
    <n v="0"/>
    <n v="0"/>
    <n v="0"/>
    <n v="0"/>
    <n v="0"/>
    <s v="Reserva importada do Sistema Lemontech. Solicitação: 17412128"/>
    <s v="Fornecedor não preenchido! (ACC01)"/>
    <x v="3"/>
    <x v="0"/>
    <s v="Campo Fornecedor"/>
    <x v="0"/>
    <s v="Qualidade dos dados"/>
    <s v="KONTIK BUSINESS TRAVEL"/>
    <x v="1"/>
  </r>
  <r>
    <n v="22866179"/>
    <n v="23645367"/>
    <s v="ACC01"/>
    <x v="156"/>
    <d v="2025-09-04T07:42:51"/>
    <x v="1"/>
    <x v="1"/>
    <s v="5J67GH"/>
    <s v="LEMONTECH"/>
    <s v="DE SOUZA/MARINA"/>
    <s v="Hiran Ricardo da Silva Ramos"/>
    <s v="Hiran Ricardo da Silva Ramos"/>
    <d v="2025-09-03T00:00:00"/>
    <n v="17439326"/>
    <s v="-"/>
    <s v="ON LINE"/>
    <s v="Invoice"/>
    <s v="Faturado"/>
    <x v="0"/>
    <s v="N"/>
    <x v="34"/>
    <s v="Lojas Renner"/>
    <s v="-"/>
    <s v="-"/>
    <s v="-"/>
    <x v="27"/>
    <s v="-"/>
    <x v="12"/>
    <n v="0"/>
    <n v="0"/>
    <n v="0"/>
    <n v="0"/>
    <n v="0"/>
    <n v="0"/>
    <s v="Reserva importada do Sistema Lemontech. Solicitação: 17439326"/>
    <s v="Fornecedor não preenchido! (ACC01)"/>
    <x v="3"/>
    <x v="0"/>
    <s v="Campo Fornecedor"/>
    <x v="0"/>
    <s v="Qualidade dos dados"/>
    <s v="KONTIK BUSINESS TRAVEL"/>
    <x v="1"/>
  </r>
  <r>
    <n v="22866204"/>
    <n v="23645392"/>
    <s v="ACC01"/>
    <x v="157"/>
    <d v="2025-09-04T07:43:50"/>
    <x v="1"/>
    <x v="1"/>
    <s v="5JCOG6"/>
    <s v="LEMONTECH"/>
    <s v="MARTINS/ALDIZIA"/>
    <s v="Hiran Ricardo da Silva Ramos"/>
    <s v="Hiran Ricardo da Silva Ramos"/>
    <d v="2025-09-03T00:00:00"/>
    <n v="17443842"/>
    <s v="-"/>
    <s v="ON LINE"/>
    <s v="Invoice"/>
    <s v="Faturado"/>
    <x v="0"/>
    <s v="N"/>
    <x v="34"/>
    <s v="Lojas Renner"/>
    <s v="-"/>
    <s v="-"/>
    <s v="-"/>
    <x v="27"/>
    <s v="-"/>
    <x v="138"/>
    <n v="0"/>
    <n v="0"/>
    <n v="0"/>
    <n v="0"/>
    <n v="0"/>
    <n v="0"/>
    <s v="Reserva importada do Sistema Lemontech. Solicitação: 17443842"/>
    <s v="Fornecedor não preenchido! (ACC01)"/>
    <x v="3"/>
    <x v="0"/>
    <s v="Campo Fornecedor"/>
    <x v="0"/>
    <s v="Qualidade dos dados"/>
    <s v="KONTIK BUSINESS TRAVEL"/>
    <x v="1"/>
  </r>
  <r>
    <n v="22866563"/>
    <n v="23645695"/>
    <s v="ACC01"/>
    <x v="158"/>
    <d v="2025-09-04T08:49:04"/>
    <x v="1"/>
    <x v="1"/>
    <s v="5JJ2UY"/>
    <s v="LEMONTECH"/>
    <s v="MEDEIROS ANDRADE/PEDRO"/>
    <s v="Lemontech"/>
    <s v="Lemontech"/>
    <d v="2025-09-01T00:00:00"/>
    <n v="17429431"/>
    <s v="-"/>
    <s v="ON LINE"/>
    <s v="Cartão de crédito"/>
    <s v="Cartão de crédito"/>
    <x v="0"/>
    <s v="N"/>
    <x v="34"/>
    <s v="Realize"/>
    <s v="-"/>
    <s v="-"/>
    <s v="-"/>
    <x v="27"/>
    <s v="-"/>
    <x v="139"/>
    <n v="0"/>
    <n v="0"/>
    <n v="0"/>
    <n v="0"/>
    <n v="511.5"/>
    <n v="0"/>
    <s v="Reserva importada do Sistema Lemontech. Solicitação: 17429431"/>
    <s v="Fornecedor não preenchido! (ACC01)"/>
    <x v="3"/>
    <x v="0"/>
    <s v="Campo Fornecedor"/>
    <x v="0"/>
    <s v="Qualidade dos dados"/>
    <s v="KONTIK BUSINESS TRAVEL"/>
    <x v="1"/>
  </r>
  <r>
    <n v="22889709"/>
    <n v="23665201"/>
    <s v="ACC01"/>
    <x v="159"/>
    <d v="2025-09-08T15:07:16"/>
    <x v="0"/>
    <x v="0"/>
    <s v="5KS6TQ"/>
    <s v="LEMONTECH"/>
    <s v="DA SILVA/TIAGO"/>
    <s v="Lemontech"/>
    <s v="Lemontech"/>
    <d v="2025-09-08T00:00:00"/>
    <n v="17480917"/>
    <s v="-"/>
    <s v="ON LINE"/>
    <s v="Cartão de crédito"/>
    <s v="Cartão de crédito"/>
    <x v="0"/>
    <s v="N"/>
    <x v="34"/>
    <s v="Camicado Houseware"/>
    <s v="-"/>
    <s v="-"/>
    <s v="-"/>
    <x v="27"/>
    <s v="-"/>
    <x v="140"/>
    <n v="0"/>
    <n v="0"/>
    <n v="0"/>
    <n v="0"/>
    <n v="32.75"/>
    <n v="0"/>
    <s v="Reserva importada do Sistema Lemontech. Solicitação: 17480917"/>
    <s v="Fornecedor não preenchido! (ACC01)"/>
    <x v="3"/>
    <x v="0"/>
    <s v="Campo Fornecedor"/>
    <x v="0"/>
    <s v="Qualidade dos dados"/>
    <s v="KONTIK BUSINESS TRAVEL"/>
    <x v="1"/>
  </r>
  <r>
    <n v="22889710"/>
    <n v="23665202"/>
    <s v="ACC01"/>
    <x v="160"/>
    <d v="2025-09-08T15:07:16"/>
    <x v="0"/>
    <x v="0"/>
    <s v="5KCHGQ"/>
    <s v="LEMONTECH"/>
    <s v="SOUZA CRUZ/ROBSON"/>
    <s v="Lemontech"/>
    <s v="Lemontech"/>
    <d v="2025-09-08T00:00:00"/>
    <n v="17480979"/>
    <s v="-"/>
    <s v="ON LINE"/>
    <s v="Cartão de crédito"/>
    <s v="Cartão de crédito"/>
    <x v="0"/>
    <s v="N"/>
    <x v="34"/>
    <s v="Camicado Houseware"/>
    <s v="-"/>
    <s v="-"/>
    <s v="-"/>
    <x v="27"/>
    <s v="-"/>
    <x v="140"/>
    <n v="0"/>
    <n v="0"/>
    <n v="0"/>
    <n v="0"/>
    <n v="32.75"/>
    <n v="0"/>
    <s v="Reserva importada do Sistema Lemontech. Solicitação: 17480979"/>
    <s v="Fornecedor não preenchido! (ACC01)"/>
    <x v="3"/>
    <x v="0"/>
    <s v="Campo Fornecedor"/>
    <x v="0"/>
    <s v="Qualidade dos dados"/>
    <s v="KONTIK BUSINESS TRAVEL"/>
    <x v="1"/>
  </r>
  <r>
    <n v="22901422"/>
    <n v="23675585"/>
    <s v="ACC01"/>
    <x v="161"/>
    <d v="2025-09-10T12:08:20"/>
    <x v="3"/>
    <x v="3"/>
    <s v="5KPIH4"/>
    <s v="LEMONTECH"/>
    <s v="XAVIER SANTOS/TATIANE"/>
    <s v="Lemontech"/>
    <s v="Lemontech"/>
    <d v="2025-09-09T00:00:00"/>
    <n v="17502280"/>
    <s v="-"/>
    <s v="ON LINE"/>
    <s v="Cartão de crédito"/>
    <s v="Cartão de crédito"/>
    <x v="0"/>
    <s v="N"/>
    <x v="34"/>
    <s v="Camicado Houseware"/>
    <s v="-"/>
    <s v="-"/>
    <s v="-"/>
    <x v="27"/>
    <s v="-"/>
    <x v="141"/>
    <n v="0"/>
    <n v="0"/>
    <n v="0"/>
    <n v="0"/>
    <n v="0"/>
    <n v="0"/>
    <s v="Reserva importada do Sistema Lemontech. Solicitação: 17502280"/>
    <s v="Fornecedor não preenchido! (ACC01)"/>
    <x v="3"/>
    <x v="0"/>
    <s v="Campo Fornecedor"/>
    <x v="0"/>
    <s v="Qualidade dos dados"/>
    <s v="KONTIK BUSINESS TRAVEL"/>
    <x v="1"/>
  </r>
  <r>
    <n v="22898708"/>
    <n v="23673494"/>
    <s v="ACC01"/>
    <x v="162"/>
    <d v="2025-09-09T22:06:12"/>
    <x v="0"/>
    <x v="0"/>
    <s v="5KRIAR"/>
    <s v="LEMONTECH"/>
    <s v="SILVA GUIMARÃES/MOISES"/>
    <s v="Patricia Pinato Ferreira Lima"/>
    <s v="Patricia Pinato Ferreira Lima"/>
    <d v="2025-09-09T00:00:00"/>
    <n v="17502299"/>
    <s v="-"/>
    <s v="OFF LINE"/>
    <s v="Cartão de crédito"/>
    <s v="Cartão de crédito"/>
    <x v="0"/>
    <s v="N"/>
    <x v="34"/>
    <s v="Camicado Houseware"/>
    <s v="-"/>
    <s v="-"/>
    <s v="-"/>
    <x v="27"/>
    <s v="-"/>
    <x v="142"/>
    <n v="0"/>
    <n v="0"/>
    <n v="0"/>
    <n v="0"/>
    <n v="41.58"/>
    <n v="0"/>
    <s v="Reserva importada do Sistema Lemontech. Solicitação: 17502299"/>
    <s v="Fornecedor não preenchido! (ACC01)"/>
    <x v="3"/>
    <x v="0"/>
    <s v="Campo Fornecedor"/>
    <x v="0"/>
    <s v="Qualidade dos dados"/>
    <s v="KONTIK BUSINESS TRAVEL"/>
    <x v="1"/>
  </r>
  <r>
    <n v="22905441"/>
    <n v="23679378"/>
    <s v="ACC01"/>
    <x v="163"/>
    <d v="2025-09-11T05:38:12"/>
    <x v="3"/>
    <x v="3"/>
    <s v="UNGGZGT"/>
    <s v="SABRE"/>
    <s v="BAIALUNA/FERNANDO BUENO MR"/>
    <s v="WS"/>
    <s v="WS"/>
    <d v="2025-09-10T08:42:00"/>
    <s v="UNGGZG_0"/>
    <s v="-"/>
    <s v="ON LINE"/>
    <s v="Cartão de crédito"/>
    <s v="Cartão de crédito"/>
    <x v="0"/>
    <s v="N"/>
    <x v="35"/>
    <s v="Nielseniq do Brasil"/>
    <s v="Cliente FEE no POS"/>
    <s v="-"/>
    <s v="-"/>
    <x v="28"/>
    <s v="-"/>
    <x v="143"/>
    <n v="59.7"/>
    <n v="0"/>
    <n v="0"/>
    <n v="0"/>
    <n v="0"/>
    <n v="27.14"/>
    <s v="Reserva importada por HubTravel"/>
    <s v="Fornecedor não preenchido! (ACC01)"/>
    <x v="1"/>
    <x v="0"/>
    <s v="Campo Fornecedor"/>
    <x v="0"/>
    <s v="Sistêmico"/>
    <s v="GRUPO KONTIK"/>
    <x v="0"/>
  </r>
  <r>
    <n v="22901112"/>
    <n v="23675287"/>
    <s v="ACC01"/>
    <x v="164"/>
    <d v="2025-09-10T11:06:41"/>
    <x v="3"/>
    <x v="3"/>
    <s v="5KHUGF"/>
    <s v="LEMONTECH"/>
    <s v="SANCHES/CAMILA"/>
    <s v="Isabela de Melo da Silva"/>
    <s v="Isabela de Melo da Silva"/>
    <d v="2025-09-10T00:00:00"/>
    <n v="17494943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44"/>
    <n v="0"/>
    <n v="0"/>
    <n v="0"/>
    <n v="0"/>
    <n v="0"/>
    <n v="0"/>
    <s v="Reserva importada do Sistema Lemontech. Solicitação: 17494943"/>
    <s v="Fornecedor não preenchido! (ACC01)"/>
    <x v="3"/>
    <x v="0"/>
    <s v="Campo Fornecedor"/>
    <x v="0"/>
    <s v="Qualidade dos dados"/>
    <s v="KONTIK BUSINESS TRAVEL"/>
    <x v="1"/>
  </r>
  <r>
    <n v="22904371"/>
    <n v="23678425"/>
    <s v="ACC01"/>
    <x v="165"/>
    <d v="2025-09-10T19:06:32"/>
    <x v="3"/>
    <x v="3"/>
    <s v="5KV6U5"/>
    <s v="LEMONTECH"/>
    <s v="BONATTO/DANIELA"/>
    <s v="Isabela de Melo da Silva"/>
    <s v="Isabela de Melo da Silva"/>
    <d v="2025-09-10T00:00:00"/>
    <n v="17501241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45"/>
    <n v="0"/>
    <n v="0"/>
    <n v="0"/>
    <n v="0"/>
    <n v="0"/>
    <n v="0"/>
    <s v="Reserva importada do Sistema Lemontech. Solicitação: 17501241"/>
    <s v="Fornecedor não preenchido! (ACC01)"/>
    <x v="3"/>
    <x v="0"/>
    <s v="Campo Fornecedor"/>
    <x v="0"/>
    <s v="Qualidade dos dados"/>
    <s v="KONTIK BUSINESS TRAVEL"/>
    <x v="1"/>
  </r>
  <r>
    <n v="22866308"/>
    <n v="23645488"/>
    <s v="ACC01"/>
    <x v="166"/>
    <d v="2025-09-04T08:02:16"/>
    <x v="1"/>
    <x v="1"/>
    <s v="5J8RHY"/>
    <s v="LEMONTECH"/>
    <s v="PAIVA/ANTONIO LUCELIO"/>
    <s v="Isabela de Melo da Silva"/>
    <s v="Isabela de Melo da Silva"/>
    <d v="2025-09-03T12:10:00"/>
    <n v="17449596"/>
    <s v="G AEROP RECIFE ALUGUEL MENSAL"/>
    <s v="OFF LINE"/>
    <s v="Invoice"/>
    <s v="Faturado"/>
    <x v="1"/>
    <s v="N"/>
    <x v="36"/>
    <s v="Biolab Centro Administrativo - Escritorio"/>
    <s v="-"/>
    <s v="-"/>
    <s v="-"/>
    <x v="29"/>
    <s v="-"/>
    <x v="146"/>
    <n v="0"/>
    <n v="0"/>
    <n v="0"/>
    <n v="0"/>
    <n v="0"/>
    <n v="0"/>
    <s v="Reserva importada do Sistema Lemontech. Solicitação: 17449596"/>
    <s v="Fornecedor não preenchido! (ACC01)"/>
    <x v="3"/>
    <x v="0"/>
    <s v="Campo Fornecedor"/>
    <x v="0"/>
    <s v="Qualidade dos dados"/>
    <s v="KONTIK BUSINESS TRAVEL"/>
    <x v="1"/>
  </r>
  <r>
    <n v="22862048"/>
    <n v="23641957"/>
    <s v="ACC01"/>
    <x v="167"/>
    <d v="2025-09-03T16:01:04"/>
    <x v="2"/>
    <x v="2"/>
    <s v="5J5DVG"/>
    <s v="LEMONTECH"/>
    <s v="DA COSTA/ANNIELLY"/>
    <s v="Isabela de Melo da Silva"/>
    <s v="Isabela de Melo da Silva"/>
    <d v="2025-08-28T00:00:00"/>
    <n v="1740255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47"/>
    <n v="0"/>
    <n v="0"/>
    <n v="0"/>
    <n v="0"/>
    <n v="0"/>
    <n v="0"/>
    <s v="Reserva importada do Sistema Lemontech. Solicitação: 17402551"/>
    <s v="Fornecedor não preenchido! (ACC01)"/>
    <x v="3"/>
    <x v="0"/>
    <s v="Campo Fornecedor"/>
    <x v="0"/>
    <s v="Qualidade dos dados"/>
    <s v="KONTIK BUSINESS TRAVEL"/>
    <x v="1"/>
  </r>
  <r>
    <n v="22887470"/>
    <n v="23662921"/>
    <s v="ACC01"/>
    <x v="168"/>
    <d v="2025-09-08T09:07:14"/>
    <x v="0"/>
    <x v="0"/>
    <s v="5K78UB"/>
    <s v="LEMONTECH"/>
    <s v="OLIVEIRA NETA/MARIA"/>
    <s v="Maria Clara Landeira Mezavila"/>
    <s v="Maria Clara Landeira Mezavila"/>
    <d v="2025-09-04T16:35:00"/>
    <n v="17463997"/>
    <s v="AEROPORTO INTERN - FORTALEZA"/>
    <s v="OFF LINE"/>
    <s v="Invoice"/>
    <s v="Faturado"/>
    <x v="1"/>
    <s v="N"/>
    <x v="36"/>
    <s v="Biolab Centro Administrativo - Escritorio"/>
    <s v="-"/>
    <s v="-"/>
    <s v="-"/>
    <x v="29"/>
    <s v="-"/>
    <x v="148"/>
    <n v="0"/>
    <n v="0"/>
    <n v="0"/>
    <n v="0"/>
    <n v="0"/>
    <n v="0"/>
    <s v="Reserva importada do Sistema Lemontech. Solicitação: 17463997"/>
    <s v="Fornecedor não preenchido! (ACC01)"/>
    <x v="3"/>
    <x v="0"/>
    <s v="Campo Fornecedor"/>
    <x v="0"/>
    <s v="Qualidade dos dados"/>
    <s v="KONTIK BUSINESS TRAVEL"/>
    <x v="1"/>
  </r>
  <r>
    <n v="22896411"/>
    <n v="23671363"/>
    <s v="ACC01"/>
    <x v="169"/>
    <d v="2025-09-09T16:07:06"/>
    <x v="0"/>
    <x v="0"/>
    <s v="5K76DE"/>
    <s v="LEMONTECH"/>
    <s v="DE SIQUEIRA/KAROLINE"/>
    <s v="Maria Clara Landeira Mezavila"/>
    <s v="Maria Clara Landeira Mezavila"/>
    <d v="2025-09-09T00:00:00"/>
    <n v="17496558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49"/>
    <n v="0"/>
    <n v="0"/>
    <n v="0"/>
    <n v="0"/>
    <n v="26.49"/>
    <n v="0"/>
    <s v="Reserva importada do Sistema Lemontech. Solicitação: 17496558"/>
    <s v="Fornecedor não preenchido! (ACC01)"/>
    <x v="3"/>
    <x v="0"/>
    <s v="Campo Fornecedor"/>
    <x v="0"/>
    <s v="Qualidade dos dados"/>
    <s v="KONTIK BUSINESS TRAVEL"/>
    <x v="1"/>
  </r>
  <r>
    <n v="22896646"/>
    <n v="23671564"/>
    <s v="ACC01"/>
    <x v="170"/>
    <d v="2025-09-09T17:01:02"/>
    <x v="0"/>
    <x v="0"/>
    <s v="5KELCD"/>
    <s v="LEMONTECH"/>
    <s v="DE SOUSA/MARCELA"/>
    <s v="Maria Clara Landeira Mezavila"/>
    <s v="Maria Clara Landeira Mezavila"/>
    <d v="2025-08-25T12:02:00"/>
    <n v="17362026"/>
    <s v="AEROPORTO INTERNAC - BELEM"/>
    <s v="OFF LINE"/>
    <s v="Invoice"/>
    <s v="Faturado"/>
    <x v="1"/>
    <s v="N"/>
    <x v="36"/>
    <s v="Biolab Centro Administrativo - Escritorio"/>
    <s v="-"/>
    <s v="-"/>
    <s v="-"/>
    <x v="29"/>
    <s v="-"/>
    <x v="150"/>
    <n v="0"/>
    <n v="0"/>
    <n v="0"/>
    <n v="0"/>
    <n v="0"/>
    <n v="0"/>
    <s v="Reserva importada do Sistema Lemontech. Solicitação: 17362026"/>
    <s v="Fornecedor não preenchido! (ACC01)"/>
    <x v="3"/>
    <x v="0"/>
    <s v="Campo Fornecedor"/>
    <x v="0"/>
    <s v="Qualidade dos dados"/>
    <s v="KONTIK BUSINESS TRAVEL"/>
    <x v="1"/>
  </r>
  <r>
    <n v="22896648"/>
    <n v="23671566"/>
    <s v="ACC01"/>
    <x v="171"/>
    <d v="2025-09-09T17:06:12"/>
    <x v="0"/>
    <x v="0"/>
    <s v="5K59EE"/>
    <s v="LEMONTECH"/>
    <s v="DE SOUSA/MARCELA"/>
    <s v="Maria Clara Landeira Mezavila"/>
    <s v="Maria Clara Landeira Mezavila"/>
    <d v="2025-09-02T11:05:00"/>
    <n v="17435435"/>
    <s v="BELEM/PA - AGENCIA AEROPORTO BELEM"/>
    <s v="OFF LINE"/>
    <s v="Invoice"/>
    <s v="Faturado"/>
    <x v="1"/>
    <s v="N"/>
    <x v="36"/>
    <s v="Biolab Centro Administrativo - Escritorio"/>
    <s v="-"/>
    <s v="-"/>
    <s v="-"/>
    <x v="29"/>
    <s v="-"/>
    <x v="151"/>
    <n v="0"/>
    <n v="0"/>
    <n v="0"/>
    <n v="0"/>
    <n v="0"/>
    <n v="0"/>
    <s v="Reserva importada do Sistema Lemontech. Solicitação: 17435435"/>
    <s v="Fornecedor não preenchido! (ACC01)"/>
    <x v="3"/>
    <x v="0"/>
    <s v="Campo Fornecedor"/>
    <x v="0"/>
    <s v="Qualidade dos dados"/>
    <s v="KONTIK BUSINESS TRAVEL"/>
    <x v="1"/>
  </r>
  <r>
    <n v="22894451"/>
    <n v="23669374"/>
    <s v="ACC01"/>
    <x v="172"/>
    <d v="2025-09-09T10:13:10"/>
    <x v="0"/>
    <x v="0"/>
    <s v="5K3EJW"/>
    <s v="LEMONTECH"/>
    <s v="ANTONIAZI/ALEXANDRE"/>
    <s v="Maria Clara Landeira Mezavila"/>
    <s v="Maria Clara Landeira Mezavila"/>
    <d v="2025-09-09T00:00:00"/>
    <n v="17488068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52"/>
    <n v="0"/>
    <n v="0"/>
    <n v="0"/>
    <n v="0"/>
    <n v="0"/>
    <n v="0"/>
    <s v="Reserva importada do Sistema Lemontech. Solicitação: 17488068"/>
    <s v="Fornecedor não preenchido! (ACC01)"/>
    <x v="3"/>
    <x v="0"/>
    <s v="Campo Fornecedor"/>
    <x v="0"/>
    <s v="Qualidade dos dados"/>
    <s v="KONTIK BUSINESS TRAVEL"/>
    <x v="1"/>
  </r>
  <r>
    <n v="22896104"/>
    <n v="23671062"/>
    <s v="ACC01"/>
    <x v="173"/>
    <d v="2025-09-09T15:01:07"/>
    <x v="0"/>
    <x v="0"/>
    <s v="5KQPD3"/>
    <s v="LEMONTECH"/>
    <s v="ZACARIAS/RAFAELA"/>
    <s v="Maria Clara Landeira Mezavila"/>
    <s v="Maria Clara Landeira Mezavila"/>
    <d v="2025-08-29T00:00:00"/>
    <n v="1741175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53"/>
    <n v="0"/>
    <n v="0"/>
    <n v="0"/>
    <n v="0"/>
    <n v="0"/>
    <n v="0"/>
    <s v="Reserva importada do Sistema Lemontech. Solicitação: 17411751"/>
    <s v="Fornecedor não preenchido! (ACC01)"/>
    <x v="3"/>
    <x v="0"/>
    <s v="Campo Fornecedor"/>
    <x v="0"/>
    <s v="Qualidade dos dados"/>
    <s v="KONTIK BUSINESS TRAVEL"/>
    <x v="1"/>
  </r>
  <r>
    <n v="22890312"/>
    <n v="23665858"/>
    <s v="ACC01"/>
    <x v="174"/>
    <d v="2025-09-08T17:06:57"/>
    <x v="0"/>
    <x v="0"/>
    <s v="5K2G6Z"/>
    <s v="LEMONTECH"/>
    <s v="DE OLIVEIRA/BRUNO"/>
    <s v="Maria Clara Landeira Mezavila"/>
    <s v="Maria Clara Landeira Mezavila"/>
    <d v="2025-09-08T00:00:00"/>
    <n v="17477030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54"/>
    <n v="0"/>
    <n v="0"/>
    <n v="0"/>
    <n v="0"/>
    <n v="0"/>
    <n v="0"/>
    <s v="Reserva importada do Sistema Lemontech. Solicitação: 17477030"/>
    <s v="Fornecedor não preenchido! (ACC01)"/>
    <x v="3"/>
    <x v="0"/>
    <s v="Campo Fornecedor"/>
    <x v="0"/>
    <s v="Qualidade dos dados"/>
    <s v="KONTIK BUSINESS TRAVEL"/>
    <x v="1"/>
  </r>
  <r>
    <n v="22890318"/>
    <n v="23665865"/>
    <s v="ACC01"/>
    <x v="175"/>
    <d v="2025-09-08T17:07:03"/>
    <x v="0"/>
    <x v="0"/>
    <s v="5KYGHA"/>
    <s v="LEMONTECH"/>
    <s v="PAIVA/ANTONIO LUCELIO"/>
    <s v="Maria Clara Landeira Mezavila"/>
    <s v="Maria Clara Landeira Mezavila"/>
    <d v="2025-09-08T00:00:00"/>
    <n v="17481512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55"/>
    <n v="0"/>
    <n v="0"/>
    <n v="0"/>
    <n v="0"/>
    <n v="79.47"/>
    <n v="0"/>
    <s v="Reserva importada do Sistema Lemontech. Solicitação: 17481512"/>
    <s v="Fornecedor não preenchido! (ACC01)"/>
    <x v="3"/>
    <x v="0"/>
    <s v="Campo Fornecedor"/>
    <x v="0"/>
    <s v="Qualidade dos dados"/>
    <s v="KONTIK BUSINESS TRAVEL"/>
    <x v="1"/>
  </r>
  <r>
    <n v="22890319"/>
    <n v="23665866"/>
    <s v="ACC01"/>
    <x v="176"/>
    <d v="2025-09-08T17:07:03"/>
    <x v="0"/>
    <x v="0"/>
    <s v="5KUTH1"/>
    <s v="LEMONTECH"/>
    <s v="DE SIQUEIRA/KAROLINE"/>
    <s v="Maria Clara Landeira Mezavila"/>
    <s v="Maria Clara Landeira Mezavila"/>
    <d v="2025-09-08T00:00:00"/>
    <n v="17482128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49"/>
    <n v="0"/>
    <n v="0"/>
    <n v="0"/>
    <n v="0"/>
    <n v="26.49"/>
    <n v="0"/>
    <s v="Reserva importada do Sistema Lemontech. Solicitação: 17482128"/>
    <s v="Fornecedor não preenchido! (ACC01)"/>
    <x v="3"/>
    <x v="0"/>
    <s v="Campo Fornecedor"/>
    <x v="0"/>
    <s v="Qualidade dos dados"/>
    <s v="KONTIK BUSINESS TRAVEL"/>
    <x v="1"/>
  </r>
  <r>
    <n v="22826382"/>
    <n v="23611623"/>
    <s v="ACC01"/>
    <x v="177"/>
    <d v="2025-09-02T13:12:14"/>
    <x v="2"/>
    <x v="2"/>
    <s v="5I1K7J"/>
    <s v="LEMONTECH"/>
    <s v="LAMEGO/ROSALBA"/>
    <s v="Maria Clara Landeira Mezavila"/>
    <s v="Maria Clara Landeira Mezavila"/>
    <d v="2025-08-27T15:03:00"/>
    <n v="17393510"/>
    <s v="AGENCIA CENTRO ALTAMIRA"/>
    <s v="OFF LINE"/>
    <s v="Invoice"/>
    <s v="Faturado"/>
    <x v="1"/>
    <s v="N"/>
    <x v="36"/>
    <s v="Biolab Centro Administrativo - Escritorio"/>
    <s v="-"/>
    <s v="-"/>
    <s v="-"/>
    <x v="29"/>
    <s v="-"/>
    <x v="156"/>
    <n v="0"/>
    <n v="0"/>
    <n v="0"/>
    <n v="0"/>
    <n v="0"/>
    <n v="0"/>
    <s v="Reserva importada do Sistema Lemontech. Solicitação: 17393510"/>
    <s v="Fornecedor não preenchido! (ACC01)"/>
    <x v="3"/>
    <x v="0"/>
    <s v="Campo Fornecedor"/>
    <x v="0"/>
    <s v="Qualidade dos dados"/>
    <s v="KONTIK BUSINESS TRAVEL"/>
    <x v="1"/>
  </r>
  <r>
    <n v="22826253"/>
    <n v="23611499"/>
    <s v="ACC01"/>
    <x v="178"/>
    <d v="2025-08-28T10:43:46"/>
    <x v="2"/>
    <x v="2"/>
    <s v="5IADJU"/>
    <s v="LEMONTECH"/>
    <s v="CASTRO/MERLIN"/>
    <s v="Maria Clara Landeira Mezavila"/>
    <s v="Maria Clara Landeira Mezavila"/>
    <d v="2025-08-27T00:00:00"/>
    <n v="17385092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57"/>
    <n v="0"/>
    <n v="0"/>
    <n v="0"/>
    <n v="0"/>
    <n v="144.5"/>
    <n v="0"/>
    <s v="Reserva importada do Sistema Lemontech. Solicitação: 17385092"/>
    <s v="Fornecedor não preenchido! (ACC01)"/>
    <x v="3"/>
    <x v="0"/>
    <s v="Campo Fornecedor"/>
    <x v="0"/>
    <s v="Qualidade dos dados"/>
    <s v="KONTIK BUSINESS TRAVEL"/>
    <x v="1"/>
  </r>
  <r>
    <n v="22828572"/>
    <n v="23614003"/>
    <s v="ACC01"/>
    <x v="179"/>
    <d v="2025-09-02T13:12:17"/>
    <x v="2"/>
    <x v="2"/>
    <s v="5IYAVI"/>
    <s v="LEMONTECH"/>
    <s v="NEVES/DAIANE"/>
    <s v="Maria Clara Landeira Mezavila"/>
    <s v="Maria Clara Landeira Mezavila"/>
    <d v="2025-08-28T10:15:00"/>
    <n v="17395669"/>
    <s v="Agência: AGENCIA AEROPORTO ALTAMIRA"/>
    <s v="OFF LINE"/>
    <s v="Invoice"/>
    <s v="Faturado"/>
    <x v="1"/>
    <s v="N"/>
    <x v="36"/>
    <s v="Biolab Centro Administrativo - Escritorio"/>
    <s v="-"/>
    <s v="-"/>
    <s v="-"/>
    <x v="29"/>
    <s v="-"/>
    <x v="158"/>
    <n v="0"/>
    <n v="0"/>
    <n v="0"/>
    <n v="0"/>
    <n v="0"/>
    <n v="0"/>
    <s v="Reserva importada do Sistema Lemontech. Solicitação: 17395669"/>
    <s v="Fornecedor não preenchido! (ACC01)"/>
    <x v="3"/>
    <x v="0"/>
    <s v="Campo Fornecedor"/>
    <x v="0"/>
    <s v="Qualidade dos dados"/>
    <s v="KONTIK BUSINESS TRAVEL"/>
    <x v="1"/>
  </r>
  <r>
    <n v="22828016"/>
    <n v="23613403"/>
    <s v="ACC01"/>
    <x v="180"/>
    <d v="2025-09-02T13:12:15"/>
    <x v="2"/>
    <x v="2"/>
    <s v="5I6VCI"/>
    <s v="LEMONTECH"/>
    <s v="DA COSTA/ANNIELLY"/>
    <s v="Maria Clara Landeira Mezavila"/>
    <s v="Maria Clara Landeira Mezavila"/>
    <d v="2025-08-28T14:20:00"/>
    <n v="17402673"/>
    <s v="AEROPORTO - CAMPO GRANDE"/>
    <s v="OFF LINE"/>
    <s v="Invoice"/>
    <s v="Faturado"/>
    <x v="1"/>
    <s v="N"/>
    <x v="36"/>
    <s v="Biolab Centro Administrativo - Escritorio"/>
    <s v="-"/>
    <s v="-"/>
    <s v="-"/>
    <x v="29"/>
    <s v="-"/>
    <x v="150"/>
    <n v="0"/>
    <n v="0"/>
    <n v="0"/>
    <n v="0"/>
    <n v="0"/>
    <n v="0"/>
    <s v="Reserva importada do Sistema Lemontech. Solicitação: 17402673"/>
    <s v="Fornecedor não preenchido! (ACC01)"/>
    <x v="3"/>
    <x v="0"/>
    <s v="Campo Fornecedor"/>
    <x v="0"/>
    <s v="Qualidade dos dados"/>
    <s v="KONTIK BUSINESS TRAVEL"/>
    <x v="1"/>
  </r>
  <r>
    <n v="22848185"/>
    <n v="23629746"/>
    <s v="ACC01"/>
    <x v="181"/>
    <d v="2025-09-02T13:12:36"/>
    <x v="2"/>
    <x v="2"/>
    <s v="5J93NA"/>
    <s v="LEMONTECH"/>
    <s v="RODRIGUES/EMERSON"/>
    <s v="Maria Clara Landeira Mezavila"/>
    <s v="Maria Clara Landeira Mezavila"/>
    <d v="2025-09-01T11:43:00"/>
    <n v="17424258"/>
    <s v="AG CENTRO JUSCELINO KUBITSCHEK"/>
    <s v="OFF LINE"/>
    <s v="Invoice"/>
    <s v="Faturado"/>
    <x v="1"/>
    <s v="N"/>
    <x v="36"/>
    <s v="Biolab Centro Administrativo - Escritorio"/>
    <s v="-"/>
    <s v="-"/>
    <s v="-"/>
    <x v="29"/>
    <s v="-"/>
    <x v="159"/>
    <n v="0"/>
    <n v="0"/>
    <n v="0"/>
    <n v="0"/>
    <n v="0"/>
    <n v="0"/>
    <s v="Reserva importada do Sistema Lemontech. Solicitação: 17424258"/>
    <s v="Fornecedor não preenchido! (ACC01)"/>
    <x v="3"/>
    <x v="0"/>
    <s v="Campo Fornecedor"/>
    <x v="0"/>
    <s v="Qualidade dos dados"/>
    <s v="KONTIK BUSINESS TRAVEL"/>
    <x v="1"/>
  </r>
  <r>
    <n v="22848428"/>
    <n v="23629992"/>
    <s v="ACC01"/>
    <x v="182"/>
    <d v="2025-09-01T15:01:13"/>
    <x v="2"/>
    <x v="2"/>
    <s v="5JIH9Z"/>
    <s v="LEMONTECH"/>
    <s v="FERNANDES DA SILVA/JULIANA"/>
    <s v="Maria Clara Landeira Mezavila"/>
    <s v="Maria Clara Landeira Mezavila"/>
    <d v="2025-08-26T10:35:00"/>
    <n v="17378772"/>
    <s v="-"/>
    <s v="OFF LINE"/>
    <s v="Invoice"/>
    <s v="Faturado"/>
    <x v="2"/>
    <s v="N"/>
    <x v="36"/>
    <s v="Biolab Centro Administrativo - Escritorio"/>
    <s v="-"/>
    <s v="-"/>
    <s v="-"/>
    <x v="29"/>
    <s v="-"/>
    <x v="160"/>
    <n v="0"/>
    <n v="0"/>
    <n v="0"/>
    <n v="0"/>
    <n v="0"/>
    <n v="0"/>
    <s v="Reserva importada do Sistema Lemontech. Solicitação: 17378772"/>
    <s v="Fornecedor não preenchido! (ACC01)"/>
    <x v="3"/>
    <x v="0"/>
    <s v="Campo Fornecedor"/>
    <x v="0"/>
    <s v="Qualidade dos dados"/>
    <s v="KONTIK BUSINESS TRAVEL"/>
    <x v="1"/>
  </r>
  <r>
    <n v="22847121"/>
    <n v="23628672"/>
    <s v="ACC01"/>
    <x v="183"/>
    <d v="2025-09-01T12:07:00"/>
    <x v="2"/>
    <x v="2"/>
    <s v="5JAZ5A"/>
    <s v="LEMONTECH"/>
    <s v="TEMPORAL AGOSTINHO/MARIA"/>
    <s v="Maria Clara Landeira Mezavila"/>
    <s v="Maria Clara Landeira Mezavila"/>
    <d v="2025-09-01T00:00:00"/>
    <n v="17411641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61"/>
    <n v="0"/>
    <n v="0"/>
    <n v="0"/>
    <n v="0"/>
    <n v="0"/>
    <n v="0"/>
    <s v="Reserva importada do Sistema Lemontech. Solicitação: 17411641"/>
    <s v="Fornecedor não preenchido! (ACC01)"/>
    <x v="3"/>
    <x v="0"/>
    <s v="Campo Fornecedor"/>
    <x v="0"/>
    <s v="Qualidade dos dados"/>
    <s v="KONTIK BUSINESS TRAVEL"/>
    <x v="1"/>
  </r>
  <r>
    <n v="22866545"/>
    <n v="23645679"/>
    <s v="ACC01"/>
    <x v="184"/>
    <d v="2025-09-04T08:43:38"/>
    <x v="1"/>
    <x v="1"/>
    <s v="5J6ZUY"/>
    <s v="LEMONTECH"/>
    <s v="SILVEIRA/JULIETE"/>
    <s v="Maria Clara Landeira Mezavila"/>
    <s v="Maria Clara Landeira Mezavila"/>
    <d v="2025-09-02T00:00:00"/>
    <n v="17428580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62"/>
    <n v="0"/>
    <n v="0"/>
    <n v="0"/>
    <n v="0"/>
    <n v="2.89"/>
    <n v="0"/>
    <s v="Reserva importada do Sistema Lemontech. Solicitação: 17428580"/>
    <s v="Fornecedor não preenchido! (ACC01)"/>
    <x v="3"/>
    <x v="0"/>
    <s v="Campo Fornecedor"/>
    <x v="0"/>
    <s v="Qualidade dos dados"/>
    <s v="KONTIK BUSINESS TRAVEL"/>
    <x v="1"/>
  </r>
  <r>
    <n v="22866550"/>
    <n v="23645682"/>
    <s v="ACC01"/>
    <x v="185"/>
    <d v="2025-09-04T08:43:47"/>
    <x v="1"/>
    <x v="1"/>
    <s v="5JLZ7H"/>
    <s v="LEMONTECH"/>
    <s v="SILVEIRA/JULIETE"/>
    <s v="Maria Clara Landeira Mezavila"/>
    <s v="Maria Clara Landeira Mezavila"/>
    <d v="2025-09-02T00:00:00"/>
    <n v="17428649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63"/>
    <n v="0"/>
    <n v="0"/>
    <n v="0"/>
    <n v="0"/>
    <n v="2.89"/>
    <n v="0"/>
    <s v="Reserva importada do Sistema Lemontech. Solicitação: 17428649"/>
    <s v="Fornecedor não preenchido! (ACC01)"/>
    <x v="3"/>
    <x v="0"/>
    <s v="Campo Fornecedor"/>
    <x v="0"/>
    <s v="Qualidade dos dados"/>
    <s v="KONTIK BUSINESS TRAVEL"/>
    <x v="1"/>
  </r>
  <r>
    <n v="22853464"/>
    <n v="23634301"/>
    <s v="ACC01"/>
    <x v="186"/>
    <d v="2025-09-02T11:00:42"/>
    <x v="2"/>
    <x v="2"/>
    <s v="5JC5BD"/>
    <s v="LEMONTECH"/>
    <s v="ENCARNACAO/MILSON"/>
    <s v="Maria Clara Landeira Mezavila"/>
    <s v="Maria Clara Landeira Mezavila"/>
    <d v="2025-09-02T00:00:00"/>
    <n v="17369760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64"/>
    <n v="0"/>
    <n v="0"/>
    <n v="0"/>
    <n v="0"/>
    <n v="76.45"/>
    <n v="0"/>
    <s v="Reserva importada do Sistema Lemontech. Solicitação: 17369760"/>
    <s v="Fornecedor não preenchido! (ACC01)"/>
    <x v="3"/>
    <x v="0"/>
    <s v="Campo Fornecedor"/>
    <x v="0"/>
    <s v="Qualidade dos dados"/>
    <s v="KONTIK BUSINESS TRAVEL"/>
    <x v="1"/>
  </r>
  <r>
    <n v="22854730"/>
    <n v="23635512"/>
    <s v="ACC01"/>
    <x v="187"/>
    <d v="2025-09-02T14:01:12"/>
    <x v="2"/>
    <x v="2"/>
    <s v="5J9843"/>
    <s v="LEMONTECH"/>
    <s v="NUNES CALDERARO/JOSELINA"/>
    <s v="Maria Clara Landeira Mezavila"/>
    <s v="Maria Clara Landeira Mezavila"/>
    <d v="2025-09-02T00:00:00"/>
    <n v="17409000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65"/>
    <n v="0"/>
    <n v="0"/>
    <n v="0"/>
    <n v="0"/>
    <n v="7.7"/>
    <n v="0"/>
    <s v="Reserva importada do Sistema Lemontech. Solicitação: 17409000"/>
    <s v="Fornecedor não preenchido! (ACC01)"/>
    <x v="3"/>
    <x v="0"/>
    <s v="Campo Fornecedor"/>
    <x v="0"/>
    <s v="Qualidade dos dados"/>
    <s v="KONTIK BUSINESS TRAVEL"/>
    <x v="1"/>
  </r>
  <r>
    <n v="22902383"/>
    <n v="23676482"/>
    <s v="ACC01"/>
    <x v="188"/>
    <d v="2025-09-10T14:07:03"/>
    <x v="3"/>
    <x v="3"/>
    <s v="5KYL05"/>
    <s v="LEMONTECH"/>
    <s v="LEITE MEDEIROS/PAULO"/>
    <s v="Maria Clara Landeira Mezavila"/>
    <s v="Maria Clara Landeira Mezavila"/>
    <d v="2025-09-10T10:13:00"/>
    <n v="17503390"/>
    <s v="Agência: AG CENTRO BRAGANCA PAULISTA"/>
    <s v="OFF LINE"/>
    <s v="Invoice"/>
    <s v="Faturado"/>
    <x v="1"/>
    <s v="N"/>
    <x v="36"/>
    <s v="Biolab Centro Administrativo - Escritorio"/>
    <s v="-"/>
    <s v="-"/>
    <s v="-"/>
    <x v="29"/>
    <s v="-"/>
    <x v="166"/>
    <n v="0"/>
    <n v="0"/>
    <n v="0"/>
    <n v="0"/>
    <n v="0"/>
    <n v="0"/>
    <s v="Reserva importada do Sistema Lemontech. Solicitação: 17503390"/>
    <s v="Fornecedor não preenchido! (ACC01)"/>
    <x v="3"/>
    <x v="0"/>
    <s v="Campo Fornecedor"/>
    <x v="0"/>
    <s v="Qualidade dos dados"/>
    <s v="KONTIK BUSINESS TRAVEL"/>
    <x v="1"/>
  </r>
  <r>
    <n v="22902918"/>
    <n v="23676993"/>
    <s v="ACC01"/>
    <x v="189"/>
    <d v="2025-09-10T16:06:18"/>
    <x v="3"/>
    <x v="3"/>
    <s v="5KNOQ5"/>
    <s v="LEMONTECH"/>
    <s v="VALERIANO MORAIS/SAMUEL"/>
    <s v="Maria Clara Landeira Mezavila"/>
    <s v="Maria Clara Landeira Mezavila"/>
    <d v="2025-09-01T10:15:00"/>
    <n v="17420318"/>
    <s v="AGENCIA AEROPORTO SANTAREM"/>
    <s v="OFF LINE"/>
    <s v="Invoice"/>
    <s v="Faturado"/>
    <x v="1"/>
    <s v="N"/>
    <x v="36"/>
    <s v="Biolab Centro Administrativo - Escritorio"/>
    <s v="-"/>
    <s v="-"/>
    <s v="-"/>
    <x v="29"/>
    <s v="-"/>
    <x v="167"/>
    <n v="0"/>
    <n v="0"/>
    <n v="0"/>
    <n v="0"/>
    <n v="0"/>
    <n v="0"/>
    <s v="Reserva importada do Sistema Lemontech. Solicitação: 17420318"/>
    <s v="Fornecedor não preenchido! (ACC01)"/>
    <x v="3"/>
    <x v="0"/>
    <s v="Campo Fornecedor"/>
    <x v="0"/>
    <s v="Qualidade dos dados"/>
    <s v="KONTIK BUSINESS TRAVEL"/>
    <x v="1"/>
  </r>
  <r>
    <n v="22903171"/>
    <n v="23677270"/>
    <s v="ACC01"/>
    <x v="190"/>
    <d v="2025-09-10T17:06:57"/>
    <x v="3"/>
    <x v="3"/>
    <s v="5KJT2G"/>
    <s v="LEMONTECH"/>
    <s v="DOS SANTOS/LUIZ"/>
    <s v="Maria Clara Landeira Mezavila"/>
    <s v="Maria Clara Landeira Mezavila"/>
    <d v="2025-09-10T00:00:00"/>
    <n v="17413933"/>
    <s v="-"/>
    <s v="OFF LINE"/>
    <s v="Cartão de crédito"/>
    <s v="Cartão de crédito"/>
    <x v="0"/>
    <s v="N"/>
    <x v="36"/>
    <s v="Biolab Centro Administrativo - Escritorio"/>
    <s v="-"/>
    <s v="-"/>
    <s v="-"/>
    <x v="29"/>
    <s v="-"/>
    <x v="168"/>
    <n v="0"/>
    <n v="0"/>
    <n v="0"/>
    <n v="0"/>
    <n v="0"/>
    <n v="0"/>
    <s v="Reserva importada do Sistema Lemontech. Solicitação: 17413933"/>
    <s v="Fornecedor não preenchido! (ACC01)"/>
    <x v="3"/>
    <x v="0"/>
    <s v="Campo Fornecedor"/>
    <x v="0"/>
    <s v="Qualidade dos dados"/>
    <s v="KONTIK BUSINESS TRAVEL"/>
    <x v="1"/>
  </r>
  <r>
    <n v="22866624"/>
    <n v="23645752"/>
    <s v="ACC01"/>
    <x v="191"/>
    <d v="2025-09-04T09:01:25"/>
    <x v="1"/>
    <x v="1"/>
    <s v="5JIY7Y"/>
    <s v="LEMONTECH"/>
    <s v="FARIAS ROCHA/JOAO"/>
    <s v="Lemontech"/>
    <s v="Lemontech"/>
    <d v="2025-09-02T00:00:00"/>
    <n v="1743580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69"/>
    <n v="0"/>
    <n v="0"/>
    <n v="0"/>
    <n v="0"/>
    <n v="0"/>
    <n v="0"/>
    <s v="Reserva importada do Sistema Lemontech. Solicitação: 17435801"/>
    <s v="Fornecedor não preenchido! (ACC01)"/>
    <x v="3"/>
    <x v="0"/>
    <s v="Campo Fornecedor"/>
    <x v="0"/>
    <s v="Qualidade dos dados"/>
    <s v="KONTIK BUSINESS TRAVEL"/>
    <x v="1"/>
  </r>
  <r>
    <n v="22890015"/>
    <n v="23665544"/>
    <s v="ACC01"/>
    <x v="192"/>
    <d v="2025-09-08T16:06:55"/>
    <x v="0"/>
    <x v="0"/>
    <s v="5KA0YQ"/>
    <s v="LEMONTECH"/>
    <s v="FARIA/LUCAS"/>
    <s v="Lemontech"/>
    <s v="Lemontech"/>
    <d v="2025-09-05T00:00:00"/>
    <n v="17476042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0"/>
    <n v="0"/>
    <n v="0"/>
    <n v="0"/>
    <n v="0"/>
    <n v="19.899999999999999"/>
    <n v="0"/>
    <s v="Reserva importada do Sistema Lemontech. Solicitação: 17476042"/>
    <s v="Fornecedor não preenchido! (ACC01)"/>
    <x v="3"/>
    <x v="0"/>
    <s v="Campo Fornecedor"/>
    <x v="0"/>
    <s v="Qualidade dos dados"/>
    <s v="KONTIK BUSINESS TRAVEL"/>
    <x v="1"/>
  </r>
  <r>
    <n v="22890025"/>
    <n v="23665555"/>
    <s v="ACC01"/>
    <x v="193"/>
    <d v="2025-09-08T16:07:12"/>
    <x v="0"/>
    <x v="0"/>
    <s v="5K5M61"/>
    <s v="LEMONTECH"/>
    <s v="MONTEIRO/WILLIAM"/>
    <s v="Lemontech"/>
    <s v="Lemontech"/>
    <d v="2025-09-08T00:00:00"/>
    <n v="17486933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1"/>
    <n v="0"/>
    <n v="0"/>
    <n v="0"/>
    <n v="0"/>
    <n v="4.17"/>
    <n v="0"/>
    <s v="Reserva importada do Sistema Lemontech. Solicitação: 17486933"/>
    <s v="Fornecedor não preenchido! (ACC01)"/>
    <x v="3"/>
    <x v="0"/>
    <s v="Campo Fornecedor"/>
    <x v="0"/>
    <s v="Qualidade dos dados"/>
    <s v="KONTIK BUSINESS TRAVEL"/>
    <x v="1"/>
  </r>
  <r>
    <n v="22874190"/>
    <n v="23652752"/>
    <s v="ACC01"/>
    <x v="194"/>
    <d v="2025-09-05T11:07:07"/>
    <x v="1"/>
    <x v="1"/>
    <s v="5J3SJK"/>
    <s v="LEMONTECH"/>
    <s v="RODRIGUES AUDI/LARICIA"/>
    <s v="Lemontech"/>
    <s v="Lemontech"/>
    <d v="2025-09-05T00:00:00"/>
    <n v="17469287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2"/>
    <n v="0"/>
    <n v="0"/>
    <n v="0"/>
    <n v="0"/>
    <n v="124.6"/>
    <n v="0"/>
    <s v="Reserva importada do Sistema Lemontech. Solicitação: 17469287"/>
    <s v="Fornecedor não preenchido! (ACC01)"/>
    <x v="3"/>
    <x v="0"/>
    <s v="Campo Fornecedor"/>
    <x v="0"/>
    <s v="Qualidade dos dados"/>
    <s v="KONTIK BUSINESS TRAVEL"/>
    <x v="1"/>
  </r>
  <r>
    <n v="22874529"/>
    <n v="23653116"/>
    <s v="ACC01"/>
    <x v="195"/>
    <d v="2025-09-05T12:08:17"/>
    <x v="1"/>
    <x v="1"/>
    <s v="5JNQIK"/>
    <s v="LEMONTECH"/>
    <s v="OLIVEIRA MESQUITA/LEEA"/>
    <s v="Lemontech"/>
    <s v="Lemontech"/>
    <d v="2025-09-05T00:00:00"/>
    <n v="17470558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3"/>
    <n v="0"/>
    <n v="0"/>
    <n v="0"/>
    <n v="0"/>
    <n v="7.08"/>
    <n v="0"/>
    <s v="Reserva importada do Sistema Lemontech. Solicitação: 17470558"/>
    <s v="Fornecedor não preenchido! (ACC01)"/>
    <x v="3"/>
    <x v="0"/>
    <s v="Campo Fornecedor"/>
    <x v="0"/>
    <s v="Qualidade dos dados"/>
    <s v="KONTIK BUSINESS TRAVEL"/>
    <x v="1"/>
  </r>
  <r>
    <n v="22875433"/>
    <n v="23654017"/>
    <s v="ACC01"/>
    <x v="196"/>
    <d v="2025-09-05T14:12:27"/>
    <x v="1"/>
    <x v="1"/>
    <s v="5JUNQL"/>
    <s v="LEMONTECH"/>
    <s v="ALBUQUERQUE/FELIPE"/>
    <s v="Lemontech"/>
    <s v="Lemontech"/>
    <d v="2025-09-05T00:00:00"/>
    <n v="17466869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4"/>
    <n v="0"/>
    <n v="0"/>
    <n v="0"/>
    <n v="0"/>
    <n v="39.01"/>
    <n v="0"/>
    <s v="Reserva importada do Sistema Lemontech. Solicitação: 17466869"/>
    <s v="Fornecedor não preenchido! (ACC01)"/>
    <x v="3"/>
    <x v="0"/>
    <s v="Campo Fornecedor"/>
    <x v="0"/>
    <s v="Qualidade dos dados"/>
    <s v="KONTIK BUSINESS TRAVEL"/>
    <x v="1"/>
  </r>
  <r>
    <n v="22868841"/>
    <n v="23647971"/>
    <s v="ACC01"/>
    <x v="197"/>
    <d v="2025-09-04T15:14:09"/>
    <x v="1"/>
    <x v="1"/>
    <s v="5JHF3J"/>
    <s v="LEMONTECH"/>
    <s v="BARROS/GUILHERME"/>
    <s v="Lemontech"/>
    <s v="Lemontech"/>
    <d v="2025-09-01T00:00:00"/>
    <n v="17425947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5"/>
    <n v="0"/>
    <n v="0"/>
    <n v="0"/>
    <n v="0"/>
    <n v="0"/>
    <n v="0"/>
    <s v="Reserva importada do Sistema Lemontech. Solicitação: 17425947"/>
    <s v="Fornecedor não preenchido! (ACC01)"/>
    <x v="3"/>
    <x v="0"/>
    <s v="Campo Fornecedor"/>
    <x v="0"/>
    <s v="Qualidade dos dados"/>
    <s v="KONTIK BUSINESS TRAVEL"/>
    <x v="1"/>
  </r>
  <r>
    <n v="22868860"/>
    <n v="23647993"/>
    <s v="ACC01"/>
    <x v="198"/>
    <d v="2025-09-04T15:19:39"/>
    <x v="1"/>
    <x v="1"/>
    <s v="5JXHC7"/>
    <s v="LEMONTECH"/>
    <s v="DA COSTA NETO/ARLINDO"/>
    <s v="Lemontech"/>
    <s v="Lemontech"/>
    <d v="2025-09-01T00:00:00"/>
    <n v="17429164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6"/>
    <n v="0"/>
    <n v="0"/>
    <n v="0"/>
    <n v="0"/>
    <n v="0"/>
    <n v="0"/>
    <s v="Reserva importada do Sistema Lemontech. Solicitação: 17429164"/>
    <s v="Fornecedor não preenchido! (ACC01)"/>
    <x v="3"/>
    <x v="0"/>
    <s v="Campo Fornecedor"/>
    <x v="0"/>
    <s v="Qualidade dos dados"/>
    <s v="KONTIK BUSINESS TRAVEL"/>
    <x v="1"/>
  </r>
  <r>
    <n v="22869037"/>
    <n v="23648194"/>
    <s v="ACC01"/>
    <x v="199"/>
    <d v="2025-09-04T15:49:53"/>
    <x v="1"/>
    <x v="1"/>
    <s v="5JP847"/>
    <s v="LEMONTECH"/>
    <s v="SANTOS BRAGA/LAIS"/>
    <s v="Lemontech"/>
    <s v="Lemontech"/>
    <d v="2025-09-04T00:00:00"/>
    <n v="17459866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7"/>
    <n v="0"/>
    <n v="0"/>
    <n v="0"/>
    <n v="0"/>
    <n v="0"/>
    <n v="0"/>
    <s v="Reserva importada do Sistema Lemontech. Solicitação: 17459866"/>
    <s v="Fornecedor não preenchido! (ACC01)"/>
    <x v="3"/>
    <x v="0"/>
    <s v="Campo Fornecedor"/>
    <x v="0"/>
    <s v="Qualidade dos dados"/>
    <s v="KONTIK BUSINESS TRAVEL"/>
    <x v="1"/>
  </r>
  <r>
    <n v="22835534"/>
    <n v="23620221"/>
    <s v="ACC01"/>
    <x v="200"/>
    <d v="2025-08-29T18:06:33"/>
    <x v="2"/>
    <x v="2"/>
    <s v="5JBSAM"/>
    <s v="LEMONTECH"/>
    <s v="MELLI/MARCUS"/>
    <s v="Lemontech"/>
    <s v="Lemontech"/>
    <d v="2025-08-27T00:00:00"/>
    <n v="17388764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8"/>
    <n v="0"/>
    <n v="0"/>
    <n v="0"/>
    <n v="0"/>
    <n v="120"/>
    <n v="0"/>
    <s v="Reserva importada do Sistema Lemontech. Solicitação: 17388764"/>
    <s v="Fornecedor não preenchido! (ACC01)"/>
    <x v="3"/>
    <x v="0"/>
    <s v="Campo Fornecedor"/>
    <x v="0"/>
    <s v="Qualidade dos dados"/>
    <s v="KONTIK BUSINESS TRAVEL"/>
    <x v="1"/>
  </r>
  <r>
    <n v="22832275"/>
    <n v="23617064"/>
    <s v="ACC01"/>
    <x v="201"/>
    <d v="2025-08-29T08:19:03"/>
    <x v="2"/>
    <x v="2"/>
    <s v="5INW3O"/>
    <s v="LEMONTECH"/>
    <s v="BRESSAN/FILIPE"/>
    <s v="Lemontech"/>
    <s v="Lemontech"/>
    <d v="2025-08-28T00:00:00"/>
    <n v="17402853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9"/>
    <n v="0"/>
    <n v="0"/>
    <n v="0"/>
    <n v="0"/>
    <n v="0"/>
    <n v="0"/>
    <s v="Reserva importada do Sistema Lemontech. Solicitação: 17402853"/>
    <s v="Fornecedor não preenchido! (ACC01)"/>
    <x v="3"/>
    <x v="0"/>
    <s v="Campo Fornecedor"/>
    <x v="0"/>
    <s v="Qualidade dos dados"/>
    <s v="KONTIK BUSINESS TRAVEL"/>
    <x v="1"/>
  </r>
  <r>
    <n v="22826782"/>
    <n v="23612054"/>
    <s v="ACC01"/>
    <x v="202"/>
    <d v="2025-08-28T11:38:06"/>
    <x v="2"/>
    <x v="2"/>
    <s v="5IDH87"/>
    <s v="LEMONTECH"/>
    <s v="LOPES/JANINE"/>
    <s v="Lemontech"/>
    <s v="Lemontech"/>
    <d v="2025-08-26T00:00:00"/>
    <n v="1738026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0"/>
    <n v="0"/>
    <n v="0"/>
    <n v="0"/>
    <n v="0"/>
    <n v="6.67"/>
    <n v="0"/>
    <s v="Reserva importada do Sistema Lemontech. Solicitação: 17380261"/>
    <s v="Fornecedor não preenchido! (ACC01)"/>
    <x v="3"/>
    <x v="0"/>
    <s v="Campo Fornecedor"/>
    <x v="0"/>
    <s v="Qualidade dos dados"/>
    <s v="KONTIK BUSINESS TRAVEL"/>
    <x v="1"/>
  </r>
  <r>
    <n v="22813293"/>
    <n v="23600119"/>
    <s v="ACC01"/>
    <x v="203"/>
    <d v="2025-08-26T12:06:55"/>
    <x v="4"/>
    <x v="4"/>
    <s v="5IOEJV"/>
    <s v="LEMONTECH"/>
    <s v="CORREIA/LIVIA"/>
    <s v="Lemontech"/>
    <s v="Lemontech"/>
    <d v="2025-08-26T00:00:00"/>
    <n v="17380486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1"/>
    <n v="0"/>
    <n v="0"/>
    <n v="0"/>
    <n v="0"/>
    <n v="10.24"/>
    <n v="0"/>
    <s v="Reserva importada do Sistema Lemontech. Solicitação: 17380486"/>
    <s v="Fornecedor não preenchido! (ACC01)"/>
    <x v="3"/>
    <x v="0"/>
    <s v="Campo Fornecedor"/>
    <x v="0"/>
    <s v="Qualidade dos dados"/>
    <s v="KONTIK BUSINESS TRAVEL"/>
    <x v="1"/>
  </r>
  <r>
    <n v="22826148"/>
    <n v="23611392"/>
    <s v="ACC01"/>
    <x v="204"/>
    <d v="2025-08-28T10:24:20"/>
    <x v="2"/>
    <x v="2"/>
    <s v="5IHRYJ"/>
    <s v="LEMONTECH"/>
    <s v="FARIA/LUCAS"/>
    <s v="Lemontech"/>
    <s v="Lemontech"/>
    <d v="2025-08-27T00:00:00"/>
    <n v="17396695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70"/>
    <n v="0"/>
    <n v="0"/>
    <n v="0"/>
    <n v="0"/>
    <n v="19.899999999999999"/>
    <n v="0"/>
    <s v="Reserva importada do Sistema Lemontech. Solicitação: 17396695"/>
    <s v="Fornecedor não preenchido! (ACC01)"/>
    <x v="3"/>
    <x v="0"/>
    <s v="Campo Fornecedor"/>
    <x v="0"/>
    <s v="Qualidade dos dados"/>
    <s v="KONTIK BUSINESS TRAVEL"/>
    <x v="1"/>
  </r>
  <r>
    <n v="22826230"/>
    <n v="23611476"/>
    <s v="ACC01"/>
    <x v="205"/>
    <d v="2025-08-28T10:38:57"/>
    <x v="2"/>
    <x v="2"/>
    <s v="5IF1J7"/>
    <s v="LEMONTECH"/>
    <s v="DE MELO/MARIA"/>
    <s v="Lemontech"/>
    <s v="Lemontech"/>
    <d v="2025-08-26T00:00:00"/>
    <n v="1738064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1"/>
    <n v="0"/>
    <n v="0"/>
    <n v="0"/>
    <n v="0"/>
    <n v="10.24"/>
    <n v="0"/>
    <s v="Reserva importada do Sistema Lemontech. Solicitação: 17380641"/>
    <s v="Fornecedor não preenchido! (ACC01)"/>
    <x v="3"/>
    <x v="0"/>
    <s v="Campo Fornecedor"/>
    <x v="0"/>
    <s v="Qualidade dos dados"/>
    <s v="KONTIK BUSINESS TRAVEL"/>
    <x v="1"/>
  </r>
  <r>
    <n v="22826316"/>
    <n v="23611556"/>
    <s v="ACC01"/>
    <x v="206"/>
    <d v="2025-08-28T10:50:28"/>
    <x v="2"/>
    <x v="2"/>
    <s v="5IKTUU"/>
    <s v="LEMONTECH"/>
    <s v="LIMA/JOAO"/>
    <s v="Lemontech"/>
    <s v="Lemontech"/>
    <d v="2025-08-27T00:00:00"/>
    <n v="17389707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71"/>
    <n v="0"/>
    <n v="0"/>
    <n v="0"/>
    <n v="0"/>
    <n v="0"/>
    <n v="0"/>
    <s v="Reserva importada do Sistema Lemontech. Solicitação: 17389707"/>
    <s v="Fornecedor não preenchido! (ACC01)"/>
    <x v="3"/>
    <x v="0"/>
    <s v="Campo Fornecedor"/>
    <x v="0"/>
    <s v="Qualidade dos dados"/>
    <s v="KONTIK BUSINESS TRAVEL"/>
    <x v="1"/>
  </r>
  <r>
    <n v="22902946"/>
    <n v="23677027"/>
    <s v="ACC01"/>
    <x v="207"/>
    <d v="2025-09-10T16:13:19"/>
    <x v="3"/>
    <x v="3"/>
    <s v="5K3ZS5"/>
    <s v="LEMONTECH"/>
    <s v="ROCHA/PAULO"/>
    <s v="Lemontech"/>
    <s v="Lemontech"/>
    <d v="2025-09-10T00:00:00"/>
    <n v="17503057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2"/>
    <n v="0"/>
    <n v="0"/>
    <n v="0"/>
    <n v="0"/>
    <n v="9.92"/>
    <n v="0"/>
    <s v="Reserva importada do Sistema Lemontech. Solicitação: 17503057"/>
    <s v="Fornecedor não preenchido! (ACC01)"/>
    <x v="3"/>
    <x v="0"/>
    <s v="Campo Fornecedor"/>
    <x v="0"/>
    <s v="Qualidade dos dados"/>
    <s v="KONTIK BUSINESS TRAVEL"/>
    <x v="1"/>
  </r>
  <r>
    <n v="22903217"/>
    <n v="23677311"/>
    <s v="ACC01"/>
    <x v="208"/>
    <d v="2025-09-10T17:13:00"/>
    <x v="3"/>
    <x v="3"/>
    <s v="5KHU2T"/>
    <s v="LEMONTECH"/>
    <s v="CORREIA/LIVIA"/>
    <s v="Lemontech"/>
    <s v="Lemontech"/>
    <d v="2025-09-10T00:00:00"/>
    <n v="17509549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72"/>
    <n v="0"/>
    <n v="0"/>
    <n v="0"/>
    <n v="0"/>
    <n v="9.1"/>
    <n v="0"/>
    <s v="Reserva importada do Sistema Lemontech. Solicitação: 17509549"/>
    <s v="Fornecedor não preenchido! (ACC01)"/>
    <x v="3"/>
    <x v="0"/>
    <s v="Campo Fornecedor"/>
    <x v="0"/>
    <s v="Qualidade dos dados"/>
    <s v="KONTIK BUSINESS TRAVEL"/>
    <x v="1"/>
  </r>
  <r>
    <n v="22904392"/>
    <n v="23678447"/>
    <s v="ACC01"/>
    <x v="209"/>
    <d v="2025-09-10T19:06:53"/>
    <x v="3"/>
    <x v="3"/>
    <s v="5K97UT"/>
    <s v="LEMONTECH"/>
    <s v="MOSENA/IVAN"/>
    <s v="Lemontech"/>
    <s v="Lemontech"/>
    <d v="2025-09-10T00:00:00"/>
    <n v="17511730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3"/>
    <n v="0"/>
    <n v="0"/>
    <n v="0"/>
    <n v="0"/>
    <n v="0"/>
    <n v="0"/>
    <s v="Reserva importada do Sistema Lemontech. Solicitação: 17511730"/>
    <s v="Fornecedor não preenchido! (ACC01)"/>
    <x v="3"/>
    <x v="0"/>
    <s v="Campo Fornecedor"/>
    <x v="0"/>
    <s v="Qualidade dos dados"/>
    <s v="KONTIK BUSINESS TRAVEL"/>
    <x v="1"/>
  </r>
  <r>
    <n v="22904831"/>
    <n v="23678842"/>
    <s v="ACC01"/>
    <x v="210"/>
    <d v="2025-09-10T20:06:30"/>
    <x v="3"/>
    <x v="3"/>
    <s v="5KM7O5"/>
    <s v="LEMONTECH"/>
    <s v="DE OLIVEIRA/FRANCISCO"/>
    <s v="Lemontech"/>
    <s v="Lemontech"/>
    <d v="2025-09-10T00:00:00"/>
    <n v="17511798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3"/>
    <n v="0"/>
    <n v="0"/>
    <n v="0"/>
    <n v="0"/>
    <n v="0"/>
    <n v="0"/>
    <s v="Reserva importada do Sistema Lemontech. Solicitação: 17511798"/>
    <s v="Fornecedor não preenchido! (ACC01)"/>
    <x v="3"/>
    <x v="0"/>
    <s v="Campo Fornecedor"/>
    <x v="0"/>
    <s v="Qualidade dos dados"/>
    <s v="KONTIK BUSINESS TRAVEL"/>
    <x v="1"/>
  </r>
  <r>
    <n v="22900860"/>
    <n v="23675048"/>
    <s v="ACC01"/>
    <x v="211"/>
    <d v="2025-09-10T10:06:43"/>
    <x v="3"/>
    <x v="3"/>
    <s v="5KMS5F"/>
    <s v="LEMONTECH"/>
    <s v="ROCINHOLLI/LUCAS"/>
    <s v="Lemontech"/>
    <s v="Lemontech"/>
    <d v="2025-09-10T00:00:00"/>
    <n v="1750420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4"/>
    <n v="0"/>
    <n v="0"/>
    <n v="0"/>
    <n v="0"/>
    <n v="0"/>
    <n v="0"/>
    <s v="Reserva importada do Sistema Lemontech. Solicitação: 17504201"/>
    <s v="Fornecedor não preenchido! (ACC01)"/>
    <x v="3"/>
    <x v="0"/>
    <s v="Campo Fornecedor"/>
    <x v="0"/>
    <s v="Qualidade dos dados"/>
    <s v="KONTIK BUSINESS TRAVEL"/>
    <x v="1"/>
  </r>
  <r>
    <n v="22901129"/>
    <n v="23675310"/>
    <s v="ACC01"/>
    <x v="212"/>
    <d v="2025-09-10T11:08:04"/>
    <x v="3"/>
    <x v="3"/>
    <s v="5KJ854"/>
    <s v="LEMONTECH"/>
    <s v="SOUZA GONCALVES/MARIANA"/>
    <s v="Lemontech"/>
    <s v="Lemontech"/>
    <d v="2025-09-10T00:00:00"/>
    <n v="17504382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5"/>
    <n v="0"/>
    <n v="0"/>
    <n v="0"/>
    <n v="0"/>
    <n v="0"/>
    <n v="0"/>
    <s v="Reserva importada do Sistema Lemontech. Solicitação: 17504382"/>
    <s v="Fornecedor não preenchido! (ACC01)"/>
    <x v="3"/>
    <x v="0"/>
    <s v="Campo Fornecedor"/>
    <x v="0"/>
    <s v="Qualidade dos dados"/>
    <s v="KONTIK BUSINESS TRAVEL"/>
    <x v="1"/>
  </r>
  <r>
    <n v="22901130"/>
    <n v="23675311"/>
    <s v="ACC01"/>
    <x v="213"/>
    <d v="2025-09-10T11:08:06"/>
    <x v="3"/>
    <x v="3"/>
    <s v="5KI8TR"/>
    <s v="LEMONTECH"/>
    <s v="MORETI CARMINATI/HADRIEN"/>
    <s v="Lemontech"/>
    <s v="Lemontech"/>
    <d v="2025-09-10T00:00:00"/>
    <n v="17504402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6"/>
    <n v="0"/>
    <n v="0"/>
    <n v="0"/>
    <n v="0"/>
    <n v="34.950000000000003"/>
    <n v="0"/>
    <s v="Reserva importada do Sistema Lemontech. Solicitação: 17504402"/>
    <s v="Fornecedor não preenchido! (ACC01)"/>
    <x v="3"/>
    <x v="0"/>
    <s v="Campo Fornecedor"/>
    <x v="0"/>
    <s v="Qualidade dos dados"/>
    <s v="KONTIK BUSINESS TRAVEL"/>
    <x v="1"/>
  </r>
  <r>
    <n v="22902372"/>
    <n v="23676473"/>
    <s v="ACC01"/>
    <x v="214"/>
    <d v="2025-09-10T14:06:32"/>
    <x v="3"/>
    <x v="3"/>
    <s v="5KO8BG"/>
    <s v="LEMONTECH"/>
    <s v="MEIRA/JAMILA"/>
    <s v="Lemontech"/>
    <s v="Lemontech"/>
    <d v="2025-09-04T00:00:00"/>
    <n v="17457256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7"/>
    <n v="0"/>
    <n v="0"/>
    <n v="0"/>
    <n v="0"/>
    <n v="20.3"/>
    <n v="0"/>
    <s v="Reserva importada do Sistema Lemontech. Solicitação: 17457256"/>
    <s v="Fornecedor não preenchido! (ACC01)"/>
    <x v="3"/>
    <x v="0"/>
    <s v="Campo Fornecedor"/>
    <x v="0"/>
    <s v="Qualidade dos dados"/>
    <s v="KONTIK BUSINESS TRAVEL"/>
    <x v="1"/>
  </r>
  <r>
    <n v="22902373"/>
    <n v="23676474"/>
    <s v="ACC01"/>
    <x v="215"/>
    <d v="2025-09-10T14:06:34"/>
    <x v="3"/>
    <x v="3"/>
    <s v="5KBLMG"/>
    <s v="LEMONTECH"/>
    <s v="MEIRA/JAMILA"/>
    <s v="Lemontech"/>
    <s v="Lemontech"/>
    <d v="2025-09-04T00:00:00"/>
    <n v="17459180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7"/>
    <n v="0"/>
    <n v="0"/>
    <n v="0"/>
    <n v="0"/>
    <n v="20.3"/>
    <n v="0"/>
    <s v="Reserva importada do Sistema Lemontech. Solicitação: 17459180"/>
    <s v="Fornecedor não preenchido! (ACC01)"/>
    <x v="3"/>
    <x v="0"/>
    <s v="Campo Fornecedor"/>
    <x v="0"/>
    <s v="Qualidade dos dados"/>
    <s v="KONTIK BUSINESS TRAVEL"/>
    <x v="1"/>
  </r>
  <r>
    <n v="22902374"/>
    <n v="23676475"/>
    <s v="ACC01"/>
    <x v="216"/>
    <d v="2025-09-10T14:06:35"/>
    <x v="3"/>
    <x v="3"/>
    <s v="5KAOP5"/>
    <s v="LEMONTECH"/>
    <s v="MEIRA/JAMILA"/>
    <s v="Lemontech"/>
    <s v="Lemontech"/>
    <d v="2025-09-04T00:00:00"/>
    <n v="17459245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7"/>
    <n v="0"/>
    <n v="0"/>
    <n v="0"/>
    <n v="0"/>
    <n v="20.3"/>
    <n v="0"/>
    <s v="Reserva importada do Sistema Lemontech. Solicitação: 17459245"/>
    <s v="Fornecedor não preenchido! (ACC01)"/>
    <x v="3"/>
    <x v="0"/>
    <s v="Campo Fornecedor"/>
    <x v="0"/>
    <s v="Qualidade dos dados"/>
    <s v="KONTIK BUSINESS TRAVEL"/>
    <x v="1"/>
  </r>
  <r>
    <n v="22895854"/>
    <n v="23670819"/>
    <s v="ACC01"/>
    <x v="217"/>
    <d v="2025-09-09T14:06:54"/>
    <x v="0"/>
    <x v="0"/>
    <s v="5KEH2C"/>
    <s v="LEMONTECH"/>
    <s v="MORALES/SERGIO"/>
    <s v="Lemontech"/>
    <s v="Lemontech"/>
    <d v="2025-09-09T00:00:00"/>
    <n v="17491830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8"/>
    <n v="0"/>
    <n v="0"/>
    <n v="0"/>
    <n v="0"/>
    <n v="11.73"/>
    <n v="0"/>
    <s v="Reserva importada do Sistema Lemontech. Solicitação: 17491830"/>
    <s v="Fornecedor não preenchido! (ACC01)"/>
    <x v="3"/>
    <x v="0"/>
    <s v="Campo Fornecedor"/>
    <x v="0"/>
    <s v="Qualidade dos dados"/>
    <s v="KONTIK BUSINESS TRAVEL"/>
    <x v="1"/>
  </r>
  <r>
    <n v="22889715"/>
    <n v="23665207"/>
    <s v="ACC01"/>
    <x v="218"/>
    <d v="2025-09-08T15:07:35"/>
    <x v="0"/>
    <x v="0"/>
    <s v="5KUHGQ"/>
    <s v="LEMONTECH"/>
    <s v="GRUPPI/GLAUCIO"/>
    <s v="Lemontech"/>
    <s v="Lemontech"/>
    <d v="2025-09-08T00:00:00"/>
    <n v="17482652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89"/>
    <n v="0"/>
    <n v="0"/>
    <n v="0"/>
    <n v="0"/>
    <n v="0"/>
    <n v="0"/>
    <s v="Reserva importada do Sistema Lemontech. Solicitação: 17482652"/>
    <s v="Fornecedor não preenchido! (ACC01)"/>
    <x v="3"/>
    <x v="0"/>
    <s v="Campo Fornecedor"/>
    <x v="0"/>
    <s v="Qualidade dos dados"/>
    <s v="KONTIK BUSINESS TRAVEL"/>
    <x v="1"/>
  </r>
  <r>
    <n v="22887717"/>
    <n v="23663138"/>
    <s v="ACC01"/>
    <x v="219"/>
    <d v="2025-09-08T10:01:33"/>
    <x v="0"/>
    <x v="0"/>
    <s v="5K1FIM"/>
    <s v="LEMONTECH"/>
    <s v="BISCOLI/GUSTAVO"/>
    <s v="Lemontech"/>
    <s v="Lemontech"/>
    <d v="2025-09-04T00:00:00"/>
    <n v="17457313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0"/>
    <n v="0"/>
    <n v="0"/>
    <n v="0"/>
    <n v="0"/>
    <n v="12.18"/>
    <n v="0"/>
    <s v="Reserva importada do Sistema Lemontech. Solicitação: 17457313"/>
    <s v="Fornecedor não preenchido! (ACC01)"/>
    <x v="3"/>
    <x v="0"/>
    <s v="Campo Fornecedor"/>
    <x v="0"/>
    <s v="Qualidade dos dados"/>
    <s v="KONTIK BUSINESS TRAVEL"/>
    <x v="1"/>
  </r>
  <r>
    <n v="22887731"/>
    <n v="23663155"/>
    <s v="ACC01"/>
    <x v="220"/>
    <d v="2025-09-08T10:07:24"/>
    <x v="0"/>
    <x v="0"/>
    <s v="5K4G80"/>
    <s v="LEMONTECH"/>
    <s v="SOUZA CAVASSANA/GABRIEL"/>
    <s v="Lemontech"/>
    <s v="Lemontech"/>
    <d v="2025-09-08T00:00:00"/>
    <n v="17480859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1"/>
    <n v="0"/>
    <n v="0"/>
    <n v="0"/>
    <n v="0"/>
    <n v="0"/>
    <n v="0"/>
    <s v="Reserva importada do Sistema Lemontech. Solicitação: 17480859"/>
    <s v="Fornecedor não preenchido! (ACC01)"/>
    <x v="3"/>
    <x v="0"/>
    <s v="Campo Fornecedor"/>
    <x v="0"/>
    <s v="Qualidade dos dados"/>
    <s v="KONTIK BUSINESS TRAVEL"/>
    <x v="1"/>
  </r>
  <r>
    <n v="22887994"/>
    <n v="23663427"/>
    <s v="ACC01"/>
    <x v="221"/>
    <d v="2025-09-08T11:06:15"/>
    <x v="0"/>
    <x v="0"/>
    <s v="5KAEOB"/>
    <s v="LEMONTECH"/>
    <s v="DE SOUZA/ANDERSON"/>
    <s v="Lemontech"/>
    <s v="Lemontech"/>
    <d v="2025-09-05T00:00:00"/>
    <n v="17476494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2"/>
    <n v="0"/>
    <n v="0"/>
    <n v="0"/>
    <n v="0"/>
    <n v="0"/>
    <n v="0"/>
    <s v="Reserva importada do Sistema Lemontech. Solicitação: 17476494"/>
    <s v="Fornecedor não preenchido! (ACC01)"/>
    <x v="3"/>
    <x v="0"/>
    <s v="Campo Fornecedor"/>
    <x v="0"/>
    <s v="Qualidade dos dados"/>
    <s v="KONTIK BUSINESS TRAVEL"/>
    <x v="1"/>
  </r>
  <r>
    <n v="22888325"/>
    <n v="23663809"/>
    <s v="ACC01"/>
    <x v="222"/>
    <d v="2025-09-08T12:02:09"/>
    <x v="0"/>
    <x v="0"/>
    <s v="5KXMBQ"/>
    <s v="LEMONTECH"/>
    <s v="MOSELA VERALDO/GISLEIDE"/>
    <s v="Lemontech"/>
    <s v="Lemontech"/>
    <d v="2025-09-05T00:00:00"/>
    <n v="17469184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3"/>
    <n v="0"/>
    <n v="0"/>
    <n v="0"/>
    <n v="0"/>
    <n v="6.74"/>
    <n v="0"/>
    <s v="Reserva importada do Sistema Lemontech. Solicitação: 17469184"/>
    <s v="Fornecedor não preenchido! (ACC01)"/>
    <x v="3"/>
    <x v="0"/>
    <s v="Campo Fornecedor"/>
    <x v="0"/>
    <s v="Qualidade dos dados"/>
    <s v="KONTIK BUSINESS TRAVEL"/>
    <x v="1"/>
  </r>
  <r>
    <n v="22897883"/>
    <n v="23672769"/>
    <s v="ACC01"/>
    <x v="223"/>
    <d v="2025-09-09T19:12:53"/>
    <x v="0"/>
    <x v="0"/>
    <s v="5KF79E"/>
    <s v="LEMONTECH"/>
    <s v="FONTOURA/GABRIELA"/>
    <s v="Lemontech"/>
    <s v="Lemontech"/>
    <d v="2025-09-09T00:00:00"/>
    <n v="17501744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1"/>
    <n v="0"/>
    <n v="0"/>
    <n v="0"/>
    <n v="0"/>
    <n v="0"/>
    <n v="0"/>
    <s v="Reserva importada do Sistema Lemontech. Solicitação: 17501744"/>
    <s v="Fornecedor não preenchido! (ACC01)"/>
    <x v="3"/>
    <x v="0"/>
    <s v="Campo Fornecedor"/>
    <x v="0"/>
    <s v="Qualidade dos dados"/>
    <s v="KONTIK BUSINESS TRAVEL"/>
    <x v="1"/>
  </r>
  <r>
    <n v="22896394"/>
    <n v="23671345"/>
    <s v="ACC01"/>
    <x v="224"/>
    <d v="2025-09-09T16:02:12"/>
    <x v="0"/>
    <x v="0"/>
    <s v="5KUTE3"/>
    <s v="LEMONTECH"/>
    <s v="CARVALHO NETTO/AGENOR"/>
    <s v="Lemontech"/>
    <s v="Lemontech"/>
    <d v="2025-09-04T00:00:00"/>
    <n v="17466066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4"/>
    <n v="0"/>
    <n v="0"/>
    <n v="0"/>
    <n v="0"/>
    <n v="0"/>
    <n v="0"/>
    <s v="Reserva importada do Sistema Lemontech. Solicitação: 17466066"/>
    <s v="Fornecedor não preenchido! (ACC01)"/>
    <x v="3"/>
    <x v="0"/>
    <s v="Campo Fornecedor"/>
    <x v="0"/>
    <s v="Qualidade dos dados"/>
    <s v="KONTIK BUSINESS TRAVEL"/>
    <x v="1"/>
  </r>
  <r>
    <n v="22866336"/>
    <n v="23645516"/>
    <s v="ACC01"/>
    <x v="225"/>
    <d v="2025-09-04T08:06:50"/>
    <x v="1"/>
    <x v="1"/>
    <s v="5JA6YH"/>
    <s v="LEMONTECH"/>
    <s v="DE SOUZA/LUCAS"/>
    <s v="Lemontech"/>
    <s v="Lemontech"/>
    <d v="2025-09-03T00:00:00"/>
    <n v="1745115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5"/>
    <n v="0"/>
    <n v="0"/>
    <n v="0"/>
    <n v="0"/>
    <n v="14.38"/>
    <n v="0"/>
    <s v="Reserva importada do Sistema Lemontech. Solicitação: 17451151"/>
    <s v="Fornecedor não preenchido! (ACC01)"/>
    <x v="3"/>
    <x v="0"/>
    <s v="Campo Fornecedor"/>
    <x v="0"/>
    <s v="Qualidade dos dados"/>
    <s v="KONTIK BUSINESS TRAVEL"/>
    <x v="1"/>
  </r>
  <r>
    <n v="22866190"/>
    <n v="23645378"/>
    <s v="ACC01"/>
    <x v="226"/>
    <d v="2025-09-04T07:43:30"/>
    <x v="1"/>
    <x v="1"/>
    <s v="5JTIGH"/>
    <s v="LEMONTECH"/>
    <s v="DE PAULA/SILVANA"/>
    <s v="Lemontech"/>
    <s v="Lemontech"/>
    <d v="2025-09-02T00:00:00"/>
    <n v="17442344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196"/>
    <n v="0"/>
    <n v="0"/>
    <n v="0"/>
    <n v="0"/>
    <n v="0"/>
    <n v="0"/>
    <s v="Reserva importada do Sistema Lemontech. Solicitação: 17442344"/>
    <s v="Fornecedor não preenchido! (ACC01)"/>
    <x v="3"/>
    <x v="0"/>
    <s v="Campo Fornecedor"/>
    <x v="0"/>
    <s v="Qualidade dos dados"/>
    <s v="KONTIK BUSINESS TRAVEL"/>
    <x v="1"/>
  </r>
  <r>
    <n v="22866230"/>
    <n v="23645417"/>
    <s v="ACC01"/>
    <x v="227"/>
    <d v="2025-09-04T07:49:05"/>
    <x v="1"/>
    <x v="1"/>
    <s v="5JUMH6"/>
    <s v="LEMONTECH"/>
    <s v="CORREIA/LIVIA"/>
    <s v="Lemontech"/>
    <s v="Lemontech"/>
    <d v="2025-09-03T00:00:00"/>
    <n v="1744572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72"/>
    <n v="0"/>
    <n v="0"/>
    <n v="0"/>
    <n v="0"/>
    <n v="9.1"/>
    <n v="0"/>
    <s v="Reserva importada do Sistema Lemontech. Solicitação: 17445721"/>
    <s v="Fornecedor não preenchido! (ACC01)"/>
    <x v="3"/>
    <x v="0"/>
    <s v="Campo Fornecedor"/>
    <x v="0"/>
    <s v="Qualidade dos dados"/>
    <s v="KONTIK BUSINESS TRAVEL"/>
    <x v="1"/>
  </r>
  <r>
    <n v="22892071"/>
    <n v="23667593"/>
    <s v="ACC01"/>
    <x v="228"/>
    <d v="2025-09-08T20:06:39"/>
    <x v="0"/>
    <x v="0"/>
    <s v="5KKAVW"/>
    <s v="LEMONTECH"/>
    <s v="XAVIER/KRISLAINY"/>
    <s v="Lemontech"/>
    <s v="Lemontech"/>
    <d v="2025-09-08T00:00:00"/>
    <n v="17490281"/>
    <s v="-"/>
    <s v="ON LINE"/>
    <s v="Cartão de crédito"/>
    <s v="Cartão de crédito"/>
    <x v="0"/>
    <s v="N"/>
    <x v="36"/>
    <s v="Biolab Centro Administrativo - Escritorio"/>
    <s v="-"/>
    <s v="-"/>
    <s v="-"/>
    <x v="29"/>
    <s v="-"/>
    <x v="72"/>
    <n v="0"/>
    <n v="0"/>
    <n v="0"/>
    <n v="0"/>
    <n v="9.1"/>
    <n v="0"/>
    <s v="Reserva importada do Sistema Lemontech. Solicitação: 17490281"/>
    <s v="Fornecedor não preenchido! (ACC01)"/>
    <x v="3"/>
    <x v="0"/>
    <s v="Campo Fornecedor"/>
    <x v="0"/>
    <s v="Qualidade dos dados"/>
    <s v="KONTIK BUSINESS TRAVEL"/>
    <x v="1"/>
  </r>
  <r>
    <n v="22874922"/>
    <n v="23653551"/>
    <s v="ACC01"/>
    <x v="229"/>
    <d v="2025-09-11T13:54:36"/>
    <x v="3"/>
    <x v="1"/>
    <s v="5J2RBL"/>
    <s v="TMS"/>
    <s v="BRENDA SANTANA GARRIDO"/>
    <s v="JOSE ALEXANDRE SOARES CALDAS"/>
    <s v="JOSE ALEXANDRE SOARES CALDAS"/>
    <d v="2025-09-05T10:36:00"/>
    <n v="79568"/>
    <s v="-"/>
    <s v="OFF LINE"/>
    <s v="Invoice"/>
    <s v="Faturado"/>
    <x v="2"/>
    <s v="N"/>
    <x v="37"/>
    <s v="Oceanpact Servicos Maritimos"/>
    <s v="-"/>
    <s v="-"/>
    <s v="-"/>
    <x v="30"/>
    <s v="-"/>
    <x v="197"/>
    <n v="0"/>
    <n v="0"/>
    <n v="0"/>
    <n v="0"/>
    <n v="0"/>
    <n v="0"/>
    <s v="Reserva importada do Sistema TMS. OS: 79568"/>
    <s v="Fornecedor não preenchido! (ACC01)"/>
    <x v="2"/>
    <x v="0"/>
    <s v="Campo Fornecedor"/>
    <x v="0"/>
    <s v="Qualidade dos dados"/>
    <s v="KONTIK BUSINESS TRAVEL"/>
    <x v="1"/>
  </r>
  <r>
    <n v="22811098"/>
    <n v="23598421"/>
    <s v="ACC01"/>
    <x v="230"/>
    <d v="2025-09-12T06:10:42"/>
    <x v="3"/>
    <x v="4"/>
    <s v="5IABGF"/>
    <s v="TMS"/>
    <s v="DENIS CARDOZO"/>
    <s v="JOSE ALEXANDRE SOARES CALDAS"/>
    <s v="Tms"/>
    <d v="2025-08-25T09:19:00"/>
    <n v="77595"/>
    <s v="-"/>
    <s v="OFF LINE"/>
    <s v="Invoice"/>
    <s v="Faturado"/>
    <x v="2"/>
    <s v="N"/>
    <x v="37"/>
    <s v="Oceanpact Servicos Maritimos"/>
    <s v="-"/>
    <s v="-"/>
    <s v="-"/>
    <x v="30"/>
    <s v="-"/>
    <x v="198"/>
    <n v="50.16"/>
    <n v="0"/>
    <n v="0"/>
    <n v="0"/>
    <n v="0"/>
    <n v="0"/>
    <s v="Reserva importada do Sistema TMS. OS: 77595"/>
    <s v="Fornecedor não preenchido! (ACC01)"/>
    <x v="2"/>
    <x v="0"/>
    <s v="Campo Fornecedor"/>
    <x v="0"/>
    <s v="Qualidade dos dados"/>
    <s v="KONTIK BUSINESS TRAVEL"/>
    <x v="1"/>
  </r>
  <r>
    <n v="22899329"/>
    <n v="23673994"/>
    <s v="ACC01"/>
    <x v="231"/>
    <d v="2025-09-12T06:10:44"/>
    <x v="3"/>
    <x v="3"/>
    <s v="5KZPCR"/>
    <s v="TMS"/>
    <s v="LEANDRO DE MORAES"/>
    <s v="Nataly Franca Regal de Castro"/>
    <s v="Nataly Franca Regal de Castro"/>
    <d v="2025-09-09T13:52:00"/>
    <n v="80065"/>
    <s v="-"/>
    <s v="OFF LINE"/>
    <s v="Invoice"/>
    <s v="Faturado"/>
    <x v="2"/>
    <s v="N"/>
    <x v="37"/>
    <s v="Oceanpact Servicos Maritimos"/>
    <s v="-"/>
    <s v="-"/>
    <s v="-"/>
    <x v="30"/>
    <s v="-"/>
    <x v="199"/>
    <n v="10.95"/>
    <n v="0"/>
    <n v="0"/>
    <n v="0"/>
    <n v="0"/>
    <n v="0"/>
    <s v="Reserva importada do Sistema TMS. OS: 80065"/>
    <s v="Fornecedor não preenchido! (ACC01)"/>
    <x v="2"/>
    <x v="0"/>
    <s v="Campo Fornecedor"/>
    <x v="0"/>
    <s v="Qualidade dos dados"/>
    <s v="KONTIK BUSINESS TRAVEL"/>
    <x v="1"/>
  </r>
  <r>
    <n v="22895430"/>
    <n v="23670426"/>
    <s v="ACC01"/>
    <x v="232"/>
    <d v="2025-09-11T14:13:04"/>
    <x v="3"/>
    <x v="0"/>
    <s v="5K4W1D"/>
    <s v="TMS"/>
    <s v="DIEGO SILVA HORACIO"/>
    <s v="Nataly Franca Regal de Castro"/>
    <s v="Nataly Franca Regal de Castro"/>
    <d v="2025-09-09T11:15:00"/>
    <n v="79595"/>
    <s v="-"/>
    <s v="OFF LINE"/>
    <s v="Invoice"/>
    <s v="Faturado"/>
    <x v="2"/>
    <s v="N"/>
    <x v="37"/>
    <s v="Oceanpact Servicos Maritimos"/>
    <s v="-"/>
    <s v="-"/>
    <s v="-"/>
    <x v="30"/>
    <s v="-"/>
    <x v="200"/>
    <n v="0"/>
    <n v="0"/>
    <n v="0"/>
    <n v="0"/>
    <n v="0"/>
    <n v="0"/>
    <s v="Reserva importada do Sistema TMS. OS: 79595"/>
    <s v="Fornecedor não preenchido! (ACC01)"/>
    <x v="2"/>
    <x v="0"/>
    <s v="Campo Fornecedor"/>
    <x v="0"/>
    <s v="Qualidade dos dados"/>
    <s v="KONTIK BUSINESS TRAVEL"/>
    <x v="1"/>
  </r>
  <r>
    <n v="22817725"/>
    <n v="23604273"/>
    <s v="ACC01"/>
    <x v="233"/>
    <d v="2025-09-12T06:10:42"/>
    <x v="3"/>
    <x v="4"/>
    <s v="5IIGO5"/>
    <s v="TMS"/>
    <s v="NATALIA RONGETTA"/>
    <s v="Marlon Marques dos Santos"/>
    <s v="Tms"/>
    <d v="2025-08-26T14:27:00"/>
    <n v="77871"/>
    <s v="-"/>
    <s v="OFF LINE"/>
    <s v="Invoice"/>
    <s v="Faturado"/>
    <x v="2"/>
    <s v="N"/>
    <x v="37"/>
    <s v="Aiuka"/>
    <s v="-"/>
    <s v="-"/>
    <s v="-"/>
    <x v="20"/>
    <s v="-"/>
    <x v="201"/>
    <n v="18.420000000000002"/>
    <n v="0"/>
    <n v="0"/>
    <n v="0"/>
    <n v="0"/>
    <n v="0"/>
    <s v="Reserva importada do Sistema TMS. OS: 77871"/>
    <s v="Fornecedor não preenchido! (ACC01)"/>
    <x v="2"/>
    <x v="0"/>
    <s v="Campo Fornecedor"/>
    <x v="0"/>
    <s v="Qualidade dos dados"/>
    <s v="KONTIK BUSINESS TRAVEL"/>
    <x v="1"/>
  </r>
  <r>
    <n v="22838064"/>
    <n v="23622484"/>
    <s v="ACC01"/>
    <x v="234"/>
    <d v="2025-09-12T06:10:43"/>
    <x v="3"/>
    <x v="2"/>
    <s v="5JQ0MA"/>
    <s v="TMS"/>
    <s v="NATALIA RONGETTA"/>
    <s v="Marlon Marques dos Santos"/>
    <s v="Tms"/>
    <d v="2025-08-29T17:15:00"/>
    <n v="78342"/>
    <s v="-"/>
    <s v="OFF LINE"/>
    <s v="Invoice"/>
    <s v="Faturado"/>
    <x v="2"/>
    <s v="N"/>
    <x v="37"/>
    <s v="Aiuka"/>
    <s v="-"/>
    <s v="-"/>
    <s v="-"/>
    <x v="20"/>
    <s v="-"/>
    <x v="202"/>
    <n v="17.96"/>
    <n v="0"/>
    <n v="0"/>
    <n v="0"/>
    <n v="0"/>
    <n v="0"/>
    <s v="Reserva importada do Sistema TMS. OS: 78342"/>
    <s v="Fornecedor não preenchido! (ACC01)"/>
    <x v="2"/>
    <x v="0"/>
    <s v="Campo Fornecedor"/>
    <x v="0"/>
    <s v="Qualidade dos dados"/>
    <s v="KONTIK BUSINESS TRAVEL"/>
    <x v="1"/>
  </r>
  <r>
    <n v="22868099"/>
    <n v="23647178"/>
    <s v="ACC01"/>
    <x v="235"/>
    <d v="2025-09-11T13:45:30"/>
    <x v="3"/>
    <x v="1"/>
    <s v="5J9R1U"/>
    <s v="TMS"/>
    <s v="DOUGLAS LEITE"/>
    <s v="JOSE ALEXANDRE SOARES CALDAS"/>
    <s v="JOSE ALEXANDRE SOARES CALDAS"/>
    <d v="2025-09-04T09:57:00"/>
    <n v="79397"/>
    <s v="-"/>
    <s v="OFF LINE"/>
    <s v="Cartão de crédito"/>
    <s v="Cartão de crédito"/>
    <x v="2"/>
    <s v="N"/>
    <x v="37"/>
    <s v="Oceanpact Geociencias"/>
    <s v="-"/>
    <s v="-"/>
    <s v="-"/>
    <x v="30"/>
    <s v="-"/>
    <x v="203"/>
    <n v="0"/>
    <n v="0"/>
    <n v="0"/>
    <n v="0"/>
    <n v="0"/>
    <n v="0"/>
    <s v="Reserva importada do Sistema TMS. OS: 79397"/>
    <s v="Fornecedor não preenchido! (ACC01)"/>
    <x v="2"/>
    <x v="0"/>
    <s v="Campo Fornecedor"/>
    <x v="0"/>
    <s v="Qualidade dos dados"/>
    <s v="KONTIK BUSINESS TRAVEL"/>
    <x v="1"/>
  </r>
  <r>
    <n v="22854207"/>
    <n v="23635026"/>
    <s v="ACC01"/>
    <x v="236"/>
    <d v="2025-09-11T13:37:13"/>
    <x v="3"/>
    <x v="2"/>
    <s v="5JN1DE"/>
    <s v="TMS"/>
    <s v="FELIPE MATTOS"/>
    <s v="Nataly Franca Regal de Castro"/>
    <s v="Nataly Franca Regal de Castro"/>
    <d v="2025-09-02T10:55:00"/>
    <n v="78811"/>
    <s v="-"/>
    <s v="OFF LINE"/>
    <s v="Invoice"/>
    <s v="Faturado"/>
    <x v="2"/>
    <s v="N"/>
    <x v="37"/>
    <s v="Environpact Sustentabilidade e Resiliencia"/>
    <s v="-"/>
    <s v="-"/>
    <s v="-"/>
    <x v="30"/>
    <s v="-"/>
    <x v="204"/>
    <n v="0"/>
    <n v="0"/>
    <n v="0"/>
    <n v="0"/>
    <n v="0"/>
    <n v="0"/>
    <s v="Reserva importada do Sistema TMS. OS: 78811"/>
    <s v="Fornecedor não preenchido! (ACC01)"/>
    <x v="2"/>
    <x v="0"/>
    <s v="Campo Fornecedor"/>
    <x v="0"/>
    <s v="Qualidade dos dados"/>
    <s v="KONTIK BUSINESS TRAVEL"/>
    <x v="1"/>
  </r>
  <r>
    <n v="22872305"/>
    <n v="23651322"/>
    <s v="ACC01"/>
    <x v="237"/>
    <d v="2025-09-12T06:10:43"/>
    <x v="3"/>
    <x v="1"/>
    <s v="5JZJRI"/>
    <s v="TMS"/>
    <s v="MATHEUS BEZERRA MENDES"/>
    <s v="Tms"/>
    <s v="Tms"/>
    <d v="2025-09-04T15:04:00"/>
    <n v="79441"/>
    <s v="-"/>
    <s v="OFF LINE"/>
    <s v="Invoice"/>
    <s v="Faturado"/>
    <x v="2"/>
    <s v="N"/>
    <x v="37"/>
    <s v="Oceanpact Marau Navegacao"/>
    <s v="-"/>
    <s v="-"/>
    <s v="-"/>
    <x v="30"/>
    <s v="-"/>
    <x v="205"/>
    <n v="24.98"/>
    <n v="0"/>
    <n v="0"/>
    <n v="0"/>
    <n v="0"/>
    <n v="0"/>
    <s v="Reserva importada do Sistema TMS. OS: 79441"/>
    <s v="Fornecedor não preenchido! (ACC01)"/>
    <x v="2"/>
    <x v="0"/>
    <s v="Campo Fornecedor"/>
    <x v="0"/>
    <s v="Qualidade dos dados"/>
    <s v="KONTIK BUSINESS TRAVEL"/>
    <x v="1"/>
  </r>
  <r>
    <n v="22897767"/>
    <n v="23672652"/>
    <s v="ACC01"/>
    <x v="238"/>
    <d v="2025-09-11T14:18:22"/>
    <x v="3"/>
    <x v="0"/>
    <s v="5KKNID"/>
    <s v="TMS"/>
    <s v="JOAO DE MENDONCA"/>
    <s v="Nataly Franca Regal de Castro"/>
    <s v="Nataly Franca Regal de Castro"/>
    <d v="2025-09-09T15:07:00"/>
    <n v="80010"/>
    <s v="-"/>
    <s v="OFF LINE"/>
    <s v="Invoice"/>
    <s v="Faturado"/>
    <x v="2"/>
    <s v="N"/>
    <x v="37"/>
    <s v="Up Offshore Apoio Maritimo"/>
    <s v="-"/>
    <s v="-"/>
    <s v="-"/>
    <x v="30"/>
    <s v="-"/>
    <x v="206"/>
    <n v="0"/>
    <n v="0"/>
    <n v="0"/>
    <n v="0"/>
    <n v="0"/>
    <n v="0"/>
    <s v="Reserva importada do Sistema TMS. OS: 80010"/>
    <s v="Fornecedor não preenchido! (ACC01)"/>
    <x v="2"/>
    <x v="0"/>
    <s v="Campo Fornecedor"/>
    <x v="0"/>
    <s v="Qualidade dos dados"/>
    <s v="KONTIK BUSINESS TRAVEL"/>
    <x v="1"/>
  </r>
  <r>
    <n v="22911460"/>
    <n v="23684623"/>
    <s v="ACC01"/>
    <x v="239"/>
    <d v="2025-09-11T19:30:46"/>
    <x v="3"/>
    <x v="3"/>
    <s v="DGXYUST"/>
    <s v="SABRE"/>
    <s v="RODRIGUES ALVES DINIZ/LUCAS"/>
    <s v="WS"/>
    <s v="WS"/>
    <d v="2025-09-10T16:28:00"/>
    <s v="DGXYUS"/>
    <s v="-"/>
    <s v="ON LINE"/>
    <s v="Pagamento direto"/>
    <s v="Pagamento direto"/>
    <x v="0"/>
    <s v="N"/>
    <x v="38"/>
    <s v="Adidas do Brasil Ltda"/>
    <s v="-"/>
    <s v="-"/>
    <s v="-"/>
    <x v="15"/>
    <s v="-"/>
    <x v="207"/>
    <n v="32.86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10809"/>
    <n v="23683994"/>
    <s v="ACC01"/>
    <x v="240"/>
    <d v="2025-09-11T19:51:31"/>
    <x v="3"/>
    <x v="3"/>
    <s v="5KIEBJ"/>
    <s v="TMS"/>
    <s v="GERALDO MORENO"/>
    <s v="Tms"/>
    <s v="Tms"/>
    <d v="2025-09-11T16:00:00"/>
    <n v="26014"/>
    <s v="São Paulo / SAO"/>
    <s v="ON LINE"/>
    <s v="Invoice"/>
    <s v="Faturado"/>
    <x v="1"/>
    <s v="N"/>
    <x v="39"/>
    <s v="Enaex"/>
    <s v="-"/>
    <s v="-"/>
    <s v="-"/>
    <x v="31"/>
    <s v="-"/>
    <x v="208"/>
    <n v="0"/>
    <n v="0"/>
    <n v="0"/>
    <n v="0"/>
    <n v="0"/>
    <n v="0"/>
    <s v="Reserva importada do Sistema TMS. OS: 26014"/>
    <s v="Fornecedor não preenchido! (ACC01)"/>
    <x v="2"/>
    <x v="0"/>
    <s v="Campo Fornecedor"/>
    <x v="0"/>
    <s v="Qualidade dos dados"/>
    <s v="KONTIK BUSINESS TRAVEL"/>
    <x v="1"/>
  </r>
  <r>
    <n v="22910812"/>
    <n v="23683997"/>
    <s v="ACC01"/>
    <x v="241"/>
    <d v="2025-09-11T19:51:31"/>
    <x v="3"/>
    <x v="3"/>
    <s v="5KMFBU"/>
    <s v="TMS"/>
    <s v="PAULO SILVA"/>
    <s v="Tms"/>
    <s v="Tms"/>
    <d v="2025-09-11T16:59:00"/>
    <n v="26006"/>
    <s v="Campo Grande / CGR"/>
    <s v="ON LINE"/>
    <s v="Invoice"/>
    <s v="Faturado"/>
    <x v="1"/>
    <s v="N"/>
    <x v="39"/>
    <s v="Enaex"/>
    <s v="-"/>
    <s v="-"/>
    <s v="-"/>
    <x v="31"/>
    <s v="-"/>
    <x v="209"/>
    <n v="0"/>
    <n v="0"/>
    <n v="0"/>
    <n v="0"/>
    <n v="0"/>
    <n v="0"/>
    <s v="Reserva importada do Sistema TMS. OS: 26006"/>
    <s v="Fornecedor não preenchido! (ACC01)"/>
    <x v="2"/>
    <x v="0"/>
    <s v="Campo Fornecedor"/>
    <x v="0"/>
    <s v="Qualidade dos dados"/>
    <s v="KONTIK BUSINESS TRAVEL"/>
    <x v="1"/>
  </r>
  <r>
    <n v="22910814"/>
    <n v="23683999"/>
    <s v="ACC01"/>
    <x v="242"/>
    <d v="2025-09-11T19:51:36"/>
    <x v="3"/>
    <x v="3"/>
    <s v="5KXFMU"/>
    <s v="TMS"/>
    <s v="CLEITON FAGUNDES"/>
    <s v="Tms"/>
    <s v="Tms"/>
    <d v="2025-09-11T12:39:00"/>
    <n v="26001"/>
    <s v="Confins / CNF"/>
    <s v="ON LINE"/>
    <s v="Invoice"/>
    <s v="Faturado"/>
    <x v="1"/>
    <s v="N"/>
    <x v="39"/>
    <s v="Enaex"/>
    <s v="-"/>
    <s v="-"/>
    <s v="-"/>
    <x v="31"/>
    <s v="-"/>
    <x v="210"/>
    <n v="0"/>
    <n v="0"/>
    <n v="0"/>
    <n v="0"/>
    <n v="0"/>
    <n v="0"/>
    <s v="Reserva importada do Sistema TMS. OS: 26001"/>
    <s v="Fornecedor não preenchido! (ACC01)"/>
    <x v="2"/>
    <x v="0"/>
    <s v="Campo Fornecedor"/>
    <x v="0"/>
    <s v="Qualidade dos dados"/>
    <s v="KONTIK BUSINESS TRAVEL"/>
    <x v="1"/>
  </r>
  <r>
    <n v="22910818"/>
    <n v="23684003"/>
    <s v="ACC01"/>
    <x v="243"/>
    <d v="2025-09-11T19:51:41"/>
    <x v="3"/>
    <x v="3"/>
    <s v="5KR40J"/>
    <s v="TMS"/>
    <s v="LARISSA MORAES PERES"/>
    <s v="Tms"/>
    <s v="Tms"/>
    <d v="2025-09-11T14:12:00"/>
    <n v="25997"/>
    <s v="Maceio / MCZ"/>
    <s v="ON LINE"/>
    <s v="Invoice"/>
    <s v="Faturado"/>
    <x v="1"/>
    <s v="N"/>
    <x v="39"/>
    <s v="Enaex"/>
    <s v="-"/>
    <s v="-"/>
    <s v="-"/>
    <x v="31"/>
    <s v="-"/>
    <x v="211"/>
    <n v="0"/>
    <n v="0"/>
    <n v="0"/>
    <n v="0"/>
    <n v="0"/>
    <n v="0"/>
    <s v="Reserva importada do Sistema TMS. OS: 25997"/>
    <s v="Fornecedor não preenchido! (ACC01)"/>
    <x v="2"/>
    <x v="0"/>
    <s v="Campo Fornecedor"/>
    <x v="0"/>
    <s v="Qualidade dos dados"/>
    <s v="KONTIK BUSINESS TRAVEL"/>
    <x v="1"/>
  </r>
  <r>
    <n v="22910638"/>
    <n v="23683825"/>
    <s v="ACC01"/>
    <x v="244"/>
    <d v="2025-09-11T18:25:33"/>
    <x v="3"/>
    <x v="3"/>
    <s v="AV8DV5444J4A"/>
    <s v="GOVER"/>
    <s v="Gabriel DIAS LOPES"/>
    <s v="Ana Carolina da Silva"/>
    <s v="Ana Carolina da Silva"/>
    <d v="2025-09-11T18:20:00"/>
    <n v="4594923"/>
    <s v="Localiza - Br - Mg - Ouro Branco - Centro Endereço: Av Marisa de Sousa Mendes, 150"/>
    <s v="OFF LINE"/>
    <s v="Invoice"/>
    <s v="Faturado"/>
    <x v="1"/>
    <s v="N"/>
    <x v="40"/>
    <s v="Arcadis"/>
    <s v="-"/>
    <s v="-"/>
    <s v="-"/>
    <x v="32"/>
    <s v="-"/>
    <x v="212"/>
    <n v="0"/>
    <n v="0"/>
    <n v="0"/>
    <n v="0"/>
    <n v="0"/>
    <n v="0"/>
    <s v="Reserva importada do sistema Gover. Id: 4594923"/>
    <s v="Fornecedor não preenchido! (ACC01)"/>
    <x v="0"/>
    <x v="0"/>
    <s v="Campo Fornecedor"/>
    <x v="0"/>
    <s v="Qualidade dos dados"/>
    <s v="KONTIK BUSINESS TRAVEL"/>
    <x v="1"/>
  </r>
  <r>
    <n v="22856038"/>
    <n v="23636797"/>
    <s v="ACC01"/>
    <x v="245"/>
    <d v="2025-09-11T13:38:08"/>
    <x v="3"/>
    <x v="2"/>
    <s v="5J5O6C"/>
    <s v="TMS"/>
    <s v="DIOGO LUIZ CALIXTO DE ARAUJO"/>
    <s v="Tms"/>
    <s v="Tms"/>
    <d v="2025-09-02T17:56:00"/>
    <n v="84880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3"/>
    <n v="0"/>
    <n v="0"/>
    <n v="0"/>
    <n v="0"/>
    <n v="7.45"/>
    <n v="0"/>
    <s v="Reserva importada do Sistema TMS. OS: 84880"/>
    <s v="Fornecedor não preenchido! (ACC01)"/>
    <x v="2"/>
    <x v="0"/>
    <s v="Campo Fornecedor"/>
    <x v="0"/>
    <s v="Sistêmico"/>
    <s v="GRUPO KONTIK"/>
    <x v="0"/>
  </r>
  <r>
    <n v="22813308"/>
    <n v="23600132"/>
    <s v="ACC01"/>
    <x v="246"/>
    <d v="2025-09-11T13:27:30"/>
    <x v="3"/>
    <x v="4"/>
    <s v="5I5V7V"/>
    <s v="TMS"/>
    <s v="MICHEL SANTOS"/>
    <s v="Tms"/>
    <s v="Tms"/>
    <d v="2025-08-26T07:52:00"/>
    <n v="83770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4"/>
    <n v="0"/>
    <n v="0"/>
    <n v="0"/>
    <n v="0"/>
    <n v="26.5"/>
    <n v="0"/>
    <s v="Reserva importada do Sistema TMS. OS: 83770"/>
    <s v="Fornecedor não preenchido! (ACC01)"/>
    <x v="2"/>
    <x v="0"/>
    <s v="Campo Fornecedor"/>
    <x v="0"/>
    <s v="Sistêmico"/>
    <s v="GRUPO KONTIK"/>
    <x v="0"/>
  </r>
  <r>
    <n v="22808694"/>
    <n v="23596230"/>
    <s v="ACC01"/>
    <x v="247"/>
    <d v="2025-09-11T13:27:28"/>
    <x v="3"/>
    <x v="4"/>
    <s v="5IQDHE"/>
    <s v="TMS"/>
    <s v="SIMONE COELHO"/>
    <s v="Tms"/>
    <s v="Tms"/>
    <d v="2025-08-25T17:21:00"/>
    <n v="83677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5"/>
    <n v="0"/>
    <n v="0"/>
    <n v="0"/>
    <n v="0"/>
    <n v="27.5"/>
    <n v="0"/>
    <s v="Reserva importada do Sistema TMS. OS: 83677"/>
    <s v="Fornecedor não preenchido! (ACC01)"/>
    <x v="2"/>
    <x v="0"/>
    <s v="Campo Fornecedor"/>
    <x v="0"/>
    <s v="Sistêmico"/>
    <s v="GRUPO KONTIK"/>
    <x v="0"/>
  </r>
  <r>
    <n v="22890674"/>
    <n v="23666236"/>
    <s v="ACC01"/>
    <x v="248"/>
    <d v="2025-09-11T14:02:50"/>
    <x v="3"/>
    <x v="0"/>
    <s v="5KSR71"/>
    <s v="TMS"/>
    <s v="DANIEL ABEID"/>
    <s v="Tms"/>
    <s v="Tms"/>
    <d v="2025-09-08T15:48:00"/>
    <n v="86219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6"/>
    <n v="0"/>
    <n v="0"/>
    <n v="0"/>
    <n v="0"/>
    <n v="44.62"/>
    <n v="0"/>
    <s v="Reserva importada do Sistema TMS. OS: 86219"/>
    <s v="Fornecedor não preenchido! (ACC01)"/>
    <x v="2"/>
    <x v="0"/>
    <s v="Campo Fornecedor"/>
    <x v="0"/>
    <s v="Sistêmico"/>
    <s v="GRUPO KONTIK"/>
    <x v="0"/>
  </r>
  <r>
    <n v="22890697"/>
    <n v="23666255"/>
    <s v="ACC01"/>
    <x v="249"/>
    <d v="2025-09-11T14:02:50"/>
    <x v="3"/>
    <x v="0"/>
    <s v="5K3T7Q"/>
    <s v="TMS"/>
    <s v="DANIEL GOMES"/>
    <s v="Tms"/>
    <s v="Tms"/>
    <d v="2025-09-08T16:14:00"/>
    <n v="86143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7"/>
    <n v="0"/>
    <n v="0"/>
    <n v="0"/>
    <n v="0"/>
    <n v="0"/>
    <n v="0"/>
    <s v="Reserva importada do Sistema TMS. OS: 86143"/>
    <s v="Fornecedor não preenchido! (ACC01)"/>
    <x v="2"/>
    <x v="0"/>
    <s v="Campo Fornecedor"/>
    <x v="0"/>
    <s v="Sistêmico"/>
    <s v="GRUPO KONTIK"/>
    <x v="0"/>
  </r>
  <r>
    <n v="22890700"/>
    <n v="23666258"/>
    <s v="ACC01"/>
    <x v="250"/>
    <d v="2025-09-11T14:02:51"/>
    <x v="3"/>
    <x v="0"/>
    <s v="5K45JA"/>
    <s v="TMS"/>
    <s v="DANIEL GOMES"/>
    <s v="Tms"/>
    <s v="Tms"/>
    <d v="2025-09-08T16:14:00"/>
    <n v="86137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8"/>
    <n v="0"/>
    <n v="0"/>
    <n v="0"/>
    <n v="0"/>
    <n v="0"/>
    <n v="0"/>
    <s v="Reserva importada do Sistema TMS. OS: 86137"/>
    <s v="Fornecedor não preenchido! (ACC01)"/>
    <x v="2"/>
    <x v="0"/>
    <s v="Campo Fornecedor"/>
    <x v="0"/>
    <s v="Sistêmico"/>
    <s v="GRUPO KONTIK"/>
    <x v="0"/>
  </r>
  <r>
    <n v="22899047"/>
    <n v="23673746"/>
    <s v="ACC01"/>
    <x v="251"/>
    <d v="2025-09-11T14:21:40"/>
    <x v="3"/>
    <x v="3"/>
    <s v="5KIOZ4"/>
    <s v="TMS"/>
    <s v="VALERIA CABRAL"/>
    <s v="Tms"/>
    <s v="Tms"/>
    <d v="2025-09-09T20:18:00"/>
    <n v="86605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19"/>
    <n v="0"/>
    <n v="0"/>
    <n v="0"/>
    <n v="0"/>
    <n v="22.36"/>
    <n v="0"/>
    <s v="Reserva importada do Sistema TMS. OS: 86605"/>
    <s v="Fornecedor não preenchido! (ACC01)"/>
    <x v="2"/>
    <x v="0"/>
    <s v="Campo Fornecedor"/>
    <x v="0"/>
    <s v="Sistêmico"/>
    <s v="GRUPO KONTIK"/>
    <x v="0"/>
  </r>
  <r>
    <n v="22876999"/>
    <n v="23655600"/>
    <s v="ACC01"/>
    <x v="252"/>
    <d v="2025-09-11T13:55:08"/>
    <x v="3"/>
    <x v="1"/>
    <s v="5JLPYL"/>
    <s v="TMS"/>
    <s v="MEIRE SILVA"/>
    <s v="Tms"/>
    <s v="Tms"/>
    <d v="2025-09-05T14:29:00"/>
    <n v="82398"/>
    <s v="-"/>
    <s v="ON LINE"/>
    <s v="Pagamento direto"/>
    <s v="Pagamento direto"/>
    <x v="0"/>
    <s v="N"/>
    <x v="41"/>
    <s v="Ache Laboratorios Farmaceuticos Sa"/>
    <s v="-"/>
    <s v="-"/>
    <s v="-"/>
    <x v="33"/>
    <s v="-"/>
    <x v="220"/>
    <n v="0"/>
    <n v="0"/>
    <n v="0"/>
    <n v="0"/>
    <n v="0"/>
    <n v="0"/>
    <s v="Reserva importada do Sistema TMS. OS: 82398"/>
    <s v="Fornecedor não preenchido! (ACC01)"/>
    <x v="2"/>
    <x v="0"/>
    <s v="Campo Fornecedor"/>
    <x v="0"/>
    <s v="Sistêmico"/>
    <s v="GRUPO KONTIK"/>
    <x v="0"/>
  </r>
  <r>
    <n v="22910433"/>
    <n v="23683632"/>
    <s v="ACC01"/>
    <x v="253"/>
    <d v="2025-09-11T19:00:18"/>
    <x v="3"/>
    <x v="3"/>
    <s v="5KPJI6"/>
    <s v="TMS"/>
    <s v="DEBORA SILVA"/>
    <s v="Ariane de Sousa Farias"/>
    <s v="Ariane de Sousa Farias"/>
    <d v="2025-09-11T12:57:00"/>
    <n v="86054"/>
    <s v="-"/>
    <s v="OFF LINE"/>
    <s v="Pagamento direto"/>
    <s v="Pagamento direto"/>
    <x v="0"/>
    <s v="N"/>
    <x v="41"/>
    <s v="Ache Laboratorios Farmaceuticos Sa"/>
    <s v="-"/>
    <s v="-"/>
    <s v="-"/>
    <x v="33"/>
    <s v="-"/>
    <x v="221"/>
    <n v="0"/>
    <n v="0"/>
    <n v="0"/>
    <n v="0"/>
    <n v="2"/>
    <n v="0"/>
    <s v="Reserva importada do Sistema TMS. OS: 86054"/>
    <s v="Fornecedor não preenchido! (ACC01)"/>
    <x v="2"/>
    <x v="0"/>
    <s v="Campo Fornecedor"/>
    <x v="0"/>
    <s v="Qualidade dos dados"/>
    <s v="KONTIK BUSINESS TRAVEL"/>
    <x v="1"/>
  </r>
  <r>
    <n v="22912432"/>
    <n v="23685416"/>
    <s v="ACC01"/>
    <x v="254"/>
    <d v="2025-09-12T00:17:01"/>
    <x v="3"/>
    <x v="3"/>
    <s v="5KDE4J"/>
    <s v="TMS"/>
    <s v="MARCELO ALMEIDA"/>
    <s v="Ariane de Sousa Farias"/>
    <s v="Ariane de Sousa Farias"/>
    <d v="2025-09-11T18:44:00"/>
    <n v="85481"/>
    <s v="-"/>
    <s v="OFF LINE"/>
    <s v="Pagamento direto"/>
    <s v="Pagamento direto"/>
    <x v="0"/>
    <s v="N"/>
    <x v="41"/>
    <s v="Ache Laboratorios Farmaceuticos Sa"/>
    <s v="-"/>
    <s v="-"/>
    <s v="-"/>
    <x v="33"/>
    <s v="-"/>
    <x v="222"/>
    <n v="0"/>
    <n v="0"/>
    <n v="0"/>
    <n v="0"/>
    <n v="155"/>
    <n v="0"/>
    <s v="Reserva importada do Sistema TMS. OS: 85481"/>
    <s v="Fornecedor não preenchido! (ACC01)"/>
    <x v="2"/>
    <x v="0"/>
    <s v="Campo Fornecedor"/>
    <x v="0"/>
    <s v="Qualidade dos dados"/>
    <s v="KONTIK BUSINESS TRAVEL"/>
    <x v="1"/>
  </r>
  <r>
    <n v="22836594"/>
    <n v="23621254"/>
    <s v="ACC01"/>
    <x v="255"/>
    <d v="2025-09-11T13:36:22"/>
    <x v="3"/>
    <x v="2"/>
    <s v="5JIJHB"/>
    <s v="TMS"/>
    <s v="DENISE HILLS LOPES"/>
    <s v="Tms"/>
    <s v="Tms"/>
    <d v="2025-08-29T15:31:00"/>
    <n v="23248"/>
    <s v="-"/>
    <s v="ON LINE"/>
    <s v="Cartão de crédito"/>
    <s v="Cartão de crédito"/>
    <x v="0"/>
    <s v="N"/>
    <x v="42"/>
    <s v="Taesa Matriz"/>
    <s v="-"/>
    <s v="-"/>
    <s v="-"/>
    <x v="34"/>
    <s v="-"/>
    <x v="223"/>
    <n v="0"/>
    <n v="0"/>
    <n v="0"/>
    <n v="0"/>
    <n v="60.15"/>
    <n v="0"/>
    <s v="Reserva importada do Sistema TMS. OS: 23248"/>
    <s v="Fornecedor não preenchido! (ACC01)"/>
    <x v="2"/>
    <x v="0"/>
    <s v="Campo Fornecedor"/>
    <x v="0"/>
    <s v="Sistêmico"/>
    <s v="GRUPO KONTIK"/>
    <x v="0"/>
  </r>
  <r>
    <n v="22908578"/>
    <n v="23681861"/>
    <s v="ACC01"/>
    <x v="256"/>
    <d v="2025-09-11T14:46:21"/>
    <x v="3"/>
    <x v="3"/>
    <s v="5KNZTY"/>
    <s v="TMS"/>
    <s v="RODRIGO DIAS"/>
    <s v="Marcelo Ignacio de Lima"/>
    <s v="Marcelo Ignacio de Lima"/>
    <d v="2025-09-11T10:32:00"/>
    <n v="24111"/>
    <s v="-"/>
    <s v="OFF LINE"/>
    <s v="Cartão de crédito"/>
    <s v="Cartão de crédito"/>
    <x v="0"/>
    <s v="N"/>
    <x v="42"/>
    <s v="Taesa Matriz"/>
    <s v="-"/>
    <s v="-"/>
    <s v="-"/>
    <x v="34"/>
    <s v="-"/>
    <x v="224"/>
    <n v="0"/>
    <n v="0"/>
    <n v="0"/>
    <n v="0"/>
    <n v="235.03"/>
    <n v="0"/>
    <s v="Reserva importada do Sistema TMS. OS: 24111"/>
    <s v="Fornecedor não preenchido! (ACC01)"/>
    <x v="2"/>
    <x v="0"/>
    <s v="Campo Fornecedor"/>
    <x v="0"/>
    <s v="Qualidade dos dados"/>
    <s v="KONTIK BUSINESS TRAVEL"/>
    <x v="1"/>
  </r>
  <r>
    <n v="22850255"/>
    <n v="23631805"/>
    <s v="ACC01"/>
    <x v="257"/>
    <d v="2025-09-11T13:37:10"/>
    <x v="3"/>
    <x v="2"/>
    <s v="5JKATS"/>
    <s v="TMS"/>
    <s v="ARTUR DOS SANTOS"/>
    <s v="Tms"/>
    <s v="Tms"/>
    <d v="2025-09-01T17:05:00"/>
    <n v="23409"/>
    <s v="-"/>
    <s v="ON LINE"/>
    <s v="Cartão de crédito"/>
    <s v="Cartão de crédito"/>
    <x v="0"/>
    <s v="N"/>
    <x v="42"/>
    <s v="Ate Iii Transmissora de Energia Eletrica Sa"/>
    <s v="-"/>
    <s v="-"/>
    <s v="-"/>
    <x v="34"/>
    <s v="-"/>
    <x v="225"/>
    <n v="0"/>
    <n v="0"/>
    <n v="0"/>
    <n v="0"/>
    <n v="0"/>
    <n v="0"/>
    <s v="Reserva importada do Sistema TMS. OS: 23409"/>
    <s v="Fornecedor não preenchido! (ACC01)"/>
    <x v="2"/>
    <x v="0"/>
    <s v="Campo Fornecedor"/>
    <x v="0"/>
    <s v="Sistêmico"/>
    <s v="GRUPO KONTIK"/>
    <x v="0"/>
  </r>
  <r>
    <n v="22879226"/>
    <n v="23657557"/>
    <s v="ACC01"/>
    <x v="258"/>
    <d v="2025-09-12T06:10:43"/>
    <x v="3"/>
    <x v="1"/>
    <s v="5K6J3M"/>
    <s v="TMS"/>
    <s v="HELDON SOARES"/>
    <s v="Marcia Fernandes de Sousa"/>
    <s v="Marcelo Ignacio de Lima"/>
    <d v="2025-09-05T17:16:00"/>
    <n v="23518"/>
    <s v="-"/>
    <s v="OFF LINE"/>
    <s v="Invoice"/>
    <s v="Faturado"/>
    <x v="2"/>
    <s v="N"/>
    <x v="42"/>
    <s v="Nvt - Novatrans Energia"/>
    <s v="-"/>
    <s v="-"/>
    <s v="-"/>
    <x v="34"/>
    <s v="-"/>
    <x v="226"/>
    <n v="0"/>
    <n v="0"/>
    <n v="0"/>
    <n v="0"/>
    <n v="0"/>
    <n v="0"/>
    <s v="Reserva importada do Sistema TMS. OS: 23518"/>
    <s v="Fornecedor não preenchido! (ACC01)"/>
    <x v="2"/>
    <x v="0"/>
    <s v="Campo Fornecedor"/>
    <x v="0"/>
    <s v="Qualidade dos dados"/>
    <s v="KONTIK BUSINESS TRAVEL"/>
    <x v="1"/>
  </r>
  <r>
    <n v="22879228"/>
    <n v="23657559"/>
    <s v="ACC01"/>
    <x v="259"/>
    <d v="2025-09-12T06:10:44"/>
    <x v="3"/>
    <x v="1"/>
    <s v="5KK7CP"/>
    <s v="TMS"/>
    <s v="MARCOS SOUSA DE OLIVEIRA"/>
    <s v="Marcia Fernandes de Sousa"/>
    <s v="Marcia Fernandes de Sousa"/>
    <d v="2025-09-05T17:03:00"/>
    <n v="23482"/>
    <s v="-"/>
    <s v="OFF LINE"/>
    <s v="Invoice"/>
    <s v="Faturado"/>
    <x v="2"/>
    <s v="N"/>
    <x v="42"/>
    <s v="Nvt - Novatrans Energia"/>
    <s v="-"/>
    <s v="-"/>
    <s v="-"/>
    <x v="34"/>
    <s v="-"/>
    <x v="227"/>
    <n v="0"/>
    <n v="0"/>
    <n v="0"/>
    <n v="0"/>
    <n v="0"/>
    <n v="0"/>
    <s v="Reserva importada do Sistema TMS. OS: 23482"/>
    <s v="Fornecedor não preenchido! (ACC01)"/>
    <x v="2"/>
    <x v="0"/>
    <s v="Campo Fornecedor"/>
    <x v="0"/>
    <s v="Qualidade dos dados"/>
    <s v="KONTIK BUSINESS TRAVEL"/>
    <x v="1"/>
  </r>
  <r>
    <n v="22829518"/>
    <n v="23614943"/>
    <s v="ACC01"/>
    <x v="260"/>
    <d v="2025-08-29T08:25:11"/>
    <x v="2"/>
    <x v="2"/>
    <s v="CPOCYVT"/>
    <s v="SABRE"/>
    <s v="SIMON/PRISCILA MS"/>
    <s v="WS"/>
    <s v="WS"/>
    <d v="2025-08-28T13:38:00"/>
    <s v="CPOCYV"/>
    <s v="-"/>
    <s v="ON LINE"/>
    <s v="Cartão de crédito"/>
    <s v="Cartão de crédito"/>
    <x v="0"/>
    <s v="N"/>
    <x v="43"/>
    <s v="Sep Global Informacoes do Brasil Ltda"/>
    <s v="Cliente FEE no POS"/>
    <s v="-"/>
    <s v="-"/>
    <x v="6"/>
    <s v="-"/>
    <x v="228"/>
    <n v="52.1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88286"/>
    <n v="23663769"/>
    <s v="ACC01"/>
    <x v="261"/>
    <d v="2025-09-12T03:01:09"/>
    <x v="3"/>
    <x v="0"/>
    <s v="HVAXQGT"/>
    <s v="SABRE"/>
    <s v="DE SOUZA SAMPAIO/PAULO EDUARDO MR"/>
    <s v="WS"/>
    <s v="WS"/>
    <d v="2025-09-08T08:15:00"/>
    <s v="HVAXQG"/>
    <s v="-"/>
    <s v="ON LINE"/>
    <s v="Cartão de crédito"/>
    <s v="Cartão de crédito"/>
    <x v="0"/>
    <s v="N"/>
    <x v="43"/>
    <s v="Sep Global Informacoes do Brasil Ltda"/>
    <s v="Cliente FEE no POS"/>
    <s v="-"/>
    <s v="-"/>
    <x v="6"/>
    <s v="-"/>
    <x v="229"/>
    <n v="59.34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10833"/>
    <n v="23684016"/>
    <s v="ACC01"/>
    <x v="262"/>
    <d v="2025-09-11T19:55:50"/>
    <x v="3"/>
    <x v="3"/>
    <s v="5KE5PU"/>
    <s v="TMS"/>
    <s v="LUIZ OLIVEIRA"/>
    <s v="Tms"/>
    <s v="Tms"/>
    <d v="2025-09-11T12:28:00"/>
    <n v="3848"/>
    <s v="Porto Alegre / POA"/>
    <s v="ON LINE"/>
    <s v="Invoice"/>
    <s v="Faturado"/>
    <x v="1"/>
    <s v="N"/>
    <x v="44"/>
    <s v="Epson"/>
    <s v="-"/>
    <s v="-"/>
    <s v="-"/>
    <x v="21"/>
    <s v="-"/>
    <x v="230"/>
    <n v="0"/>
    <n v="0"/>
    <n v="0"/>
    <n v="0"/>
    <n v="0"/>
    <n v="0"/>
    <s v="Reserva importada do Sistema TMS. OS: 3848"/>
    <s v="Fornecedor não preenchido! (ACC01)"/>
    <x v="2"/>
    <x v="0"/>
    <s v="Campo Fornecedor"/>
    <x v="0"/>
    <s v="Qualidade dos dados"/>
    <s v="KONTIK BUSINESS TRAVEL"/>
    <x v="1"/>
  </r>
  <r>
    <n v="22870111"/>
    <n v="23649385"/>
    <s v="ACC01"/>
    <x v="263"/>
    <d v="2025-09-04T18:31:53"/>
    <x v="1"/>
    <x v="1"/>
    <s v="HEBNUZT"/>
    <s v="SABRE"/>
    <s v="SCHLIEPER/LUCIA PAULA MRS"/>
    <s v="CT"/>
    <s v="CT"/>
    <d v="2025-09-04T13:18:00"/>
    <s v="HEBNUZ"/>
    <s v="-"/>
    <s v="ON LINE"/>
    <s v="Cartão de crédito"/>
    <s v="Cartão de crédito"/>
    <x v="0"/>
    <s v="N"/>
    <x v="45"/>
    <s v="Livanova Brasil"/>
    <s v="-"/>
    <s v="-"/>
    <s v="-"/>
    <x v="6"/>
    <s v="-"/>
    <x v="231"/>
    <n v="130.74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70112"/>
    <n v="23649386"/>
    <s v="ACC01"/>
    <x v="264"/>
    <d v="2025-09-04T18:31:54"/>
    <x v="1"/>
    <x v="1"/>
    <s v="HCYKJUT"/>
    <s v="SABRE"/>
    <s v="VITOR/SHEILA RODRIGUES MRS"/>
    <s v="CT"/>
    <s v="CT"/>
    <d v="2025-09-04T12:54:00"/>
    <s v="HCYKJU"/>
    <s v="-"/>
    <s v="ON LINE"/>
    <s v="Cartão de crédito"/>
    <s v="Cartão de crédito"/>
    <x v="0"/>
    <s v="N"/>
    <x v="45"/>
    <s v="Livanova Brasil"/>
    <s v="-"/>
    <s v="-"/>
    <s v="-"/>
    <x v="6"/>
    <s v="-"/>
    <x v="232"/>
    <n v="130.72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70114"/>
    <n v="23649388"/>
    <s v="ACC01"/>
    <x v="265"/>
    <d v="2025-09-04T18:31:56"/>
    <x v="1"/>
    <x v="1"/>
    <s v="SYPVJFT"/>
    <s v="SABRE"/>
    <s v="SHIBATA/INACIO HIDEO MR"/>
    <s v="CT"/>
    <s v="CT"/>
    <d v="2025-09-04T12:49:00"/>
    <s v="SYPVJF"/>
    <s v="-"/>
    <s v="ON LINE"/>
    <s v="Cartão de crédito"/>
    <s v="Cartão de crédito"/>
    <x v="0"/>
    <s v="N"/>
    <x v="45"/>
    <s v="Livanova Brasil"/>
    <s v="-"/>
    <s v="-"/>
    <s v="-"/>
    <x v="6"/>
    <s v="-"/>
    <x v="233"/>
    <n v="108.74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70116"/>
    <n v="23649390"/>
    <s v="ACC01"/>
    <x v="266"/>
    <d v="2025-09-04T18:31:57"/>
    <x v="1"/>
    <x v="1"/>
    <s v="OKQNMET"/>
    <s v="SABRE"/>
    <s v="YOSHIKAWA/MARCIO AKIO"/>
    <s v="CT"/>
    <s v="CT"/>
    <d v="2025-09-04T12:42:00"/>
    <s v="OKQNME"/>
    <s v="-"/>
    <s v="ON LINE"/>
    <s v="Cartão de crédito"/>
    <s v="Cartão de crédito"/>
    <x v="0"/>
    <s v="N"/>
    <x v="45"/>
    <s v="Livanova Brasil"/>
    <s v="-"/>
    <s v="-"/>
    <s v="-"/>
    <x v="6"/>
    <s v="-"/>
    <x v="234"/>
    <n v="108.72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127"/>
    <n v="23679095"/>
    <s v="ACC01"/>
    <x v="267"/>
    <d v="2025-09-10T21:27:36"/>
    <x v="3"/>
    <x v="3"/>
    <s v="EVTEDFT"/>
    <s v="SABRE"/>
    <s v="MARINHO KOITLA/ANETE"/>
    <s v="Renata Rosenthal dos Santos"/>
    <s v="Renata Rosenthal dos Santos"/>
    <d v="2025-09-05T13:37:00"/>
    <s v="EVTEDF"/>
    <s v="-"/>
    <s v="ON LINE"/>
    <s v="Cartão de crédito"/>
    <s v="Cartão de crédito"/>
    <x v="0"/>
    <s v="N"/>
    <x v="45"/>
    <s v="Livanova Brasil"/>
    <s v="-"/>
    <s v="-"/>
    <s v="-"/>
    <x v="6"/>
    <s v="-"/>
    <x v="23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2"/>
  </r>
  <r>
    <n v="22898207"/>
    <n v="23673065"/>
    <s v="ACC01"/>
    <x v="268"/>
    <d v="2025-09-11T14:20:47"/>
    <x v="3"/>
    <x v="0"/>
    <s v="5KSBQV"/>
    <s v="TMS"/>
    <s v="SIDNEI SANTANA"/>
    <s v="Tms"/>
    <s v="Tms"/>
    <d v="2025-09-09T14:29:00"/>
    <n v="27976"/>
    <s v="Lucas do Rio Verde / LVR"/>
    <s v="ON LINE"/>
    <s v="Invoice"/>
    <s v="Faturado"/>
    <x v="1"/>
    <s v="N"/>
    <x v="46"/>
    <s v="Pagseguro Internet Instituicao de Pagamento S.a."/>
    <s v="-"/>
    <s v="-"/>
    <s v="-"/>
    <x v="35"/>
    <s v="-"/>
    <x v="236"/>
    <n v="0"/>
    <n v="0"/>
    <n v="0"/>
    <n v="0"/>
    <n v="0"/>
    <n v="0"/>
    <s v="Reserva importada do Sistema TMS. OS: 27976"/>
    <s v="Fornecedor não preenchido! (ACC01)"/>
    <x v="2"/>
    <x v="0"/>
    <s v="Campo Fornecedor"/>
    <x v="0"/>
    <s v="Qualidade dos dados"/>
    <s v="KONTIK BUSINESS TRAVEL"/>
    <x v="1"/>
  </r>
  <r>
    <n v="22861468"/>
    <n v="23641462"/>
    <s v="ACC01"/>
    <x v="269"/>
    <d v="2025-09-03T13:40:38"/>
    <x v="2"/>
    <x v="2"/>
    <s v="MV2FU13M5OBR"/>
    <s v="GOVER"/>
    <s v="Icaro Alexandre Bortolin"/>
    <s v="Michelly Andrade Leandro da Silva"/>
    <s v="Michelly Andrade Leandro da Silva"/>
    <d v="2025-09-03T13:26:00"/>
    <n v="4591950"/>
    <s v="Movida - Br - Sp - Sao Paulo - Itaim Bibi - Joa Fl Endereço: Av. Pres. Juscelino Kubitschek, 881"/>
    <s v="OFF LINE"/>
    <s v="Invoice"/>
    <s v="Faturado"/>
    <x v="1"/>
    <s v="N"/>
    <x v="47"/>
    <s v="Winity"/>
    <s v="-"/>
    <s v="-"/>
    <s v="-"/>
    <x v="36"/>
    <s v="-"/>
    <x v="237"/>
    <n v="0"/>
    <n v="0"/>
    <n v="0"/>
    <n v="0"/>
    <n v="0"/>
    <n v="0"/>
    <s v="Reserva importada do sistema Gover. Id: 4591950"/>
    <s v="Fornecedor não preenchido! (ACC01)"/>
    <x v="0"/>
    <x v="0"/>
    <s v="Campo Fornecedor"/>
    <x v="0"/>
    <s v="Qualidade dos dados"/>
    <s v="KONTIK BUSINESS TRAVEL"/>
    <x v="1"/>
  </r>
  <r>
    <n v="22903246"/>
    <n v="23677338"/>
    <s v="ACC01"/>
    <x v="270"/>
    <d v="2025-09-11T04:16:49"/>
    <x v="3"/>
    <x v="3"/>
    <s v="EOSUZM"/>
    <s v="GOVER"/>
    <s v="Dieres Goncalves Rocha"/>
    <s v="Gover"/>
    <s v="Gover"/>
    <d v="2025-09-10T15:42:00"/>
    <n v="4595581"/>
    <s v="-"/>
    <s v="ON LINE"/>
    <s v="Cartão de crédito"/>
    <s v="Cartão de crédito"/>
    <x v="0"/>
    <s v="N"/>
    <x v="48"/>
    <s v="Souza Cruz"/>
    <s v="-"/>
    <s v="-"/>
    <s v="-"/>
    <x v="37"/>
    <s v="-"/>
    <x v="238"/>
    <n v="28.3"/>
    <n v="0"/>
    <n v="0"/>
    <n v="0"/>
    <n v="0"/>
    <n v="0"/>
    <s v="Reserva importada do sistema Gover. Id: 4595581"/>
    <s v="Fornecedor não preenchido! (ACC01)"/>
    <x v="0"/>
    <x v="0"/>
    <s v="Campo Fornecedor"/>
    <x v="0"/>
    <s v="Sistêmico"/>
    <s v="GRUPO KONTIK"/>
    <x v="0"/>
  </r>
  <r>
    <n v="22903247"/>
    <n v="23677339"/>
    <s v="ACC01"/>
    <x v="271"/>
    <d v="2025-09-11T04:16:51"/>
    <x v="3"/>
    <x v="3"/>
    <s v="MHJOSJ"/>
    <s v="GOVER"/>
    <s v="Dieres Goncalves Rocha"/>
    <s v="Gover"/>
    <s v="Gover"/>
    <d v="2025-09-10T15:45:00"/>
    <n v="4595589"/>
    <s v="-"/>
    <s v="ON LINE"/>
    <s v="Cartão de crédito"/>
    <s v="Cartão de crédito"/>
    <x v="0"/>
    <s v="N"/>
    <x v="48"/>
    <s v="Souza Cruz"/>
    <s v="-"/>
    <s v="-"/>
    <s v="-"/>
    <x v="37"/>
    <s v="-"/>
    <x v="238"/>
    <n v="28.3"/>
    <n v="0"/>
    <n v="0"/>
    <n v="0"/>
    <n v="0"/>
    <n v="0"/>
    <s v="Reserva importada do sistema Gover. Id: 4595589"/>
    <s v="Fornecedor não preenchido! (ACC01)"/>
    <x v="0"/>
    <x v="0"/>
    <s v="Campo Fornecedor"/>
    <x v="0"/>
    <s v="Sistêmico"/>
    <s v="GRUPO KONTIK"/>
    <x v="0"/>
  </r>
  <r>
    <n v="22901242"/>
    <n v="23675401"/>
    <s v="ACC01"/>
    <x v="272"/>
    <d v="2025-09-11T03:49:11"/>
    <x v="3"/>
    <x v="3"/>
    <s v="WDSAMB"/>
    <s v="GOVER"/>
    <s v="IMAD UD DIN MUHAMMAD"/>
    <s v="Gover"/>
    <s v="Gover"/>
    <d v="2025-09-10T11:14:00"/>
    <n v="4595363"/>
    <s v="-"/>
    <s v="OFF LINE"/>
    <s v="Invoice"/>
    <s v="Faturado"/>
    <x v="0"/>
    <s v="N"/>
    <x v="48"/>
    <s v="Souza Cruz"/>
    <s v="-"/>
    <s v="-"/>
    <s v="-"/>
    <x v="37"/>
    <s v="-"/>
    <x v="239"/>
    <n v="0"/>
    <n v="0"/>
    <n v="0"/>
    <n v="0"/>
    <n v="0"/>
    <n v="0"/>
    <s v="Reserva importada do sistema Gover. Id: 4595363"/>
    <s v="Fornecedor não preenchido! (ACC01)"/>
    <x v="0"/>
    <x v="0"/>
    <s v="Campo Fornecedor"/>
    <x v="0"/>
    <s v="Sistêmico"/>
    <s v="GRUPO KONTIK"/>
    <x v="0"/>
  </r>
  <r>
    <n v="22896637"/>
    <n v="23671556"/>
    <s v="ACC01"/>
    <x v="273"/>
    <d v="2025-09-10T03:48:59"/>
    <x v="3"/>
    <x v="0"/>
    <s v="RES003203-15153"/>
    <s v="GOVER"/>
    <s v="Marcos Ribeiro Cabral"/>
    <s v="Gover"/>
    <s v="Gover"/>
    <d v="2025-09-09T16:43:00"/>
    <n v="4595035"/>
    <s v="-"/>
    <s v="ON LINE"/>
    <s v="Cartão de crédito"/>
    <s v="Cartão de crédito"/>
    <x v="0"/>
    <s v="N"/>
    <x v="48"/>
    <s v="Souza Cruz"/>
    <s v="-"/>
    <s v="-"/>
    <s v="-"/>
    <x v="37"/>
    <s v="-"/>
    <x v="240"/>
    <n v="37.35"/>
    <n v="0"/>
    <n v="0"/>
    <n v="0"/>
    <n v="0"/>
    <n v="0"/>
    <s v="Reserva importada do sistema Gover. Id: 4595035"/>
    <s v="Fornecedor não preenchido! (ACC01)"/>
    <x v="0"/>
    <x v="0"/>
    <s v="Campo Fornecedor"/>
    <x v="0"/>
    <s v="Sistêmico"/>
    <s v="GRUPO KONTIK"/>
    <x v="0"/>
  </r>
  <r>
    <n v="22903053"/>
    <n v="23677158"/>
    <s v="ACC01"/>
    <x v="274"/>
    <d v="2025-09-11T04:09:48"/>
    <x v="3"/>
    <x v="3"/>
    <s v="HKNYHY"/>
    <s v="GOVER"/>
    <s v="Diego Antunes Campos"/>
    <s v="Jose Luiz Lace Rodrigues"/>
    <s v="Jose Luiz Lace Rodrigues"/>
    <d v="2025-09-10T16:18:00"/>
    <n v="4595597"/>
    <s v="-"/>
    <s v="OFF LINE"/>
    <s v="Pagamento direto"/>
    <s v="Pagamento direto"/>
    <x v="0"/>
    <s v="N"/>
    <x v="48"/>
    <s v="Souza Cruz"/>
    <s v="-"/>
    <s v="-"/>
    <s v="-"/>
    <x v="37"/>
    <s v="-"/>
    <x v="241"/>
    <n v="0"/>
    <n v="0"/>
    <n v="0"/>
    <n v="0"/>
    <n v="0"/>
    <n v="0"/>
    <s v="Reserva importada do sistema Gover. Id: 4595597"/>
    <s v="Fornecedor não preenchido! (ACC01)"/>
    <x v="0"/>
    <x v="0"/>
    <s v="Campo Fornecedor"/>
    <x v="0"/>
    <s v="Sistêmico"/>
    <s v="GRUPO KONTIK"/>
    <x v="0"/>
  </r>
  <r>
    <n v="22903596"/>
    <n v="23677671"/>
    <s v="ACC01"/>
    <x v="275"/>
    <d v="2025-09-11T04:35:33"/>
    <x v="3"/>
    <x v="3"/>
    <s v="CF-8646ZIT0506"/>
    <s v="GOVER"/>
    <s v="David Jackson Vieira Borges"/>
    <s v="Sheila Ramos dos Santos"/>
    <s v="Sheila Ramos dos Santos"/>
    <d v="2025-09-10T17:55:00"/>
    <n v="4595168"/>
    <s v="-"/>
    <s v="OFF LINE"/>
    <s v="Cartão de crédito"/>
    <s v="Cartão de crédito"/>
    <x v="0"/>
    <s v="N"/>
    <x v="48"/>
    <s v="Souza Cruz"/>
    <s v="-"/>
    <s v="-"/>
    <s v="-"/>
    <x v="37"/>
    <s v="-"/>
    <x v="242"/>
    <n v="0"/>
    <n v="0"/>
    <n v="0"/>
    <n v="0"/>
    <n v="0"/>
    <n v="0"/>
    <s v="Reserva importada do sistema Gover. Id: 4595168"/>
    <s v="Fornecedor não preenchido! (ACC01)"/>
    <x v="0"/>
    <x v="0"/>
    <s v="Campo Fornecedor"/>
    <x v="0"/>
    <s v="Sistêmico"/>
    <s v="GRUPO KONTIK"/>
    <x v="0"/>
  </r>
  <r>
    <n v="22889820"/>
    <n v="23665317"/>
    <s v="ACC01"/>
    <x v="276"/>
    <d v="2025-09-08T15:24:30"/>
    <x v="0"/>
    <x v="0"/>
    <s v="WQMDXCC"/>
    <s v="SABRE"/>
    <s v="FERNANDES/PEDRO FOIS MR"/>
    <s v="CT"/>
    <s v="CT"/>
    <d v="2025-09-08T09:14:00"/>
    <s v="WQMDXC"/>
    <s v="BHZ"/>
    <s v="ON LINE"/>
    <s v="Invoice"/>
    <s v="Faturado"/>
    <x v="1"/>
    <s v="N"/>
    <x v="49"/>
    <s v="Innomotics Motores e Grandes Conversores Ltda"/>
    <s v="-"/>
    <s v="-"/>
    <s v="-"/>
    <x v="6"/>
    <s v="-"/>
    <x v="243"/>
    <n v="235.12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9649"/>
    <n v="23682893"/>
    <s v="ACC01"/>
    <x v="277"/>
    <d v="2025-09-11T16:19:37"/>
    <x v="3"/>
    <x v="3"/>
    <s v="GDZQCCT"/>
    <s v="SABRE"/>
    <s v="SOUZA/MARCELA TRIGO DE MRS"/>
    <s v="CORA TORLAI CIRINO"/>
    <s v="CORA TORLAI CIRINO"/>
    <d v="2025-09-11T13:08:00"/>
    <s v="GDZQCC"/>
    <s v="-"/>
    <s v="OFF LINE"/>
    <s v="Cartão de crédito"/>
    <s v="Cartão de crédito"/>
    <x v="0"/>
    <s v="N"/>
    <x v="50"/>
    <s v="Baker Mckenzie - Rio de Janeiro"/>
    <s v="-"/>
    <s v="-"/>
    <s v="-"/>
    <x v="6"/>
    <s v="-"/>
    <x v="244"/>
    <n v="620.91999999999996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9650"/>
    <n v="23682894"/>
    <s v="ACC01"/>
    <x v="278"/>
    <d v="2025-09-11T16:19:38"/>
    <x v="3"/>
    <x v="3"/>
    <s v="AULKGDT"/>
    <s v="SABRE"/>
    <s v="CASAGRANDE/PAULO LEONARDO MR"/>
    <s v="CORA TORLAI CIRINO"/>
    <s v="CORA TORLAI CIRINO"/>
    <d v="2025-09-11T13:48:00"/>
    <s v="AULKGD"/>
    <s v="-"/>
    <s v="OFF LINE"/>
    <s v="Invoice"/>
    <s v="Faturado"/>
    <x v="0"/>
    <s v="N"/>
    <x v="50"/>
    <s v="Baker Mckenzie - Sao Paulo"/>
    <s v="-"/>
    <s v="-"/>
    <s v="-"/>
    <x v="6"/>
    <s v="-"/>
    <x v="24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50"/>
    <n v="23679605"/>
    <s v="ACC01"/>
    <x v="279"/>
    <d v="2025-09-10T22:57:47"/>
    <x v="3"/>
    <x v="3"/>
    <s v="EJSKVAT"/>
    <s v="SABRE"/>
    <s v="BENITES/SANDRA"/>
    <s v="Ana Clara Brime"/>
    <s v="Ana Clara Brime"/>
    <d v="2025-09-09T13:45:00"/>
    <s v="LDK4"/>
    <s v="-"/>
    <s v="OFF LINE"/>
    <s v="Cartão de crédito"/>
    <s v="Cartão de crédito"/>
    <x v="0"/>
    <s v="N"/>
    <x v="51"/>
    <s v="Grupo Casas Bahia S.a."/>
    <s v="-"/>
    <s v="-"/>
    <s v="-"/>
    <x v="38"/>
    <s v="-"/>
    <x v="24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52"/>
    <n v="23679607"/>
    <s v="ACC01"/>
    <x v="280"/>
    <d v="2025-09-10T22:57:51"/>
    <x v="3"/>
    <x v="3"/>
    <s v="NARMXJT"/>
    <s v="SABRE"/>
    <s v="SILVA/WELLINGTON"/>
    <s v="Ana Clara Brime"/>
    <s v="Ana Clara Brime"/>
    <d v="2025-09-09T14:10:00"/>
    <s v="LDGJ"/>
    <s v="-"/>
    <s v="OFF LINE"/>
    <s v="Cartão de crédito"/>
    <s v="Cartão de crédito"/>
    <x v="0"/>
    <s v="N"/>
    <x v="51"/>
    <s v="Grupo Casas Bahia S.a."/>
    <s v="-"/>
    <s v="-"/>
    <s v="-"/>
    <x v="38"/>
    <s v="-"/>
    <x v="24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54"/>
    <n v="23679609"/>
    <s v="ACC01"/>
    <x v="281"/>
    <d v="2025-09-10T22:57:54"/>
    <x v="3"/>
    <x v="3"/>
    <s v="OGMVHUT"/>
    <s v="SABRE"/>
    <s v="RONDON/LIDIANE"/>
    <s v="Ana Clara Brime"/>
    <s v="Ana Clara Brime"/>
    <d v="2025-09-09T14:21:00"/>
    <s v="LDLK"/>
    <s v="-"/>
    <s v="OFF LINE"/>
    <s v="Cartão de crédito"/>
    <s v="Cartão de crédito"/>
    <x v="0"/>
    <s v="N"/>
    <x v="51"/>
    <s v="Grupo Casas Bahia S.a."/>
    <s v="-"/>
    <s v="-"/>
    <s v="-"/>
    <x v="38"/>
    <s v="-"/>
    <x v="248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55"/>
    <n v="23679610"/>
    <s v="ACC01"/>
    <x v="282"/>
    <d v="2025-09-10T22:57:55"/>
    <x v="3"/>
    <x v="3"/>
    <s v="EUBJZLT"/>
    <s v="SABRE"/>
    <s v="SILVA/WELLINGTON"/>
    <s v="Ana Clara Brime"/>
    <s v="Ana Clara Brime"/>
    <d v="2025-09-09T14:28:00"/>
    <s v="LDGF"/>
    <s v="-"/>
    <s v="OFF LINE"/>
    <s v="Cartão de crédito"/>
    <s v="Cartão de crédito"/>
    <x v="0"/>
    <s v="N"/>
    <x v="51"/>
    <s v="Grupo Casas Bahia S.a."/>
    <s v="-"/>
    <s v="-"/>
    <s v="-"/>
    <x v="38"/>
    <s v="-"/>
    <x v="249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56"/>
    <n v="23679611"/>
    <s v="ACC01"/>
    <x v="283"/>
    <d v="2025-09-10T22:57:55"/>
    <x v="3"/>
    <x v="3"/>
    <s v="NCRPMDT"/>
    <s v="SABRE"/>
    <s v="RONDON/LIDIANE"/>
    <s v="Ana Clara Brime"/>
    <s v="Ana Clara Brime"/>
    <d v="2025-09-09T14:30:00"/>
    <s v="LDLJ"/>
    <s v="-"/>
    <s v="OFF LINE"/>
    <s v="Cartão de crédito"/>
    <s v="Cartão de crédito"/>
    <x v="0"/>
    <s v="N"/>
    <x v="51"/>
    <s v="Grupo Casas Bahia S.a."/>
    <s v="-"/>
    <s v="-"/>
    <s v="-"/>
    <x v="38"/>
    <s v="-"/>
    <x v="250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57"/>
    <n v="23679612"/>
    <s v="ACC01"/>
    <x v="284"/>
    <d v="2025-09-10T22:57:56"/>
    <x v="3"/>
    <x v="3"/>
    <s v="WIVHNNT"/>
    <s v="SABRE"/>
    <s v="OLIVEIRA/HANNON"/>
    <s v="Ana Clara Brime"/>
    <s v="Ana Clara Brime"/>
    <d v="2025-09-09T14:35:00"/>
    <s v="LDMT"/>
    <s v="-"/>
    <s v="OFF LINE"/>
    <s v="Cartão de crédito"/>
    <s v="Cartão de crédito"/>
    <x v="0"/>
    <s v="N"/>
    <x v="51"/>
    <s v="Grupo Casas Bahia S.a."/>
    <s v="-"/>
    <s v="-"/>
    <s v="-"/>
    <x v="38"/>
    <s v="-"/>
    <x v="251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61"/>
    <n v="23679616"/>
    <s v="ACC01"/>
    <x v="285"/>
    <d v="2025-09-10T22:58:06"/>
    <x v="3"/>
    <x v="3"/>
    <s v="WKZFXOT"/>
    <s v="SABRE"/>
    <s v="BRACCINI/FERNANDA"/>
    <s v="Ana Clara Brime"/>
    <s v="Ana Clara Brime"/>
    <d v="2025-09-09T14:46:00"/>
    <s v="LDP7"/>
    <s v="-"/>
    <s v="OFF LINE"/>
    <s v="Cartão de crédito"/>
    <s v="Cartão de crédito"/>
    <x v="0"/>
    <s v="N"/>
    <x v="51"/>
    <s v="Grupo Casas Bahia S.a."/>
    <s v="-"/>
    <s v="-"/>
    <s v="-"/>
    <x v="38"/>
    <s v="-"/>
    <x v="252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64"/>
    <n v="23679619"/>
    <s v="ACC01"/>
    <x v="286"/>
    <d v="2025-09-10T22:58:13"/>
    <x v="3"/>
    <x v="3"/>
    <s v="WJZBWUT"/>
    <s v="SABRE"/>
    <s v="FERREIRA/FELIPE"/>
    <s v="Ana Clara Brime"/>
    <s v="Ana Clara Brime"/>
    <d v="2025-09-09T15:53:00"/>
    <s v="LDFL"/>
    <s v="-"/>
    <s v="OFF LINE"/>
    <s v="Cartão de crédito"/>
    <s v="Cartão de crédito"/>
    <x v="0"/>
    <s v="N"/>
    <x v="51"/>
    <s v="Grupo Casas Bahia S.a."/>
    <s v="-"/>
    <s v="-"/>
    <s v="-"/>
    <x v="38"/>
    <s v="-"/>
    <x v="25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76"/>
    <n v="23679631"/>
    <s v="ACC01"/>
    <x v="287"/>
    <d v="2025-09-10T23:06:17"/>
    <x v="3"/>
    <x v="3"/>
    <s v="SUWQBKT"/>
    <s v="SABRE"/>
    <s v="SILVA/RAFAEL"/>
    <s v="Ana Clara Brime"/>
    <s v="Ana Clara Brime"/>
    <d v="2025-09-10T12:56:00"/>
    <s v="LDXD"/>
    <s v="-"/>
    <s v="OFF LINE"/>
    <s v="Cartão de crédito"/>
    <s v="Cartão de crédito"/>
    <x v="0"/>
    <s v="N"/>
    <x v="51"/>
    <s v="Grupo Casas Bahia S.a."/>
    <s v="-"/>
    <s v="-"/>
    <s v="-"/>
    <x v="38"/>
    <s v="-"/>
    <x v="25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83"/>
    <n v="23679640"/>
    <s v="ACC01"/>
    <x v="288"/>
    <d v="2025-09-10T23:06:49"/>
    <x v="3"/>
    <x v="3"/>
    <s v="MGBBMET"/>
    <s v="SABRE"/>
    <s v="AJIKI/ALINE"/>
    <s v="Ana Clara Brime"/>
    <s v="Ana Clara Brime"/>
    <d v="2025-09-10T13:36:00"/>
    <s v="LDWJ"/>
    <s v="-"/>
    <s v="OFF LINE"/>
    <s v="Cartão de crédito"/>
    <s v="Cartão de crédito"/>
    <x v="0"/>
    <s v="N"/>
    <x v="51"/>
    <s v="Grupo Casas Bahia S.a."/>
    <s v="-"/>
    <s v="-"/>
    <s v="-"/>
    <x v="38"/>
    <s v="-"/>
    <x v="25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91"/>
    <n v="23679648"/>
    <s v="ACC01"/>
    <x v="289"/>
    <d v="2025-09-10T23:07:04"/>
    <x v="3"/>
    <x v="3"/>
    <s v="DGUOHCT"/>
    <s v="SABRE"/>
    <s v="SEGATTO/FERNANDO"/>
    <s v="Ana Clara Brime"/>
    <s v="Ana Clara Brime"/>
    <d v="2025-09-10T14:50:00"/>
    <s v="LDY3"/>
    <s v="-"/>
    <s v="OFF LINE"/>
    <s v="Cartão de crédito"/>
    <s v="Cartão de crédito"/>
    <x v="0"/>
    <s v="N"/>
    <x v="51"/>
    <s v="Grupo Casas Bahia S.a."/>
    <s v="-"/>
    <s v="-"/>
    <s v="-"/>
    <x v="38"/>
    <s v="-"/>
    <x v="25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92"/>
    <n v="23679649"/>
    <s v="ACC01"/>
    <x v="290"/>
    <d v="2025-09-10T23:07:04"/>
    <x v="3"/>
    <x v="3"/>
    <s v="DFZRIAT"/>
    <s v="SABRE"/>
    <s v="MORAIS/THIAGO"/>
    <s v="Ana Clara Brime"/>
    <s v="Ana Clara Brime"/>
    <d v="2025-09-10T14:56:00"/>
    <s v="LDXY"/>
    <s v="-"/>
    <s v="OFF LINE"/>
    <s v="Cartão de crédito"/>
    <s v="Cartão de crédito"/>
    <x v="0"/>
    <s v="N"/>
    <x v="51"/>
    <s v="Grupo Casas Bahia S.a."/>
    <s v="-"/>
    <s v="-"/>
    <s v="-"/>
    <x v="38"/>
    <s v="-"/>
    <x v="25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9749"/>
    <n v="23682991"/>
    <s v="ACC01"/>
    <x v="291"/>
    <d v="2025-09-11T16:32:19"/>
    <x v="3"/>
    <x v="3"/>
    <s v="MYCDZYT"/>
    <s v="SABRE"/>
    <s v="SILVA/GERLANDIA"/>
    <s v="Ana Clara Brime"/>
    <s v="Ana Clara Brime"/>
    <d v="2025-09-11T13:55:00"/>
    <s v="LDVV"/>
    <s v="-"/>
    <s v="OFF LINE"/>
    <s v="Cartão de crédito"/>
    <s v="Cartão de crédito"/>
    <x v="0"/>
    <s v="N"/>
    <x v="51"/>
    <s v="Grupo Casas Bahia S.a."/>
    <s v="-"/>
    <s v="-"/>
    <s v="-"/>
    <x v="38"/>
    <s v="-"/>
    <x v="258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1527"/>
    <n v="23684687"/>
    <s v="ACC01"/>
    <x v="292"/>
    <d v="2025-09-11T19:41:25"/>
    <x v="3"/>
    <x v="3"/>
    <s v="ASJFUET"/>
    <s v="SABRE"/>
    <s v="SANTOS/MILSON"/>
    <s v="Ana Clara Brime"/>
    <s v="Ana Clara Brime"/>
    <d v="2025-09-11T14:40:00"/>
    <s v="LDTP"/>
    <s v="-"/>
    <s v="OFF LINE"/>
    <s v="Cartão de crédito"/>
    <s v="Cartão de crédito"/>
    <x v="0"/>
    <s v="N"/>
    <x v="51"/>
    <s v="Grupo Casas Bahia S.a."/>
    <s v="-"/>
    <s v="-"/>
    <s v="-"/>
    <x v="38"/>
    <s v="-"/>
    <x v="259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1532"/>
    <n v="23684689"/>
    <s v="ACC01"/>
    <x v="293"/>
    <d v="2025-09-11T19:41:26"/>
    <x v="3"/>
    <x v="3"/>
    <s v="EHAAHRT"/>
    <s v="SABRE"/>
    <s v="SANTOS/MILSON"/>
    <s v="Ana Clara Brime"/>
    <s v="Ana Clara Brime"/>
    <d v="2025-09-11T14:42:00"/>
    <s v="LDTV"/>
    <s v="-"/>
    <s v="OFF LINE"/>
    <s v="Cartão de crédito"/>
    <s v="Cartão de crédito"/>
    <x v="0"/>
    <s v="N"/>
    <x v="51"/>
    <s v="Grupo Casas Bahia S.a."/>
    <s v="-"/>
    <s v="-"/>
    <s v="-"/>
    <x v="38"/>
    <s v="-"/>
    <x v="260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1534"/>
    <n v="23684691"/>
    <s v="ACC01"/>
    <x v="294"/>
    <d v="2025-09-11T19:41:26"/>
    <x v="3"/>
    <x v="3"/>
    <s v="EWHTCWT"/>
    <s v="SABRE"/>
    <s v="VERONESE/FABIANO"/>
    <s v="Ana Clara Brime"/>
    <s v="Ana Clara Brime"/>
    <d v="2025-09-11T15:07:00"/>
    <s v="LF3C"/>
    <s v="-"/>
    <s v="ON LINE"/>
    <s v="Cartão de crédito"/>
    <s v="Cartão de crédito"/>
    <x v="0"/>
    <s v="N"/>
    <x v="51"/>
    <s v="Grupo Casas Bahia S.a."/>
    <s v="-"/>
    <s v="-"/>
    <s v="-"/>
    <x v="38"/>
    <s v="-"/>
    <x v="261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3"/>
  </r>
  <r>
    <n v="22911536"/>
    <n v="23684693"/>
    <s v="ACC01"/>
    <x v="295"/>
    <d v="2025-09-11T19:41:26"/>
    <x v="3"/>
    <x v="3"/>
    <s v="ASXTVWT"/>
    <s v="SABRE"/>
    <s v="BARROS/NILSA"/>
    <s v="Ana Clara Brime"/>
    <s v="Ana Clara Brime"/>
    <d v="2025-09-11T15:09:00"/>
    <s v="LF37"/>
    <s v="-"/>
    <s v="OFF LINE"/>
    <s v="Cartão de crédito"/>
    <s v="Cartão de crédito"/>
    <x v="0"/>
    <s v="N"/>
    <x v="51"/>
    <s v="Grupo Casas Bahia S.a."/>
    <s v="-"/>
    <s v="-"/>
    <s v="-"/>
    <x v="38"/>
    <s v="-"/>
    <x v="261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1545"/>
    <n v="23684699"/>
    <s v="ACC01"/>
    <x v="296"/>
    <d v="2025-09-11T19:41:30"/>
    <x v="3"/>
    <x v="3"/>
    <s v="OBQZNFT"/>
    <s v="SABRE"/>
    <s v="BATISTA/LUCAS"/>
    <s v="Ana Clara Brime"/>
    <s v="Ana Clara Brime"/>
    <d v="2025-09-11T15:28:00"/>
    <s v="LF3T"/>
    <s v="-"/>
    <s v="OFF LINE"/>
    <s v="Cartão de crédito"/>
    <s v="Cartão de crédito"/>
    <x v="0"/>
    <s v="N"/>
    <x v="51"/>
    <s v="Grupo Casas Bahia S.a."/>
    <s v="-"/>
    <s v="-"/>
    <s v="-"/>
    <x v="38"/>
    <s v="-"/>
    <x v="262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35"/>
    <n v="23679583"/>
    <s v="ACC01"/>
    <x v="297"/>
    <d v="2025-09-10T22:52:51"/>
    <x v="3"/>
    <x v="3"/>
    <s v="KSSTBDT"/>
    <s v="SABRE"/>
    <s v="SANTOS/WELITON"/>
    <s v="Ana Clara Brime"/>
    <s v="Ana Clara Brime"/>
    <d v="2025-09-09T09:26:00"/>
    <s v="LDNX"/>
    <s v="-"/>
    <s v="OFF LINE"/>
    <s v="Cartão de crédito"/>
    <s v="Cartão de crédito"/>
    <x v="0"/>
    <s v="N"/>
    <x v="51"/>
    <s v="Grupo Casas Bahia S.a."/>
    <s v="-"/>
    <s v="-"/>
    <s v="-"/>
    <x v="38"/>
    <s v="-"/>
    <x v="26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38"/>
    <n v="23679588"/>
    <s v="ACC01"/>
    <x v="298"/>
    <d v="2025-09-10T22:53:07"/>
    <x v="3"/>
    <x v="3"/>
    <s v="HOOIKPT"/>
    <s v="SABRE"/>
    <s v="BARROS/NILSA"/>
    <s v="Ana Clara Brime"/>
    <s v="Ana Clara Brime"/>
    <d v="2025-09-05T14:17:00"/>
    <s v="LDM3"/>
    <s v="-"/>
    <s v="OFF LINE"/>
    <s v="Cartão de crédito"/>
    <s v="Cartão de crédito"/>
    <x v="0"/>
    <s v="N"/>
    <x v="51"/>
    <s v="Grupo Casas Bahia S.a."/>
    <s v="-"/>
    <s v="-"/>
    <s v="-"/>
    <x v="38"/>
    <s v="-"/>
    <x v="26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38"/>
    <n v="23679592"/>
    <s v="ACC05"/>
    <x v="298"/>
    <d v="2025-09-10T22:53:07"/>
    <x v="3"/>
    <x v="3"/>
    <s v="HOOIKPT"/>
    <s v="SABRE"/>
    <s v="BARROS/NILSA"/>
    <s v="Ana Clara Brime"/>
    <s v="Ana Clara Brime"/>
    <d v="2025-09-05T14:17:00"/>
    <s v="LDM3"/>
    <s v="-"/>
    <s v="OFF LINE"/>
    <s v="Cartão de crédito"/>
    <s v="Cartão de crédito"/>
    <x v="0"/>
    <s v="N"/>
    <x v="51"/>
    <s v="Grupo Casas Bahia S.a."/>
    <s v="-"/>
    <s v="-"/>
    <s v="-"/>
    <x v="38"/>
    <s v="-"/>
    <x v="26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39"/>
    <n v="23679593"/>
    <s v="ACC01"/>
    <x v="299"/>
    <d v="2025-09-10T22:53:07"/>
    <x v="3"/>
    <x v="3"/>
    <s v="KSTIDQT"/>
    <s v="SABRE"/>
    <s v="BARROS/NILSA"/>
    <s v="Ana Clara Brime"/>
    <s v="Ana Clara Brime"/>
    <d v="2025-09-09T10:48:00"/>
    <s v="LDNH"/>
    <s v="-"/>
    <s v="OFF LINE"/>
    <s v="Cartão de crédito"/>
    <s v="Cartão de crédito"/>
    <x v="0"/>
    <s v="N"/>
    <x v="51"/>
    <s v="Grupo Casas Bahia S.a."/>
    <s v="-"/>
    <s v="-"/>
    <s v="-"/>
    <x v="38"/>
    <s v="-"/>
    <x v="17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40"/>
    <n v="23679594"/>
    <s v="ACC01"/>
    <x v="300"/>
    <d v="2025-09-10T22:53:08"/>
    <x v="3"/>
    <x v="3"/>
    <s v="DJCWSAT"/>
    <s v="SABRE"/>
    <s v="MADRUGA/ADENILSON"/>
    <s v="Ana Clara Brime"/>
    <s v="Ana Clara Brime"/>
    <d v="2025-09-05T13:51:00"/>
    <s v="LDKC"/>
    <s v="-"/>
    <s v="OFF LINE"/>
    <s v="Cartão de crédito"/>
    <s v="Cartão de crédito"/>
    <x v="0"/>
    <s v="N"/>
    <x v="51"/>
    <s v="Grupo Casas Bahia S.a."/>
    <s v="-"/>
    <s v="-"/>
    <s v="-"/>
    <x v="38"/>
    <s v="-"/>
    <x v="26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34"/>
    <n v="23679580"/>
    <s v="ACC01"/>
    <x v="301"/>
    <d v="2025-09-10T22:52:50"/>
    <x v="3"/>
    <x v="3"/>
    <s v="SQBIFXT"/>
    <s v="SABRE"/>
    <s v="PEREIRA/JOSE"/>
    <s v="Ana Clara Brime"/>
    <s v="Ana Clara Brime"/>
    <d v="2025-09-09T09:01:00"/>
    <s v="LDQM"/>
    <s v="-"/>
    <s v="OFF LINE"/>
    <s v="Cartão de crédito"/>
    <s v="Cartão de crédito"/>
    <x v="0"/>
    <s v="N"/>
    <x v="51"/>
    <s v="Grupo Casas Bahia S.a."/>
    <s v="-"/>
    <s v="-"/>
    <s v="-"/>
    <x v="38"/>
    <s v="-"/>
    <x v="26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634"/>
    <n v="23679581"/>
    <s v="ACC02"/>
    <x v="301"/>
    <d v="2025-09-10T22:52:50"/>
    <x v="3"/>
    <x v="3"/>
    <s v="SQBIFXT"/>
    <s v="SABRE"/>
    <s v="PEREIRA/JOSE"/>
    <s v="Ana Clara Brime"/>
    <s v="Ana Clara Brime"/>
    <d v="2025-09-09T09:01:00"/>
    <s v="LDQM"/>
    <s v="-"/>
    <s v="OFF LINE"/>
    <s v="Cartão de crédito"/>
    <s v="Cartão de crédito"/>
    <x v="0"/>
    <s v="N"/>
    <x v="51"/>
    <s v="Grupo Casas Bahia S.a."/>
    <s v="-"/>
    <s v="-"/>
    <s v="-"/>
    <x v="38"/>
    <s v="-"/>
    <x v="26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15024"/>
    <n v="23601790"/>
    <s v="ACC02"/>
    <x v="302"/>
    <d v="2025-08-26T16:39:41"/>
    <x v="4"/>
    <x v="4"/>
    <s v="SHBZUTT"/>
    <s v="SABRE"/>
    <s v="PEREIRA/JOSE"/>
    <s v="Ana Clara Brime"/>
    <s v="Ana Clara Brime"/>
    <d v="2025-08-26T14:24:00"/>
    <s v="SHBZUT"/>
    <s v="-"/>
    <s v="OFF LINE"/>
    <s v="Cartão de crédito"/>
    <s v="Cartão de crédito"/>
    <x v="0"/>
    <s v="N"/>
    <x v="51"/>
    <s v="Grupo Casas Bahia S.a."/>
    <s v="-"/>
    <s v="-"/>
    <s v="-"/>
    <x v="38"/>
    <s v="-"/>
    <x v="268"/>
    <n v="0"/>
    <n v="0"/>
    <n v="0"/>
    <n v="0"/>
    <n v="0"/>
    <n v="0"/>
    <s v="Reserva importada por HubTravel"/>
    <s v="Fornecedor não preenchido! (ACC02)"/>
    <x v="1"/>
    <x v="0"/>
    <s v="Campo Fornecedor"/>
    <x v="0"/>
    <s v="Qualidade dos dados"/>
    <s v="KONTIK BUSINESS TRAVEL"/>
    <x v="1"/>
  </r>
  <r>
    <n v="22874357"/>
    <n v="23652914"/>
    <s v="ACC01"/>
    <x v="303"/>
    <d v="2025-09-05T11:42:46"/>
    <x v="1"/>
    <x v="1"/>
    <s v="YOKNEWT"/>
    <s v="SABRE"/>
    <s v="MADRUGA/ADENILSON"/>
    <s v="Ana Clara Brime"/>
    <s v="Ana Clara Brime"/>
    <d v="2025-09-05T08:37:00"/>
    <s v="LDKD"/>
    <s v="-"/>
    <s v="OFF LINE"/>
    <s v="Cartão de crédito"/>
    <s v="Cartão de crédito"/>
    <x v="0"/>
    <s v="N"/>
    <x v="51"/>
    <s v="Grupo Casas Bahia S.a."/>
    <s v="-"/>
    <s v="-"/>
    <s v="-"/>
    <x v="38"/>
    <s v="-"/>
    <x v="269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4361"/>
    <n v="23652917"/>
    <s v="ACC01"/>
    <x v="304"/>
    <d v="2025-09-05T11:42:47"/>
    <x v="1"/>
    <x v="1"/>
    <s v="YORRUKT"/>
    <s v="SABRE"/>
    <s v="CORREA/ANDRE"/>
    <s v="Ana Clara Brime"/>
    <s v="Ana Clara Brime"/>
    <d v="2025-09-05T08:49:00"/>
    <s v="LDGV"/>
    <s v="-"/>
    <s v="OFF LINE"/>
    <s v="Cartão de crédito"/>
    <s v="Cartão de crédito"/>
    <x v="0"/>
    <s v="N"/>
    <x v="51"/>
    <s v="Grupo Casas Bahia S.a."/>
    <s v="-"/>
    <s v="-"/>
    <s v="-"/>
    <x v="38"/>
    <s v="-"/>
    <x v="270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6130"/>
    <n v="23654679"/>
    <s v="ACC01"/>
    <x v="305"/>
    <d v="2025-09-05T16:39:43"/>
    <x v="1"/>
    <x v="1"/>
    <s v="AUHFQFT"/>
    <s v="SABRE"/>
    <s v="SANTOS/DAISY"/>
    <s v="Ana Clara Brime"/>
    <s v="Ana Clara Brime"/>
    <d v="2025-09-05T13:55:00"/>
    <s v="LDCY"/>
    <s v="-"/>
    <s v="OFF LINE"/>
    <s v="Cartão de crédito"/>
    <s v="Cartão de crédito"/>
    <x v="0"/>
    <s v="N"/>
    <x v="51"/>
    <s v="Grupo Casas Bahia S.a."/>
    <s v="-"/>
    <s v="-"/>
    <s v="-"/>
    <x v="38"/>
    <s v="-"/>
    <x v="271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6132"/>
    <n v="23654681"/>
    <s v="ACC01"/>
    <x v="306"/>
    <d v="2025-09-05T16:39:44"/>
    <x v="1"/>
    <x v="1"/>
    <s v="EHCZUWT"/>
    <s v="SABRE"/>
    <s v="SILVA/ROSEANE"/>
    <s v="Ana Clara Brime"/>
    <s v="Ana Clara Brime"/>
    <d v="2025-09-05T14:03:00"/>
    <s v="LDLX"/>
    <s v="-"/>
    <s v="OFF LINE"/>
    <s v="Cartão de crédito"/>
    <s v="Cartão de crédito"/>
    <x v="0"/>
    <s v="N"/>
    <x v="51"/>
    <s v="Grupo Casas Bahia S.a."/>
    <s v="-"/>
    <s v="-"/>
    <s v="-"/>
    <x v="38"/>
    <s v="-"/>
    <x v="272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7471"/>
    <n v="23646580"/>
    <s v="ACC01"/>
    <x v="307"/>
    <d v="2025-09-04T11:33:47"/>
    <x v="1"/>
    <x v="1"/>
    <s v="UFJFQTT"/>
    <s v="SABRE"/>
    <s v="SANTANA/EDSON"/>
    <s v="Ana Clara Brime"/>
    <s v="Ana Clara Brime"/>
    <d v="2025-09-04T08:34:00"/>
    <s v="UFJFQT"/>
    <s v="-"/>
    <s v="OFF LINE"/>
    <s v="Cartão de crédito"/>
    <s v="Cartão de crédito"/>
    <x v="0"/>
    <s v="N"/>
    <x v="51"/>
    <s v="Grupo Casas Bahia S.a."/>
    <s v="-"/>
    <s v="-"/>
    <s v="-"/>
    <x v="38"/>
    <s v="-"/>
    <x v="27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67472"/>
    <n v="23646581"/>
    <s v="ACC01"/>
    <x v="308"/>
    <d v="2025-09-04T11:33:49"/>
    <x v="1"/>
    <x v="1"/>
    <s v="KODHDOT"/>
    <s v="SABRE"/>
    <s v="AREIAS/RONALDO"/>
    <s v="Ana Clara Brime"/>
    <s v="Ana Clara Brime"/>
    <d v="2025-09-04T08:47:00"/>
    <s v="KODHDO"/>
    <s v="-"/>
    <s v="OFF LINE"/>
    <s v="Cartão de crédito"/>
    <s v="Cartão de crédito"/>
    <x v="0"/>
    <s v="N"/>
    <x v="51"/>
    <s v="Grupo Casas Bahia S.a."/>
    <s v="-"/>
    <s v="-"/>
    <s v="-"/>
    <x v="38"/>
    <s v="-"/>
    <x v="27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0159"/>
    <n v="23649433"/>
    <s v="ACC01"/>
    <x v="309"/>
    <d v="2025-09-04T18:45:56"/>
    <x v="1"/>
    <x v="1"/>
    <s v="DKPSKXT"/>
    <s v="SABRE"/>
    <s v="SILVA/WESLLEY"/>
    <s v="Ana Clara Brime"/>
    <s v="Ana Clara Brime"/>
    <d v="2025-09-04T15:41:00"/>
    <s v="LDKJ"/>
    <s v="-"/>
    <s v="OFF LINE"/>
    <s v="Cartão de crédito"/>
    <s v="Cartão de crédito"/>
    <x v="0"/>
    <s v="N"/>
    <x v="51"/>
    <s v="Grupo Casas Bahia S.a."/>
    <s v="-"/>
    <s v="-"/>
    <s v="-"/>
    <x v="38"/>
    <s v="-"/>
    <x v="275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49"/>
    <n v="23652497"/>
    <s v="ACC01"/>
    <x v="310"/>
    <d v="2025-09-05T10:31:22"/>
    <x v="1"/>
    <x v="1"/>
    <s v="IDIQEBT"/>
    <s v="SABRE"/>
    <s v="SANTANA/EDSON"/>
    <s v="Ana Clara Brime"/>
    <s v="Ana Clara Brime"/>
    <d v="2025-09-05T07:26:00"/>
    <s v="LD7J"/>
    <s v="-"/>
    <s v="OFF LINE"/>
    <s v="Cartão de crédito"/>
    <s v="Cartão de crédito"/>
    <x v="0"/>
    <s v="N"/>
    <x v="51"/>
    <s v="Grupo Casas Bahia S.a."/>
    <s v="-"/>
    <s v="-"/>
    <s v="-"/>
    <x v="38"/>
    <s v="-"/>
    <x v="3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53"/>
    <n v="23652500"/>
    <s v="ACC01"/>
    <x v="311"/>
    <d v="2025-09-05T10:31:22"/>
    <x v="1"/>
    <x v="1"/>
    <s v="IHGILAT"/>
    <s v="SABRE"/>
    <s v="AREIAS/RONALDO"/>
    <s v="Ana Clara Brime"/>
    <s v="Ana Clara Brime"/>
    <d v="2025-09-05T07:29:00"/>
    <s v="LD44"/>
    <s v="-"/>
    <s v="OFF LINE"/>
    <s v="Cartão de crédito"/>
    <s v="Cartão de crédito"/>
    <x v="0"/>
    <s v="N"/>
    <x v="51"/>
    <s v="Grupo Casas Bahia S.a."/>
    <s v="-"/>
    <s v="-"/>
    <s v="-"/>
    <x v="38"/>
    <s v="-"/>
    <x v="248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57"/>
    <n v="23652505"/>
    <s v="ACC01"/>
    <x v="312"/>
    <d v="2025-09-05T10:31:45"/>
    <x v="1"/>
    <x v="1"/>
    <s v="MVGDQUT"/>
    <s v="SABRE"/>
    <s v="SANTANA/EDSON"/>
    <s v="Ana Clara Brime"/>
    <s v="Ana Clara Brime"/>
    <d v="2025-09-05T07:39:00"/>
    <s v="LD9K"/>
    <s v="-"/>
    <s v="OFF LINE"/>
    <s v="Cartão de crédito"/>
    <s v="Cartão de crédito"/>
    <x v="0"/>
    <s v="N"/>
    <x v="51"/>
    <s v="Grupo Casas Bahia S.a."/>
    <s v="-"/>
    <s v="-"/>
    <s v="-"/>
    <x v="38"/>
    <s v="-"/>
    <x v="203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59"/>
    <n v="23652507"/>
    <s v="ACC01"/>
    <x v="313"/>
    <d v="2025-09-05T10:31:50"/>
    <x v="1"/>
    <x v="1"/>
    <s v="YRAHQZT"/>
    <s v="SABRE"/>
    <s v="SANTANA/EDSON"/>
    <s v="Ana Clara Brime"/>
    <s v="Ana Clara Brime"/>
    <d v="2025-09-05T07:48:00"/>
    <s v="LD9G"/>
    <s v="-"/>
    <s v="OFF LINE"/>
    <s v="Cartão de crédito"/>
    <s v="Cartão de crédito"/>
    <x v="0"/>
    <s v="N"/>
    <x v="51"/>
    <s v="Grupo Casas Bahia S.a."/>
    <s v="-"/>
    <s v="-"/>
    <s v="-"/>
    <x v="38"/>
    <s v="-"/>
    <x v="274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61"/>
    <n v="23652509"/>
    <s v="ACC01"/>
    <x v="314"/>
    <d v="2025-09-05T10:31:54"/>
    <x v="1"/>
    <x v="1"/>
    <s v="YPUFFGT"/>
    <s v="SABRE"/>
    <s v="SOUZA/JOSE"/>
    <s v="Ana Clara Brime"/>
    <s v="Ana Clara Brime"/>
    <d v="2025-09-05T07:54:00"/>
    <s v="LD9C"/>
    <s v="-"/>
    <s v="OFF LINE"/>
    <s v="Cartão de crédito"/>
    <s v="Cartão de crédito"/>
    <x v="0"/>
    <s v="N"/>
    <x v="51"/>
    <s v="Grupo Casas Bahia S.a."/>
    <s v="-"/>
    <s v="-"/>
    <s v="-"/>
    <x v="38"/>
    <s v="-"/>
    <x v="27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62"/>
    <n v="23652511"/>
    <s v="ACC01"/>
    <x v="315"/>
    <d v="2025-09-05T10:31:55"/>
    <x v="1"/>
    <x v="1"/>
    <s v="YQLBRDT"/>
    <s v="SABRE"/>
    <s v="SOUZA/JOSE"/>
    <s v="Ana Clara Brime"/>
    <s v="Ana Clara Brime"/>
    <d v="2025-09-05T07:57:00"/>
    <s v="LD99"/>
    <s v="-"/>
    <s v="OFF LINE"/>
    <s v="Cartão de crédito"/>
    <s v="Cartão de crédito"/>
    <x v="0"/>
    <s v="N"/>
    <x v="51"/>
    <s v="Grupo Casas Bahia S.a."/>
    <s v="-"/>
    <s v="-"/>
    <s v="-"/>
    <x v="38"/>
    <s v="-"/>
    <x v="27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63"/>
    <n v="23652512"/>
    <s v="ACC01"/>
    <x v="316"/>
    <d v="2025-09-05T10:31:55"/>
    <x v="1"/>
    <x v="1"/>
    <s v="HEMFIZT"/>
    <s v="SABRE"/>
    <s v="JESUS/NILMARA"/>
    <s v="Ana Clara Brime"/>
    <s v="Ana Clara Brime"/>
    <d v="2025-09-05T07:59:00"/>
    <s v="LD4M"/>
    <s v="-"/>
    <s v="OFF LINE"/>
    <s v="Cartão de crédito"/>
    <s v="Cartão de crédito"/>
    <x v="0"/>
    <s v="N"/>
    <x v="51"/>
    <s v="Grupo Casas Bahia S.a."/>
    <s v="-"/>
    <s v="-"/>
    <s v="-"/>
    <x v="38"/>
    <s v="-"/>
    <x v="260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3972"/>
    <n v="23652524"/>
    <s v="ACC01"/>
    <x v="317"/>
    <d v="2025-09-05T10:39:49"/>
    <x v="1"/>
    <x v="1"/>
    <s v="MVETLWT"/>
    <s v="SABRE"/>
    <s v="RODRIGUES/MATHEUS"/>
    <s v="Ana Clara Brime"/>
    <s v="Ana Clara Brime"/>
    <d v="2025-09-05T08:06:00"/>
    <s v="LDCM"/>
    <s v="-"/>
    <s v="OFF LINE"/>
    <s v="Cartão de crédito"/>
    <s v="Cartão de crédito"/>
    <x v="0"/>
    <s v="N"/>
    <x v="51"/>
    <s v="Grupo Casas Bahia S.a."/>
    <s v="-"/>
    <s v="-"/>
    <s v="-"/>
    <x v="38"/>
    <s v="-"/>
    <x v="278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11550"/>
    <n v="23684704"/>
    <s v="ACC01"/>
    <x v="318"/>
    <d v="2025-09-11T19:37:13"/>
    <x v="3"/>
    <x v="3"/>
    <s v="MDWWEKT"/>
    <s v="SABRE"/>
    <s v="MAURICIO/FELIPE"/>
    <s v="WU"/>
    <s v="WU"/>
    <d v="2025-09-11T07:44:00"/>
    <s v="MDWWEK"/>
    <s v="-"/>
    <s v="ON LINE"/>
    <s v="Pagamento direto"/>
    <s v="Pagamento direto"/>
    <x v="0"/>
    <s v="N"/>
    <x v="51"/>
    <s v="Grupo Casas Bahia S.a."/>
    <s v="-"/>
    <s v="-"/>
    <s v="-"/>
    <x v="38"/>
    <s v="-"/>
    <x v="279"/>
    <n v="136.4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3"/>
  </r>
  <r>
    <n v="22905709"/>
    <n v="23679667"/>
    <s v="ACC01"/>
    <x v="319"/>
    <d v="2025-09-10T23:06:17"/>
    <x v="3"/>
    <x v="3"/>
    <s v="ULFOJCT"/>
    <s v="SABRE"/>
    <s v="DA SILVA/ERIVANIA FERREIRA MS"/>
    <s v="WS"/>
    <s v="WS"/>
    <d v="2025-09-08T15:46:00"/>
    <s v="MAIL"/>
    <s v="-"/>
    <s v="OFF LINE"/>
    <s v="Invoice"/>
    <s v="Faturado"/>
    <x v="0"/>
    <s v="N"/>
    <x v="52"/>
    <s v="Atento Brasil S/a"/>
    <s v="-"/>
    <s v="-"/>
    <s v="-"/>
    <x v="39"/>
    <s v="-"/>
    <x v="280"/>
    <n v="79.849999999999994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712"/>
    <n v="23679670"/>
    <s v="ACC01"/>
    <x v="320"/>
    <d v="2025-09-10T23:06:17"/>
    <x v="3"/>
    <x v="3"/>
    <s v="YQTQKCT"/>
    <s v="SABRE"/>
    <s v="DA COSTA/DENISE"/>
    <s v="WS"/>
    <s v="WS"/>
    <d v="2025-09-08T16:39:00"/>
    <s v="MAIL"/>
    <s v="-"/>
    <s v="OFF LINE"/>
    <s v="Invoice"/>
    <s v="Faturado"/>
    <x v="0"/>
    <s v="N"/>
    <x v="52"/>
    <s v="Atento Brasil S/a"/>
    <s v="-"/>
    <s v="-"/>
    <s v="-"/>
    <x v="39"/>
    <s v="-"/>
    <x v="280"/>
    <n v="79.849999999999994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714"/>
    <n v="23679672"/>
    <s v="ACC01"/>
    <x v="321"/>
    <d v="2025-09-10T23:06:18"/>
    <x v="3"/>
    <x v="3"/>
    <s v="UKSTJXT"/>
    <s v="SABRE"/>
    <s v="ANDRADE/MACSON ALYSSON VIEIRA"/>
    <s v="WS"/>
    <s v="WS"/>
    <d v="2025-09-08T16:12:00"/>
    <s v="MAIL"/>
    <s v="-"/>
    <s v="OFF LINE"/>
    <s v="Invoice"/>
    <s v="Faturado"/>
    <x v="0"/>
    <s v="N"/>
    <x v="52"/>
    <s v="Atento Brasil S/a"/>
    <s v="-"/>
    <s v="-"/>
    <s v="-"/>
    <x v="39"/>
    <s v="-"/>
    <x v="280"/>
    <n v="79.849999999999994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718"/>
    <n v="23679676"/>
    <s v="ACC01"/>
    <x v="322"/>
    <d v="2025-09-10T23:06:41"/>
    <x v="3"/>
    <x v="3"/>
    <s v="OKSSKDT"/>
    <s v="SABRE"/>
    <s v="OLIVEIRA/ANTONIO GEISON FERREIRA"/>
    <s v="WS"/>
    <s v="WS"/>
    <d v="2025-09-10T09:52:00"/>
    <s v="OKSSKD"/>
    <s v="-"/>
    <s v="ON LINE"/>
    <s v="Cartão de crédito"/>
    <s v="Cartão de crédito"/>
    <x v="0"/>
    <s v="N"/>
    <x v="52"/>
    <s v="Atento Brasil S/a"/>
    <s v="-"/>
    <s v="-"/>
    <s v="-"/>
    <x v="39"/>
    <s v="-"/>
    <x v="281"/>
    <n v="37.200000000000003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719"/>
    <n v="23679677"/>
    <s v="ACC01"/>
    <x v="323"/>
    <d v="2025-09-10T23:06:46"/>
    <x v="3"/>
    <x v="3"/>
    <s v="AEKKAUT"/>
    <s v="SABRE"/>
    <s v="VENTURA/RENATA DE OLIVEIRA"/>
    <s v="WS"/>
    <s v="WS"/>
    <d v="2025-09-10T10:00:00"/>
    <s v="AEKKAU"/>
    <s v="-"/>
    <s v="ON LINE"/>
    <s v="Cartão de crédito"/>
    <s v="Cartão de crédito"/>
    <x v="0"/>
    <s v="N"/>
    <x v="52"/>
    <s v="Atento Brasil S/a"/>
    <s v="-"/>
    <s v="-"/>
    <s v="-"/>
    <x v="39"/>
    <s v="-"/>
    <x v="281"/>
    <n v="37.200000000000003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905720"/>
    <n v="23679678"/>
    <s v="ACC01"/>
    <x v="324"/>
    <d v="2025-09-10T23:06:47"/>
    <x v="3"/>
    <x v="3"/>
    <s v="AIEJFDT"/>
    <s v="SABRE"/>
    <s v="SANTOS/VANESSA ALVES DOS"/>
    <s v="WS"/>
    <s v="WS"/>
    <d v="2025-09-10T10:11:00"/>
    <s v="AIEJFD"/>
    <s v="-"/>
    <s v="ON LINE"/>
    <s v="Cartão de crédito"/>
    <s v="Cartão de crédito"/>
    <x v="0"/>
    <s v="N"/>
    <x v="52"/>
    <s v="Atento Brasil S/a"/>
    <s v="-"/>
    <s v="-"/>
    <s v="-"/>
    <x v="39"/>
    <s v="-"/>
    <x v="281"/>
    <n v="37.200000000000003"/>
    <n v="0"/>
    <n v="0"/>
    <n v="0"/>
    <n v="0"/>
    <n v="0"/>
    <s v="Reserva importada por HubTravel"/>
    <s v="Fornecedor não preenchido! (ACC01)"/>
    <x v="1"/>
    <x v="0"/>
    <s v="Campo Fornecedor"/>
    <x v="0"/>
    <s v="Sistêmico"/>
    <s v="GRUPO KONTIK"/>
    <x v="0"/>
  </r>
  <r>
    <n v="22891319"/>
    <n v="23666878"/>
    <s v="ACC01"/>
    <x v="325"/>
    <d v="2025-09-11T10:12:01"/>
    <x v="3"/>
    <x v="0"/>
    <s v="UFIQLDT"/>
    <s v="SABRE"/>
    <s v="OLIVEIRA/DIMITRIUS ROGERIO DE"/>
    <s v="Thais Matte Andreis"/>
    <s v="Thais Matte Andreis"/>
    <d v="2025-08-13T10:37:00"/>
    <n v="9999"/>
    <s v="-"/>
    <s v="OFF LINE"/>
    <s v="Invoice"/>
    <s v="Faturado"/>
    <x v="0"/>
    <s v="N"/>
    <x v="52"/>
    <s v="Atento Brasil S/a"/>
    <s v="-"/>
    <s v="-"/>
    <s v="-"/>
    <x v="39"/>
    <s v="-"/>
    <x v="282"/>
    <n v="33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91319"/>
    <n v="23666880"/>
    <s v="ACC02"/>
    <x v="325"/>
    <d v="2025-09-11T10:12:01"/>
    <x v="3"/>
    <x v="0"/>
    <s v="UFIQLDT"/>
    <s v="SABRE"/>
    <s v="OLIVEIRA/DIMITRIUS ROGERIO DE"/>
    <s v="Thais Matte Andreis"/>
    <s v="Thais Matte Andreis"/>
    <d v="2025-08-13T10:37:00"/>
    <n v="9999"/>
    <s v="-"/>
    <s v="OFF LINE"/>
    <s v="Invoice"/>
    <s v="Faturado"/>
    <x v="0"/>
    <s v="N"/>
    <x v="52"/>
    <s v="Atento Brasil S/a"/>
    <s v="-"/>
    <s v="-"/>
    <s v="-"/>
    <x v="39"/>
    <s v="-"/>
    <x v="283"/>
    <n v="42.3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97792"/>
    <n v="23672677"/>
    <s v="ACC01"/>
    <x v="326"/>
    <d v="2025-09-11T14:18:23"/>
    <x v="3"/>
    <x v="0"/>
    <s v="5KH19E"/>
    <s v="TMS"/>
    <s v="REGINA CORRES BARRAGAN"/>
    <s v="Tms"/>
    <s v="Tms"/>
    <d v="2025-09-09T13:40:00"/>
    <n v="2389"/>
    <s v="-"/>
    <s v="ON LINE"/>
    <s v="Cartão de crédito"/>
    <s v="Cartão de crédito"/>
    <x v="0"/>
    <s v="N"/>
    <x v="53"/>
    <s v="Pepsico do Brasil Industria e Comercio de Alimentos Ltda."/>
    <s v="-"/>
    <s v="-"/>
    <s v="-"/>
    <x v="40"/>
    <s v="-"/>
    <x v="284"/>
    <n v="0"/>
    <n v="0"/>
    <n v="0"/>
    <n v="0"/>
    <n v="831.32"/>
    <n v="0"/>
    <s v="Reserva importada do Sistema TMS. OS: 2389"/>
    <s v="Fornecedor não preenchido! (ACC01)"/>
    <x v="2"/>
    <x v="0"/>
    <s v="Campo Fornecedor"/>
    <x v="0"/>
    <s v="Sistêmico"/>
    <s v="GRUPO KONTIK"/>
    <x v="0"/>
  </r>
  <r>
    <n v="22908559"/>
    <n v="23681842"/>
    <s v="ACC01"/>
    <x v="327"/>
    <d v="2025-09-11T14:45:47"/>
    <x v="3"/>
    <x v="3"/>
    <s v="5K11TH"/>
    <s v="TMS"/>
    <s v="NATALIA CATANI"/>
    <s v="Tms"/>
    <s v="Tms"/>
    <d v="2025-09-11T10:25:00"/>
    <n v="2438"/>
    <s v="-"/>
    <s v="ON LINE"/>
    <s v="Cartão de crédito"/>
    <s v="Cartão de crédito"/>
    <x v="0"/>
    <s v="N"/>
    <x v="53"/>
    <s v="Pepsico do Brasil Industria e Comercio de Alimentos Ltda."/>
    <s v="-"/>
    <s v="-"/>
    <s v="-"/>
    <x v="40"/>
    <s v="-"/>
    <x v="285"/>
    <n v="0"/>
    <n v="0"/>
    <n v="0"/>
    <n v="0"/>
    <n v="815.52"/>
    <n v="0"/>
    <s v="Reserva importada do Sistema TMS. OS: 2438"/>
    <s v="Fornecedor não preenchido! (ACC01)"/>
    <x v="2"/>
    <x v="0"/>
    <s v="Campo Fornecedor"/>
    <x v="0"/>
    <s v="Sistêmico"/>
    <s v="GRUPO KONTIK"/>
    <x v="0"/>
  </r>
  <r>
    <n v="22910484"/>
    <n v="23683679"/>
    <s v="ACC01"/>
    <x v="328"/>
    <d v="2025-09-11T19:20:41"/>
    <x v="3"/>
    <x v="3"/>
    <s v="5KSQNY"/>
    <s v="TMS"/>
    <s v="JOHNATA SANTOS"/>
    <s v="Tms"/>
    <s v="Tms"/>
    <d v="2025-09-11T17:42:00"/>
    <n v="4173"/>
    <s v="-"/>
    <s v="ON LINE"/>
    <s v="Cartão de crédito"/>
    <s v="Faturado"/>
    <x v="0"/>
    <s v="N"/>
    <x v="54"/>
    <s v="Colegio e Pre-vestibular Bernoulli - Un. Raja"/>
    <s v="-"/>
    <s v="-"/>
    <s v="-"/>
    <x v="41"/>
    <s v="-"/>
    <x v="286"/>
    <n v="0"/>
    <n v="0"/>
    <n v="0"/>
    <n v="0"/>
    <n v="21.64"/>
    <n v="0"/>
    <s v="Reserva importada do Sistema TMS. OS: 4173"/>
    <s v="Fornecedor não preenchido! (ACC01)"/>
    <x v="2"/>
    <x v="0"/>
    <s v="Campo Fornecedor"/>
    <x v="0"/>
    <s v="Sistêmico"/>
    <s v="GRUPO KONTIK"/>
    <x v="0"/>
  </r>
  <r>
    <n v="22910486"/>
    <n v="23683681"/>
    <s v="ACC01"/>
    <x v="329"/>
    <d v="2025-09-11T19:20:42"/>
    <x v="3"/>
    <x v="3"/>
    <s v="5KEQO6"/>
    <s v="TMS"/>
    <s v="WALLACE LAGE"/>
    <s v="Tms"/>
    <s v="Tms"/>
    <d v="2025-09-11T17:42:00"/>
    <n v="4172"/>
    <s v="-"/>
    <s v="ON LINE"/>
    <s v="Cartão de crédito"/>
    <s v="Faturado"/>
    <x v="0"/>
    <s v="N"/>
    <x v="54"/>
    <s v="Colegio e Pre-vestibular Bernoulli - Un. Raja"/>
    <s v="-"/>
    <s v="-"/>
    <s v="-"/>
    <x v="41"/>
    <s v="-"/>
    <x v="286"/>
    <n v="0"/>
    <n v="0"/>
    <n v="0"/>
    <n v="0"/>
    <n v="21.64"/>
    <n v="0"/>
    <s v="Reserva importada do Sistema TMS. OS: 4172"/>
    <s v="Fornecedor não preenchido! (ACC01)"/>
    <x v="2"/>
    <x v="0"/>
    <s v="Campo Fornecedor"/>
    <x v="0"/>
    <s v="Sistêmico"/>
    <s v="GRUPO KONTIK"/>
    <x v="0"/>
  </r>
  <r>
    <n v="22910488"/>
    <n v="23683683"/>
    <s v="ACC01"/>
    <x v="330"/>
    <d v="2025-09-11T19:20:42"/>
    <x v="3"/>
    <x v="3"/>
    <s v="5K4Z96"/>
    <s v="TMS"/>
    <s v="VITOR PEREIRA"/>
    <s v="Tms"/>
    <s v="Tms"/>
    <d v="2025-09-11T17:11:00"/>
    <n v="4171"/>
    <s v="-"/>
    <s v="ON LINE"/>
    <s v="Cartão de crédito"/>
    <s v="Faturado"/>
    <x v="0"/>
    <s v="N"/>
    <x v="54"/>
    <s v="Colegio e Pre-vestibular Bernoulli - Un. Raja"/>
    <s v="-"/>
    <s v="-"/>
    <s v="-"/>
    <x v="41"/>
    <s v="-"/>
    <x v="286"/>
    <n v="0"/>
    <n v="0"/>
    <n v="0"/>
    <n v="0"/>
    <n v="21.64"/>
    <n v="0"/>
    <s v="Reserva importada do Sistema TMS. OS: 4171"/>
    <s v="Fornecedor não preenchido! (ACC01)"/>
    <x v="2"/>
    <x v="0"/>
    <s v="Campo Fornecedor"/>
    <x v="0"/>
    <s v="Sistêmico"/>
    <s v="GRUPO KONTIK"/>
    <x v="0"/>
  </r>
  <r>
    <n v="22910508"/>
    <n v="23683699"/>
    <s v="ACC01"/>
    <x v="331"/>
    <d v="2025-09-11T19:25:53"/>
    <x v="3"/>
    <x v="3"/>
    <s v="5KRW9Y"/>
    <s v="TMS"/>
    <s v="CARMEN BELEM"/>
    <s v="Tms"/>
    <s v="Tms"/>
    <d v="2025-09-11T12:51:00"/>
    <n v="4133"/>
    <s v="Porto Seguro / BPS"/>
    <s v="ON LINE"/>
    <s v="Invoice"/>
    <s v="Faturado"/>
    <x v="1"/>
    <s v="N"/>
    <x v="54"/>
    <s v="Colegio e Pre-vestibular Bernoulli - Un. Raja"/>
    <s v="-"/>
    <s v="-"/>
    <s v="-"/>
    <x v="41"/>
    <s v="-"/>
    <x v="287"/>
    <n v="0"/>
    <n v="0"/>
    <n v="0"/>
    <n v="0"/>
    <n v="0"/>
    <n v="0"/>
    <s v="Reserva importada do Sistema TMS. OS: 4133"/>
    <s v="Fornecedor não preenchido! (ACC01)"/>
    <x v="2"/>
    <x v="0"/>
    <s v="Campo Fornecedor"/>
    <x v="0"/>
    <s v="Qualidade dos dados"/>
    <s v="KONTIK BUSINESS TRAVEL"/>
    <x v="1"/>
  </r>
  <r>
    <n v="22910506"/>
    <n v="23683698"/>
    <s v="ACC01"/>
    <x v="332"/>
    <d v="2025-09-11T19:25:53"/>
    <x v="3"/>
    <x v="3"/>
    <s v="5KDXLY"/>
    <s v="TMS"/>
    <s v="CARMEN BELEM"/>
    <s v="Thais Peixoto de Melo"/>
    <s v="Thais Peixoto de Melo"/>
    <d v="2025-09-11T15:12:00"/>
    <n v="4134"/>
    <s v="-"/>
    <s v="OFF LINE"/>
    <s v="Invoice"/>
    <s v="Faturado"/>
    <x v="0"/>
    <s v="N"/>
    <x v="54"/>
    <s v="Colegio e Pre-vestibular Bernoulli - Un. Raja"/>
    <s v="-"/>
    <s v="-"/>
    <s v="-"/>
    <x v="41"/>
    <s v="-"/>
    <x v="288"/>
    <n v="0"/>
    <n v="0"/>
    <n v="0"/>
    <n v="0"/>
    <n v="0"/>
    <n v="0"/>
    <s v="Reserva importada do Sistema TMS. OS: 4134"/>
    <s v="Fornecedor não preenchido! (ACC01)"/>
    <x v="2"/>
    <x v="0"/>
    <s v="Campo Fornecedor"/>
    <x v="0"/>
    <s v="Qualidade dos dados"/>
    <s v="KONTIK BUSINESS TRAVEL"/>
    <x v="1"/>
  </r>
  <r>
    <n v="22837895"/>
    <n v="23622324"/>
    <s v="ACC01"/>
    <x v="333"/>
    <d v="2025-09-12T06:10:42"/>
    <x v="3"/>
    <x v="2"/>
    <s v="5J50LP"/>
    <s v="TMS"/>
    <s v="SORAYA OLIVEIRA"/>
    <s v="Renata Claudia de Oliveira"/>
    <s v="Thais Peixoto de Melo"/>
    <d v="2025-08-29T18:16:00"/>
    <n v="3601"/>
    <s v="-"/>
    <s v="OFF LINE"/>
    <s v="Invoice"/>
    <s v="Faturado"/>
    <x v="2"/>
    <s v="N"/>
    <x v="54"/>
    <s v="Bernoulli Sistema de Ensino - Belo Horizonte"/>
    <s v="-"/>
    <s v="-"/>
    <s v="-"/>
    <x v="41"/>
    <s v="-"/>
    <x v="289"/>
    <n v="10.95"/>
    <n v="0"/>
    <n v="0"/>
    <n v="0"/>
    <n v="0"/>
    <n v="0"/>
    <s v="Reserva importada do Sistema TMS. OS: 3601"/>
    <s v="Fornecedor não preenchido! (ACC01)"/>
    <x v="2"/>
    <x v="0"/>
    <s v="Campo Fornecedor"/>
    <x v="0"/>
    <s v="Qualidade dos dados"/>
    <s v="KONTIK BUSINESS TRAVEL"/>
    <x v="1"/>
  </r>
  <r>
    <n v="22849637"/>
    <n v="23631201"/>
    <s v="ACC01"/>
    <x v="334"/>
    <d v="2025-09-11T13:37:09"/>
    <x v="3"/>
    <x v="2"/>
    <s v="5JJGWW"/>
    <s v="TMS"/>
    <s v="ANTONIO ANDRADE"/>
    <s v="Tms"/>
    <s v="Tms"/>
    <d v="2025-09-01T17:20:00"/>
    <n v="3756"/>
    <s v="-"/>
    <s v="ON LINE"/>
    <s v="Cartão de crédito"/>
    <s v="Faturado"/>
    <x v="0"/>
    <s v="N"/>
    <x v="54"/>
    <s v="Bernoulli Sistema de Ensino - Belo Horizonte"/>
    <s v="-"/>
    <s v="-"/>
    <s v="-"/>
    <x v="41"/>
    <s v="-"/>
    <x v="290"/>
    <n v="0"/>
    <n v="0"/>
    <n v="0"/>
    <n v="0"/>
    <n v="0"/>
    <n v="0"/>
    <s v="Reserva importada do Sistema TMS. OS: 3756"/>
    <s v="Fornecedor não preenchido! (ACC01)"/>
    <x v="2"/>
    <x v="0"/>
    <s v="Campo Fornecedor"/>
    <x v="0"/>
    <s v="Sistêmico"/>
    <s v="GRUPO KONTIK"/>
    <x v="0"/>
  </r>
  <r>
    <n v="22798596"/>
    <n v="23588492"/>
    <s v="ACC01"/>
    <x v="335"/>
    <d v="2025-09-11T13:26:28"/>
    <x v="3"/>
    <x v="4"/>
    <s v="5ITJ5W"/>
    <s v="TMS"/>
    <s v="TOMAZ TAVARES"/>
    <s v="Tms"/>
    <s v="Tms"/>
    <d v="2025-08-23T07:53:00"/>
    <n v="3439"/>
    <s v="-"/>
    <s v="ON LINE"/>
    <s v="Cartão de crédito"/>
    <s v="Faturado"/>
    <x v="0"/>
    <s v="N"/>
    <x v="54"/>
    <s v="Bernoulli Sistema de Ensino - Belo Horizonte"/>
    <s v="-"/>
    <s v="-"/>
    <s v="-"/>
    <x v="41"/>
    <s v="-"/>
    <x v="291"/>
    <n v="0"/>
    <n v="0"/>
    <n v="0"/>
    <n v="0"/>
    <n v="21.76"/>
    <n v="0"/>
    <s v="Reserva importada do Sistema TMS. OS: 3439"/>
    <s v="Fornecedor não preenchido! (ACC01)"/>
    <x v="2"/>
    <x v="0"/>
    <s v="Campo Fornecedor"/>
    <x v="0"/>
    <s v="Sistêmico"/>
    <s v="GRUPO KONTIK"/>
    <x v="0"/>
  </r>
  <r>
    <n v="22910517"/>
    <n v="23683707"/>
    <s v="ACC01"/>
    <x v="336"/>
    <d v="2025-09-11T19:25:59"/>
    <x v="3"/>
    <x v="3"/>
    <s v="5K7XNH"/>
    <s v="TMS"/>
    <s v="CLAUDIA VICENTINE"/>
    <s v="Tms"/>
    <s v="Tms"/>
    <d v="2025-09-11T12:50:00"/>
    <n v="4119"/>
    <s v="Curitiba / CWB"/>
    <s v="ON LINE"/>
    <s v="Invoice"/>
    <s v="Faturado"/>
    <x v="1"/>
    <s v="N"/>
    <x v="54"/>
    <s v="Bernoulli Sistema de Ensino - Belo Horizonte"/>
    <s v="-"/>
    <s v="-"/>
    <s v="-"/>
    <x v="41"/>
    <s v="-"/>
    <x v="292"/>
    <n v="0"/>
    <n v="0"/>
    <n v="0"/>
    <n v="0"/>
    <n v="0"/>
    <n v="0"/>
    <s v="Reserva importada do Sistema TMS. OS: 4119"/>
    <s v="Fornecedor não preenchido! (ACC01)"/>
    <x v="2"/>
    <x v="0"/>
    <s v="Campo Fornecedor"/>
    <x v="0"/>
    <s v="Qualidade dos dados"/>
    <s v="KONTIK BUSINESS TRAVEL"/>
    <x v="1"/>
  </r>
  <r>
    <n v="22910492"/>
    <n v="23683687"/>
    <s v="ACC01"/>
    <x v="337"/>
    <d v="2025-09-11T19:25:46"/>
    <x v="3"/>
    <x v="3"/>
    <s v="5K7QNH"/>
    <s v="TMS"/>
    <s v="RAFAEL OLIVEIRA"/>
    <s v="Tms"/>
    <s v="Tms"/>
    <d v="2025-09-11T12:51:00"/>
    <n v="4158"/>
    <s v="Salvador / SSA"/>
    <s v="ON LINE"/>
    <s v="Invoice"/>
    <s v="Faturado"/>
    <x v="1"/>
    <s v="N"/>
    <x v="54"/>
    <s v="Bernoulli Sistema de Ensino - Belo Horizonte"/>
    <s v="-"/>
    <s v="-"/>
    <s v="-"/>
    <x v="41"/>
    <s v="-"/>
    <x v="293"/>
    <n v="0"/>
    <n v="0"/>
    <n v="0"/>
    <n v="0"/>
    <n v="0"/>
    <n v="0"/>
    <s v="Reserva importada do Sistema TMS. OS: 4158"/>
    <s v="Fornecedor não preenchido! (ACC01)"/>
    <x v="2"/>
    <x v="0"/>
    <s v="Campo Fornecedor"/>
    <x v="0"/>
    <s v="Qualidade dos dados"/>
    <s v="KONTIK BUSINESS TRAVEL"/>
    <x v="1"/>
  </r>
  <r>
    <n v="22910495"/>
    <n v="23683690"/>
    <s v="ACC01"/>
    <x v="338"/>
    <d v="2025-09-11T19:25:49"/>
    <x v="3"/>
    <x v="3"/>
    <s v="5KOANH"/>
    <s v="TMS"/>
    <s v="ANA FLAVIA BISCAIA"/>
    <s v="Tms"/>
    <s v="Tms"/>
    <d v="2025-09-11T12:50:00"/>
    <n v="4153"/>
    <s v="Curitiba / CWB"/>
    <s v="ON LINE"/>
    <s v="Invoice"/>
    <s v="Faturado"/>
    <x v="1"/>
    <s v="N"/>
    <x v="54"/>
    <s v="Bernoulli Sistema de Ensino - Belo Horizonte"/>
    <s v="-"/>
    <s v="-"/>
    <s v="-"/>
    <x v="41"/>
    <s v="-"/>
    <x v="294"/>
    <n v="0"/>
    <n v="0"/>
    <n v="0"/>
    <n v="0"/>
    <n v="0"/>
    <n v="0"/>
    <s v="Reserva importada do Sistema TMS. OS: 4153"/>
    <s v="Fornecedor não preenchido! (ACC01)"/>
    <x v="2"/>
    <x v="0"/>
    <s v="Campo Fornecedor"/>
    <x v="0"/>
    <s v="Qualidade dos dados"/>
    <s v="KONTIK BUSINESS TRAVEL"/>
    <x v="1"/>
  </r>
  <r>
    <n v="22910501"/>
    <n v="23683694"/>
    <s v="ACC01"/>
    <x v="339"/>
    <d v="2025-09-11T19:25:50"/>
    <x v="3"/>
    <x v="3"/>
    <s v="5KMSLH"/>
    <s v="TMS"/>
    <s v="CAMILA SANTOS"/>
    <s v="Tms"/>
    <s v="Tms"/>
    <d v="2025-09-11T12:50:00"/>
    <n v="4140"/>
    <s v="São José dos Campos / SJK"/>
    <s v="ON LINE"/>
    <s v="Invoice"/>
    <s v="Faturado"/>
    <x v="1"/>
    <s v="N"/>
    <x v="54"/>
    <s v="Bernoulli Sistema de Ensino - Belo Horizonte"/>
    <s v="-"/>
    <s v="-"/>
    <s v="-"/>
    <x v="41"/>
    <s v="-"/>
    <x v="295"/>
    <n v="0"/>
    <n v="0"/>
    <n v="0"/>
    <n v="0"/>
    <n v="0"/>
    <n v="0"/>
    <s v="Reserva importada do Sistema TMS. OS: 4140"/>
    <s v="Fornecedor não preenchido! (ACC01)"/>
    <x v="2"/>
    <x v="0"/>
    <s v="Campo Fornecedor"/>
    <x v="0"/>
    <s v="Qualidade dos dados"/>
    <s v="KONTIK BUSINESS TRAVEL"/>
    <x v="1"/>
  </r>
  <r>
    <n v="22910503"/>
    <n v="23683696"/>
    <s v="ACC01"/>
    <x v="340"/>
    <d v="2025-09-11T19:25:50"/>
    <x v="3"/>
    <x v="3"/>
    <s v="5KASL6"/>
    <s v="TMS"/>
    <s v="CAMILA SANTOS"/>
    <s v="Tms"/>
    <s v="Tms"/>
    <d v="2025-09-11T12:50:00"/>
    <n v="4138"/>
    <s v="São José dos Campos / SJK"/>
    <s v="ON LINE"/>
    <s v="Invoice"/>
    <s v="Faturado"/>
    <x v="1"/>
    <s v="N"/>
    <x v="54"/>
    <s v="Bernoulli Sistema de Ensino - Belo Horizonte"/>
    <s v="-"/>
    <s v="-"/>
    <s v="-"/>
    <x v="41"/>
    <s v="-"/>
    <x v="296"/>
    <n v="0"/>
    <n v="0"/>
    <n v="0"/>
    <n v="0"/>
    <n v="0"/>
    <n v="0"/>
    <s v="Reserva importada do Sistema TMS. OS: 4138"/>
    <s v="Fornecedor não preenchido! (ACC01)"/>
    <x v="2"/>
    <x v="0"/>
    <s v="Campo Fornecedor"/>
    <x v="0"/>
    <s v="Qualidade dos dados"/>
    <s v="KONTIK BUSINESS TRAVEL"/>
    <x v="1"/>
  </r>
  <r>
    <n v="22892804"/>
    <n v="23668166"/>
    <s v="ACC01"/>
    <x v="341"/>
    <d v="2025-09-11T14:10:47"/>
    <x v="3"/>
    <x v="0"/>
    <s v="5KXJVX"/>
    <s v="TMS"/>
    <s v="HELOISA BALDO"/>
    <s v="Tms"/>
    <s v="Tms"/>
    <d v="2025-09-08T19:01:00"/>
    <n v="4006"/>
    <s v="-"/>
    <s v="ON LINE"/>
    <s v="Cartão de crédito"/>
    <s v="Faturado"/>
    <x v="0"/>
    <s v="N"/>
    <x v="54"/>
    <s v="Bernoulli Sistema de Ensino - Belo Horizonte"/>
    <s v="-"/>
    <s v="-"/>
    <s v="-"/>
    <x v="41"/>
    <s v="-"/>
    <x v="297"/>
    <n v="0"/>
    <n v="0"/>
    <n v="0"/>
    <n v="0"/>
    <n v="44.16"/>
    <n v="0"/>
    <s v="Reserva importada do Sistema TMS. OS: 4006"/>
    <s v="Fornecedor não preenchido! (ACC01)"/>
    <x v="2"/>
    <x v="0"/>
    <s v="Campo Fornecedor"/>
    <x v="0"/>
    <s v="Sistêmico"/>
    <s v="GRUPO KONTIK"/>
    <x v="0"/>
  </r>
  <r>
    <n v="22858205"/>
    <n v="23638717"/>
    <s v="ACC01"/>
    <x v="342"/>
    <d v="2025-09-11T13:40:40"/>
    <x v="3"/>
    <x v="2"/>
    <s v="5JAO44"/>
    <s v="TMS"/>
    <s v="FLAVIA DIAS"/>
    <s v="Tms"/>
    <s v="Tms"/>
    <d v="2025-09-02T20:29:00"/>
    <n v="3819"/>
    <s v="-"/>
    <s v="ON LINE"/>
    <s v="Cartão de crédito"/>
    <s v="Faturado"/>
    <x v="0"/>
    <s v="N"/>
    <x v="54"/>
    <s v="Bernoulli Sistema de Ensino - Belo Horizonte"/>
    <s v="-"/>
    <s v="-"/>
    <s v="-"/>
    <x v="41"/>
    <s v="-"/>
    <x v="298"/>
    <n v="0"/>
    <n v="0"/>
    <n v="0"/>
    <n v="0"/>
    <n v="0"/>
    <n v="0"/>
    <s v="Reserva importada do Sistema TMS. OS: 3819"/>
    <s v="Fornecedor não preenchido! (ACC01)"/>
    <x v="2"/>
    <x v="0"/>
    <s v="Campo Fornecedor"/>
    <x v="0"/>
    <s v="Sistêmico"/>
    <s v="GRUPO KONTIK"/>
    <x v="0"/>
  </r>
  <r>
    <n v="22858206"/>
    <n v="23638718"/>
    <s v="ACC01"/>
    <x v="343"/>
    <d v="2025-09-11T13:40:40"/>
    <x v="3"/>
    <x v="2"/>
    <s v="5JXLFF"/>
    <s v="TMS"/>
    <s v="FLAVIA DIAS"/>
    <s v="Tms"/>
    <s v="Tms"/>
    <d v="2025-09-02T20:29:00"/>
    <n v="3818"/>
    <s v="-"/>
    <s v="ON LINE"/>
    <s v="Cartão de crédito"/>
    <s v="Faturado"/>
    <x v="0"/>
    <s v="N"/>
    <x v="54"/>
    <s v="Bernoulli Sistema de Ensino - Belo Horizonte"/>
    <s v="-"/>
    <s v="-"/>
    <s v="-"/>
    <x v="41"/>
    <s v="-"/>
    <x v="299"/>
    <n v="0"/>
    <n v="0"/>
    <n v="0"/>
    <n v="0"/>
    <n v="0"/>
    <n v="0"/>
    <s v="Reserva importada do Sistema TMS. OS: 3818"/>
    <s v="Fornecedor não preenchido! (ACC01)"/>
    <x v="2"/>
    <x v="0"/>
    <s v="Campo Fornecedor"/>
    <x v="0"/>
    <s v="Sistêmico"/>
    <s v="GRUPO KONTIK"/>
    <x v="0"/>
  </r>
  <r>
    <n v="22895317"/>
    <n v="23670313"/>
    <s v="ACC01"/>
    <x v="344"/>
    <d v="2025-09-11T14:12:59"/>
    <x v="3"/>
    <x v="0"/>
    <s v="5K9GM3"/>
    <s v="TMS"/>
    <s v="LUCAS CENCI ARAGAO"/>
    <s v="Tms"/>
    <s v="Tms"/>
    <d v="2025-09-09T10:31:00"/>
    <n v="42198"/>
    <s v="-"/>
    <s v="ON LINE"/>
    <s v="Cartão de crédito"/>
    <s v="Cartão de crédito"/>
    <x v="0"/>
    <s v="N"/>
    <x v="55"/>
    <s v="Sorocabana"/>
    <s v="-"/>
    <s v="-"/>
    <s v="-"/>
    <x v="42"/>
    <s v="-"/>
    <x v="300"/>
    <n v="0"/>
    <n v="0"/>
    <n v="0"/>
    <n v="0"/>
    <n v="30.75"/>
    <n v="0"/>
    <s v="Reserva importada do Sistema TMS. OS: 42198"/>
    <s v="Fornecedor não preenchido! (ACC01)"/>
    <x v="2"/>
    <x v="0"/>
    <s v="Campo Fornecedor"/>
    <x v="0"/>
    <s v="Sistêmico"/>
    <s v="GRUPO KONTIK"/>
    <x v="0"/>
  </r>
  <r>
    <n v="22911025"/>
    <n v="23684209"/>
    <s v="ACC01"/>
    <x v="345"/>
    <d v="2025-09-11T20:16:16"/>
    <x v="3"/>
    <x v="3"/>
    <s v="5KAFAJ"/>
    <s v="TMS"/>
    <s v="SAMUEL ROSSINI MARCONDES"/>
    <s v="Tms"/>
    <s v="Tms"/>
    <d v="2025-09-11T13:38:00"/>
    <n v="42215"/>
    <s v="Curitiba / CWB"/>
    <s v="ON LINE"/>
    <s v="Invoice"/>
    <s v="Faturado"/>
    <x v="1"/>
    <s v="N"/>
    <x v="55"/>
    <s v="Motiva Filial"/>
    <s v="-"/>
    <s v="-"/>
    <s v="-"/>
    <x v="42"/>
    <s v="-"/>
    <x v="301"/>
    <n v="0"/>
    <n v="0"/>
    <n v="0"/>
    <n v="0"/>
    <n v="0"/>
    <n v="0"/>
    <s v="Reserva importada do Sistema TMS. OS: 42215"/>
    <s v="Fornecedor não preenchido! (ACC01)"/>
    <x v="2"/>
    <x v="0"/>
    <s v="Campo Fornecedor"/>
    <x v="0"/>
    <s v="Qualidade dos dados"/>
    <s v="KONTIK BUSINESS TRAVEL"/>
    <x v="1"/>
  </r>
  <r>
    <n v="22910988"/>
    <n v="23684172"/>
    <s v="ACC01"/>
    <x v="346"/>
    <d v="2025-09-11T20:11:03"/>
    <x v="3"/>
    <x v="3"/>
    <s v="5KIBQ7"/>
    <s v="TMS"/>
    <s v="DANIEL MICELLI"/>
    <s v="Tms"/>
    <s v="Tms"/>
    <d v="2025-09-11T16:40:00"/>
    <n v="42433"/>
    <s v="Sao Carlos / QSC"/>
    <s v="ON LINE"/>
    <s v="Invoice"/>
    <s v="Faturado"/>
    <x v="1"/>
    <s v="N"/>
    <x v="55"/>
    <s v="Motiva Filial"/>
    <s v="-"/>
    <s v="-"/>
    <s v="-"/>
    <x v="42"/>
    <s v="-"/>
    <x v="302"/>
    <n v="0"/>
    <n v="0"/>
    <n v="0"/>
    <n v="0"/>
    <n v="0"/>
    <n v="0"/>
    <s v="Reserva importada do Sistema TMS. OS: 42433"/>
    <s v="Fornecedor não preenchido! (ACC01)"/>
    <x v="2"/>
    <x v="0"/>
    <s v="Campo Fornecedor"/>
    <x v="0"/>
    <s v="Qualidade dos dados"/>
    <s v="KONTIK BUSINESS TRAVEL"/>
    <x v="1"/>
  </r>
  <r>
    <n v="22910994"/>
    <n v="23684178"/>
    <s v="ACC01"/>
    <x v="347"/>
    <d v="2025-09-11T20:11:20"/>
    <x v="3"/>
    <x v="3"/>
    <s v="5KEQZJ"/>
    <s v="TMS"/>
    <s v="FRANCINE LUZ DOS SANTOS"/>
    <s v="Tms"/>
    <s v="Tms"/>
    <d v="2025-09-11T16:04:00"/>
    <n v="42424"/>
    <s v="Londrina / LDB"/>
    <s v="ON LINE"/>
    <s v="Invoice"/>
    <s v="Faturado"/>
    <x v="1"/>
    <s v="N"/>
    <x v="55"/>
    <s v="Motiva Filial"/>
    <s v="-"/>
    <s v="-"/>
    <s v="-"/>
    <x v="42"/>
    <s v="-"/>
    <x v="303"/>
    <n v="0"/>
    <n v="0"/>
    <n v="0"/>
    <n v="0"/>
    <n v="0"/>
    <n v="0"/>
    <s v="Reserva importada do Sistema TMS. OS: 42424"/>
    <s v="Fornecedor não preenchido! (ACC01)"/>
    <x v="2"/>
    <x v="0"/>
    <s v="Campo Fornecedor"/>
    <x v="0"/>
    <s v="Qualidade dos dados"/>
    <s v="KONTIK BUSINESS TRAVEL"/>
    <x v="1"/>
  </r>
  <r>
    <n v="22912695"/>
    <n v="23685653"/>
    <s v="ACC01"/>
    <x v="348"/>
    <d v="2025-09-12T00:51:12"/>
    <x v="3"/>
    <x v="3"/>
    <s v="5KJJGU"/>
    <s v="TMS"/>
    <s v="LUCAS LEANDRO LIMA"/>
    <s v="Tms"/>
    <s v="Tms"/>
    <d v="2025-09-11T20:01:00"/>
    <n v="42443"/>
    <s v="-"/>
    <s v="ON LINE"/>
    <s v="Cartão de crédito"/>
    <s v="Cartão de crédito"/>
    <x v="0"/>
    <s v="N"/>
    <x v="55"/>
    <s v="Motiva Filial"/>
    <s v="-"/>
    <s v="-"/>
    <s v="-"/>
    <x v="42"/>
    <s v="-"/>
    <x v="304"/>
    <n v="0"/>
    <n v="0"/>
    <n v="0"/>
    <n v="0"/>
    <n v="0"/>
    <n v="0"/>
    <s v="Reserva importada do Sistema TMS. OS: 42443"/>
    <s v="Fornecedor não preenchido! (ACC01)"/>
    <x v="2"/>
    <x v="0"/>
    <s v="Campo Fornecedor"/>
    <x v="0"/>
    <s v="Sistêmico"/>
    <s v="GRUPO KONTIK"/>
    <x v="0"/>
  </r>
  <r>
    <n v="22877529"/>
    <n v="23656115"/>
    <s v="ACC01"/>
    <x v="349"/>
    <d v="2025-09-11T13:55:15"/>
    <x v="3"/>
    <x v="1"/>
    <s v="5JMH89"/>
    <s v="TMS"/>
    <s v="GUILHERME CLARO FRARE"/>
    <s v="Tms"/>
    <s v="Tms"/>
    <d v="2025-09-05T15:53:00"/>
    <n v="41957"/>
    <s v="-"/>
    <s v="ON LINE"/>
    <s v="Cartão de crédito"/>
    <s v="Cartão de crédito"/>
    <x v="0"/>
    <s v="N"/>
    <x v="55"/>
    <s v="Motiva Filial"/>
    <s v="-"/>
    <s v="-"/>
    <s v="-"/>
    <x v="42"/>
    <s v="-"/>
    <x v="305"/>
    <n v="0"/>
    <n v="0"/>
    <n v="0"/>
    <n v="0"/>
    <n v="0"/>
    <n v="0"/>
    <s v="Reserva importada do Sistema TMS. OS: 41957"/>
    <s v="Fornecedor não preenchido! (ACC01)"/>
    <x v="2"/>
    <x v="0"/>
    <s v="Campo Fornecedor"/>
    <x v="0"/>
    <s v="Sistêmico"/>
    <s v="GRUPO KONTIK"/>
    <x v="0"/>
  </r>
  <r>
    <n v="22877538"/>
    <n v="23656124"/>
    <s v="ACC01"/>
    <x v="350"/>
    <d v="2025-09-11T13:55:16"/>
    <x v="3"/>
    <x v="1"/>
    <s v="5JGHIO"/>
    <s v="TMS"/>
    <s v="THIAGO ARAUJO DA SILVA"/>
    <s v="Tms"/>
    <s v="Tms"/>
    <d v="2025-09-05T15:50:00"/>
    <n v="41947"/>
    <s v="-"/>
    <s v="ON LINE"/>
    <s v="Cartão de crédito"/>
    <s v="Cartão de crédito"/>
    <x v="0"/>
    <s v="N"/>
    <x v="55"/>
    <s v="Motiva Filial"/>
    <s v="-"/>
    <s v="-"/>
    <s v="-"/>
    <x v="42"/>
    <s v="-"/>
    <x v="306"/>
    <n v="0"/>
    <n v="0"/>
    <n v="0"/>
    <n v="0"/>
    <n v="0"/>
    <n v="0"/>
    <s v="Reserva importada do Sistema TMS. OS: 41947"/>
    <s v="Fornecedor não preenchido! (ACC01)"/>
    <x v="2"/>
    <x v="0"/>
    <s v="Campo Fornecedor"/>
    <x v="0"/>
    <s v="Sistêmico"/>
    <s v="GRUPO KONTIK"/>
    <x v="0"/>
  </r>
  <r>
    <n v="22877584"/>
    <n v="23656162"/>
    <s v="ACC01"/>
    <x v="351"/>
    <d v="2025-09-11T13:55:17"/>
    <x v="3"/>
    <x v="1"/>
    <s v="5JT78L"/>
    <s v="TMS"/>
    <s v="ALEXANDRE APOSTOLOPOULOS"/>
    <s v="Tms"/>
    <s v="Tms"/>
    <d v="2025-09-05T15:44:00"/>
    <n v="41920"/>
    <s v="-"/>
    <s v="ON LINE"/>
    <s v="Cartão de crédito"/>
    <s v="Cartão de crédito"/>
    <x v="0"/>
    <s v="N"/>
    <x v="55"/>
    <s v="Motiva Filial"/>
    <s v="-"/>
    <s v="-"/>
    <s v="-"/>
    <x v="42"/>
    <s v="-"/>
    <x v="307"/>
    <n v="0"/>
    <n v="0"/>
    <n v="0"/>
    <n v="0"/>
    <n v="0"/>
    <n v="0"/>
    <s v="Reserva importada do Sistema TMS. OS: 41920"/>
    <s v="Fornecedor não preenchido! (ACC01)"/>
    <x v="2"/>
    <x v="0"/>
    <s v="Campo Fornecedor"/>
    <x v="0"/>
    <s v="Sistêmico"/>
    <s v="GRUPO KONTIK"/>
    <x v="0"/>
  </r>
  <r>
    <n v="22911002"/>
    <n v="23684186"/>
    <s v="ACC01"/>
    <x v="352"/>
    <d v="2025-09-11T20:11:28"/>
    <x v="3"/>
    <x v="3"/>
    <s v="5KU1AU"/>
    <s v="TMS"/>
    <s v="SERGIO JOSE FERREIRA"/>
    <s v="Valeria Bottino da Silva"/>
    <s v="Valeria Bottino da Silva"/>
    <d v="2025-09-11T15:03:00"/>
    <n v="42406"/>
    <s v="-"/>
    <s v="OFF LINE"/>
    <s v="Cartão de crédito"/>
    <s v="Cartão de crédito"/>
    <x v="0"/>
    <s v="N"/>
    <x v="55"/>
    <s v="Motiva Filial"/>
    <s v="-"/>
    <s v="-"/>
    <s v="-"/>
    <x v="42"/>
    <s v="-"/>
    <x v="194"/>
    <n v="0"/>
    <n v="0"/>
    <n v="0"/>
    <n v="0"/>
    <n v="0"/>
    <n v="0"/>
    <s v="Reserva importada do Sistema TMS. OS: 42406"/>
    <s v="Fornecedor não preenchido! (ACC01)"/>
    <x v="2"/>
    <x v="0"/>
    <s v="Campo Fornecedor"/>
    <x v="0"/>
    <s v="Qualidade dos dados"/>
    <s v="KONTIK BUSINESS TRAVEL"/>
    <x v="1"/>
  </r>
  <r>
    <n v="22911003"/>
    <n v="23684187"/>
    <s v="ACC01"/>
    <x v="353"/>
    <d v="2025-09-11T20:15:19"/>
    <x v="3"/>
    <x v="3"/>
    <s v="5K8QAJ"/>
    <s v="TMS"/>
    <s v="RODRIGO CESAR PAVRET"/>
    <s v="Valeria Bottino da Silva"/>
    <s v="Valeria Bottino da Silva"/>
    <d v="2025-09-11T15:06:00"/>
    <n v="42405"/>
    <s v="-"/>
    <s v="OFF LINE"/>
    <s v="Cartão de crédito"/>
    <s v="Cartão de crédito"/>
    <x v="0"/>
    <s v="N"/>
    <x v="55"/>
    <s v="Motiva Filial"/>
    <s v="-"/>
    <s v="-"/>
    <s v="-"/>
    <x v="42"/>
    <s v="-"/>
    <x v="194"/>
    <n v="0"/>
    <n v="0"/>
    <n v="0"/>
    <n v="0"/>
    <n v="0"/>
    <n v="0"/>
    <s v="Reserva importada do Sistema TMS. OS: 42405"/>
    <s v="Fornecedor não preenchido! (ACC01)"/>
    <x v="2"/>
    <x v="0"/>
    <s v="Campo Fornecedor"/>
    <x v="0"/>
    <s v="Qualidade dos dados"/>
    <s v="KONTIK BUSINESS TRAVEL"/>
    <x v="1"/>
  </r>
  <r>
    <n v="22833882"/>
    <n v="23618656"/>
    <s v="ACC03"/>
    <x v="354"/>
    <d v="2025-08-29T12:54:25"/>
    <x v="2"/>
    <x v="2"/>
    <s v="AIZPOZT"/>
    <s v="SABRE"/>
    <s v="BARROS/NILSA"/>
    <s v="Ana Clara Brime"/>
    <s v="Ana Clara Brime"/>
    <d v="2025-08-28T09:18:00"/>
    <s v="AIZPOZ"/>
    <s v="-"/>
    <s v="OFF LINE"/>
    <s v="Cartão de crédito"/>
    <s v="Cartão de crédito"/>
    <x v="0"/>
    <s v="N"/>
    <x v="51"/>
    <s v="Grupo Casas Bahia S.a."/>
    <s v="-"/>
    <s v="-"/>
    <s v="-"/>
    <x v="38"/>
    <s v="-"/>
    <x v="203"/>
    <n v="0"/>
    <n v="0"/>
    <n v="0"/>
    <n v="0"/>
    <n v="0"/>
    <n v="0"/>
    <s v="Reserva importada por HubTravel"/>
    <s v="Fornecedor não preenchido! (ACC03)"/>
    <x v="1"/>
    <x v="0"/>
    <s v="Campo Fornecedor"/>
    <x v="0"/>
    <s v="Qualidade dos dados"/>
    <s v="KONTIK BUSINESS TRAVEL"/>
    <x v="1"/>
  </r>
  <r>
    <n v="22863316"/>
    <n v="23643191"/>
    <s v="ACC01"/>
    <x v="355"/>
    <d v="2025-09-11T13:43:17"/>
    <x v="3"/>
    <x v="2"/>
    <s v="5JXTIT"/>
    <s v="TMS"/>
    <s v="SERGIO OLIVEIRA"/>
    <s v="Catia Leite Oliveira"/>
    <s v="Catia Leite Oliveira"/>
    <d v="2025-09-03T17:24:00"/>
    <n v="41733"/>
    <s v="Santa Catarina / SC, Brasil (C23)"/>
    <s v="OFF LINE"/>
    <s v="Invoice"/>
    <s v="Faturado"/>
    <x v="1"/>
    <s v="N"/>
    <x v="55"/>
    <s v="Viacosteira"/>
    <s v="-"/>
    <s v="-"/>
    <s v="-"/>
    <x v="42"/>
    <s v="-"/>
    <x v="308"/>
    <n v="0"/>
    <n v="0"/>
    <n v="0"/>
    <n v="0"/>
    <n v="0"/>
    <n v="0"/>
    <s v="Reserva importada do Sistema TMS. OS: 41733"/>
    <s v="Fornecedor não preenchido! (ACC01)"/>
    <x v="2"/>
    <x v="0"/>
    <s v="Campo Fornecedor"/>
    <x v="0"/>
    <s v="Qualidade dos dados"/>
    <s v="KONTIK BUSINESS TRAVEL"/>
    <x v="1"/>
  </r>
  <r>
    <n v="22910999"/>
    <n v="23684183"/>
    <s v="ACC01"/>
    <x v="356"/>
    <d v="2025-09-11T20:11:24"/>
    <x v="3"/>
    <x v="3"/>
    <s v="5K5QZ7"/>
    <s v="TMS"/>
    <s v="SERGIO GUSTAVO MASSARO"/>
    <s v="Jeane Alencar Pereira"/>
    <s v="Jeane Alencar Pereira"/>
    <d v="2025-09-11T13:49:00"/>
    <n v="42410"/>
    <s v="Sao Jose / SC, Brasil (FLN)"/>
    <s v="OFF LINE"/>
    <s v="Invoice"/>
    <s v="Faturado"/>
    <x v="1"/>
    <s v="N"/>
    <x v="55"/>
    <s v="Viacosteira"/>
    <s v="-"/>
    <s v="-"/>
    <s v="-"/>
    <x v="42"/>
    <s v="-"/>
    <x v="309"/>
    <n v="0"/>
    <n v="4416"/>
    <n v="0"/>
    <n v="0"/>
    <n v="0"/>
    <n v="0"/>
    <s v="Reserva importada do Sistema TMS. OS: 42410"/>
    <s v="Fornecedor não preenchido! (ACC01)"/>
    <x v="2"/>
    <x v="0"/>
    <s v="Campo Fornecedor"/>
    <x v="0"/>
    <s v="Qualidade dos dados"/>
    <s v="KONTIK BUSINESS TRAVEL"/>
    <x v="1"/>
  </r>
  <r>
    <n v="22816113"/>
    <n v="23602868"/>
    <s v="ACC01"/>
    <x v="357"/>
    <d v="2025-09-11T13:28:21"/>
    <x v="3"/>
    <x v="4"/>
    <s v="5I3Z55"/>
    <s v="TMS"/>
    <s v="ADEMIR APARECIDO DE CAMPOS JUNIOR"/>
    <s v="Flavio Roberto Ferreira"/>
    <s v="Flavio Roberto Ferreira"/>
    <d v="2025-08-26T17:45:00"/>
    <n v="40908"/>
    <s v="-"/>
    <s v="OFF LINE"/>
    <s v="Invoice"/>
    <s v="Faturado"/>
    <x v="2"/>
    <s v="N"/>
    <x v="55"/>
    <s v="Riosp"/>
    <s v="-"/>
    <s v="-"/>
    <s v="-"/>
    <x v="42"/>
    <s v="-"/>
    <x v="310"/>
    <n v="0"/>
    <n v="0"/>
    <n v="0"/>
    <n v="0"/>
    <n v="0"/>
    <n v="0"/>
    <s v="Reserva importada do Sistema TMS. OS: 40908"/>
    <s v="Fornecedor não preenchido! (ACC01)"/>
    <x v="2"/>
    <x v="0"/>
    <s v="Campo Fornecedor"/>
    <x v="0"/>
    <s v="Qualidade dos dados"/>
    <s v="KONTIK BUSINESS TRAVEL"/>
    <x v="1"/>
  </r>
  <r>
    <n v="22854434"/>
    <n v="23635240"/>
    <s v="ACC01"/>
    <x v="358"/>
    <d v="2025-09-02T18:05:16"/>
    <x v="2"/>
    <x v="2"/>
    <s v="QVSGAH"/>
    <s v="GOVER"/>
    <s v="Sueli Santos Silva"/>
    <s v="Gover"/>
    <s v="Gover"/>
    <d v="2025-09-02T12:35:00"/>
    <n v="4591469"/>
    <s v="CPQC05 Endereço: "/>
    <s v="ON LINE"/>
    <s v="Invoice"/>
    <s v="Faturado"/>
    <x v="1"/>
    <s v="N"/>
    <x v="56"/>
    <s v="Bosch Concierge"/>
    <s v="-"/>
    <s v="-"/>
    <s v="-"/>
    <x v="1"/>
    <s v="-"/>
    <x v="311"/>
    <n v="74.58"/>
    <n v="0"/>
    <n v="0"/>
    <n v="0"/>
    <n v="0"/>
    <n v="0"/>
    <s v="Reserva importada do sistema Gover. Id: 4591469"/>
    <s v="Fornecedor não preenchido! (ACC01)"/>
    <x v="0"/>
    <x v="0"/>
    <s v="Campo Fornecedor"/>
    <x v="0"/>
    <s v="Sistêmico"/>
    <s v="GRUPO KONTIK"/>
    <x v="0"/>
  </r>
  <r>
    <n v="22909826"/>
    <n v="23683059"/>
    <s v="ACC01"/>
    <x v="359"/>
    <d v="2025-09-11T16:44:42"/>
    <x v="3"/>
    <x v="3"/>
    <s v="KQCQLR"/>
    <s v="GOVER"/>
    <s v="SIMONE GUERRERO DAVID"/>
    <s v="Juliana dos Santos Pinto"/>
    <s v="Juliana dos Santos Pinto"/>
    <d v="2025-09-11T16:22:00"/>
    <n v="4594695"/>
    <s v="-"/>
    <s v="OFF LINE"/>
    <s v="Cartão de crédito"/>
    <s v="Cartão AMEX"/>
    <x v="3"/>
    <s v="N"/>
    <x v="57"/>
    <s v="Isdin Sp"/>
    <s v="-"/>
    <s v="Gol Linhas Aereas"/>
    <n v="2144310685"/>
    <x v="43"/>
    <s v="-"/>
    <x v="6"/>
    <n v="0"/>
    <n v="0"/>
    <n v="0"/>
    <n v="0"/>
    <n v="0"/>
    <n v="0"/>
    <s v="Reserva importada do sistema Gover. Id: 4594695"/>
    <s v="Tarifa mínima não preenchida! (ACC01) Tarifa máxima não preenchida! (ACC01)"/>
    <x v="0"/>
    <x v="2"/>
    <s v="Falta de informação Gerencial"/>
    <x v="0"/>
    <s v="Qualidade dos dados"/>
    <s v="GRUPO KONTIK"/>
    <x v="4"/>
  </r>
  <r>
    <n v="22909827"/>
    <n v="23683060"/>
    <s v="ACC01"/>
    <x v="360"/>
    <d v="2025-09-11T16:44:43"/>
    <x v="3"/>
    <x v="3"/>
    <s v="LBNZQN"/>
    <s v="GOVER"/>
    <s v="ALANA DE SOUZA DE OLIVEIRA"/>
    <s v="Juliana dos Santos Pinto"/>
    <s v="Juliana dos Santos Pinto"/>
    <d v="2025-09-11T16:22:00"/>
    <n v="4594695"/>
    <s v="-"/>
    <s v="OFF LINE"/>
    <s v="Cartão de crédito"/>
    <s v="Cartão AMEX"/>
    <x v="3"/>
    <s v="N"/>
    <x v="57"/>
    <s v="Isdin Sp"/>
    <s v="-"/>
    <s v="Gol Linhas Aereas"/>
    <n v="2144312554"/>
    <x v="43"/>
    <s v="-"/>
    <x v="6"/>
    <n v="0"/>
    <n v="0"/>
    <n v="0"/>
    <n v="0"/>
    <n v="0"/>
    <n v="0"/>
    <s v="Reserva importada do sistema Gover. Id: 4594695"/>
    <s v="Tarifa mínima não preenchida! (ACC01) Tarifa máxima não preenchida! (ACC01)"/>
    <x v="0"/>
    <x v="2"/>
    <s v="Falta de informação Gerencial"/>
    <x v="0"/>
    <s v="Qualidade dos dados"/>
    <s v="GRUPO KONTIK"/>
    <x v="4"/>
  </r>
  <r>
    <n v="22828482"/>
    <n v="23613921"/>
    <s v="ACC01"/>
    <x v="361"/>
    <d v="2025-08-28T17:21:59"/>
    <x v="2"/>
    <x v="2"/>
    <s v="CNRVXB"/>
    <s v="GOVER"/>
    <s v="Roberta Lamim Sardá"/>
    <s v="Gover"/>
    <s v="Gover"/>
    <d v="2025-08-28T16:41:00"/>
    <n v="4589663"/>
    <s v="-"/>
    <s v="ON LINE"/>
    <s v="Cartão de crédito"/>
    <s v="Cartão AMEX"/>
    <x v="3"/>
    <s v="N"/>
    <x v="57"/>
    <s v="Isdin Sp"/>
    <s v="-"/>
    <s v="Gol Linhas Aereas"/>
    <n v="2144315740"/>
    <x v="43"/>
    <s v="-"/>
    <x v="312"/>
    <n v="60.62"/>
    <n v="0"/>
    <n v="0"/>
    <n v="0"/>
    <n v="0"/>
    <n v="0"/>
    <s v="Reserva importada do sistema Gover. Id: 4589663"/>
    <s v="Autorização do cartão da forma de pagamento não preenchida! (ACC01) Autorização do cartão da forma de recebimento não preenchida! (ACC01)"/>
    <x v="0"/>
    <x v="2"/>
    <s v="Falta de informação Gerencial"/>
    <x v="0"/>
    <s v="Qualidade dos dados"/>
    <s v="KONTIK BUSINESS TRAVEL"/>
    <x v="1"/>
  </r>
  <r>
    <n v="22877465"/>
    <n v="23656054"/>
    <s v="ACC01"/>
    <x v="362"/>
    <d v="2025-09-05T19:30:45"/>
    <x v="1"/>
    <x v="1"/>
    <s v="JZSMRX0"/>
    <s v="TMS"/>
    <s v="LUIZ ASSIS"/>
    <s v="Juliana dos Santos Pinto"/>
    <s v="Juliana dos Santos Pinto"/>
    <d v="2025-09-05T16:00:00"/>
    <n v="5560"/>
    <s v="-"/>
    <s v="OFF LINE"/>
    <s v="Cartão de crédito"/>
    <s v="Cartão de crédito"/>
    <x v="3"/>
    <s v="N"/>
    <x v="58"/>
    <s v="Hpe Automotores - Sao Paulo"/>
    <s v="-"/>
    <s v="Gol Linhas Aereas"/>
    <n v="2144852505"/>
    <x v="21"/>
    <s v="-"/>
    <x v="6"/>
    <n v="0"/>
    <n v="0"/>
    <n v="0"/>
    <n v="0"/>
    <n v="0"/>
    <n v="0"/>
    <s v="Reserva importada do Sistema TMS. OS: 5560"/>
    <s v="Tarifa mínima não preenchida! (ACC01)"/>
    <x v="2"/>
    <x v="3"/>
    <s v="Falta de informação Gerencial"/>
    <x v="0"/>
    <s v="Qualidade dos dados"/>
    <s v="GRUPO KONTIK"/>
    <x v="4"/>
  </r>
  <r>
    <n v="22910642"/>
    <n v="23683829"/>
    <s v="ACC01"/>
    <x v="363"/>
    <d v="2025-09-11T18:28:30"/>
    <x v="3"/>
    <x v="3"/>
    <s v="NWZUWL"/>
    <s v="GOVER"/>
    <s v="Alexandre da Silva Melo"/>
    <s v="Juliana dos Santos Pinto"/>
    <s v="Juliana dos Santos Pinto"/>
    <d v="2025-09-11T18:14:00"/>
    <n v="4595879"/>
    <s v="-"/>
    <s v="OFF LINE"/>
    <s v="Cartão de crédito"/>
    <s v="Cartão de crédito"/>
    <x v="3"/>
    <s v="N"/>
    <x v="32"/>
    <s v="Atlas Copco Brasil Ltda"/>
    <s v="-"/>
    <s v="Gol Linhas Aereas"/>
    <n v="2145230136"/>
    <x v="6"/>
    <s v="-"/>
    <x v="313"/>
    <n v="400"/>
    <n v="0"/>
    <n v="0"/>
    <n v="0"/>
    <n v="0"/>
    <n v="0"/>
    <s v="Reserva importada do sistema Gover. Id: 4595879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892025"/>
    <n v="23667555"/>
    <s v="ACC01"/>
    <x v="364"/>
    <d v="2025-09-11T13:28:10"/>
    <x v="3"/>
    <x v="0"/>
    <s v="UMMBCB"/>
    <s v="SABRE"/>
    <s v="JOAQUIM/RINALDO GERONIMO"/>
    <s v="WS"/>
    <s v="WS"/>
    <d v="2025-09-08T15:22:00"/>
    <s v="GWNLBK"/>
    <s v="-"/>
    <s v="ON LINE"/>
    <s v="Cartão de crédito"/>
    <s v="Cartão AMEX"/>
    <x v="3"/>
    <s v="N"/>
    <x v="59"/>
    <s v="Sibelco - Jaguaruna - Filial"/>
    <s v="-"/>
    <s v="Gol Linhas Aereas"/>
    <n v="7700076893"/>
    <x v="44"/>
    <s v="-"/>
    <x v="314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2"/>
    <s v="Falta de informação Gerencial"/>
    <x v="0"/>
    <s v="Qualidade dos dados"/>
    <s v="KONTIK BUSINESS TRAVEL"/>
    <x v="1"/>
  </r>
  <r>
    <n v="22892026"/>
    <n v="23667556"/>
    <s v="ACC01"/>
    <x v="365"/>
    <d v="2025-09-11T13:28:11"/>
    <x v="3"/>
    <x v="0"/>
    <s v="MUABUV"/>
    <s v="SABRE"/>
    <s v="JOAQUIM/RINALDO GERONIMO"/>
    <s v="WS"/>
    <s v="WS"/>
    <d v="2025-09-08T15:31:00"/>
    <s v="IGCRHT"/>
    <s v="-"/>
    <s v="ON LINE"/>
    <s v="Cartão de crédito"/>
    <s v="Cartão AMEX"/>
    <x v="3"/>
    <s v="N"/>
    <x v="59"/>
    <s v="Sibelco - Jaguaruna - Filial"/>
    <s v="-"/>
    <s v="Gol Linhas Aereas"/>
    <n v="7700076894"/>
    <x v="44"/>
    <s v="-"/>
    <x v="31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2"/>
    <s v="Falta de informação Gerencial"/>
    <x v="0"/>
    <s v="Qualidade dos dados"/>
    <s v="KONTIK BUSINESS TRAVEL"/>
    <x v="1"/>
  </r>
  <r>
    <n v="22892027"/>
    <n v="23667557"/>
    <s v="ACC01"/>
    <x v="366"/>
    <d v="2025-09-11T13:28:12"/>
    <x v="3"/>
    <x v="0"/>
    <s v="UKHIKR"/>
    <s v="SABRE"/>
    <s v="JOAQUIM/RINALDO GERONIMO"/>
    <s v="WS"/>
    <s v="WS"/>
    <d v="2025-09-08T15:49:00"/>
    <s v="IHOHZI"/>
    <s v="-"/>
    <s v="ON LINE"/>
    <s v="Cartão de crédito"/>
    <s v="Cartão AMEX"/>
    <x v="3"/>
    <s v="N"/>
    <x v="59"/>
    <s v="Sibelco - Jaguaruna - Filial"/>
    <s v="-"/>
    <s v="Gol Linhas Aereas"/>
    <n v="7700076895"/>
    <x v="44"/>
    <s v="-"/>
    <x v="316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2"/>
    <s v="Falta de informação Gerencial"/>
    <x v="0"/>
    <s v="Qualidade dos dados"/>
    <s v="KONTIK BUSINESS TRAVEL"/>
    <x v="1"/>
  </r>
  <r>
    <n v="22868673"/>
    <n v="23647755"/>
    <s v="ACC01"/>
    <x v="367"/>
    <d v="2025-09-11T13:28:05"/>
    <x v="3"/>
    <x v="1"/>
    <s v="EMETUC"/>
    <s v="SABRE"/>
    <s v="FIOROTTI/MARCOS DANIEL"/>
    <s v="CT"/>
    <s v="CT"/>
    <d v="2025-09-04T10:55:00"/>
    <s v="F272VWBJ4"/>
    <s v="-"/>
    <s v="ON LINE"/>
    <s v="Cartão de crédito"/>
    <s v="Cartão AMEX"/>
    <x v="3"/>
    <s v="N"/>
    <x v="31"/>
    <s v="Suvinil"/>
    <s v="-"/>
    <s v="Gol Linhas Aereas"/>
    <n v="7700076672"/>
    <x v="25"/>
    <s v="-"/>
    <x v="317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2"/>
    <s v="Falta de informação Gerencial"/>
    <x v="0"/>
    <s v="Qualidade dos dados"/>
    <s v="KONTIK BUSINESS TRAVEL"/>
    <x v="1"/>
  </r>
  <r>
    <n v="22878342"/>
    <n v="23656874"/>
    <s v="ACC01"/>
    <x v="368"/>
    <d v="2025-09-11T13:25:40"/>
    <x v="3"/>
    <x v="1"/>
    <s v="KNEPGP010"/>
    <s v="TMS"/>
    <s v="MAYRA SANTOS"/>
    <s v="Tuane Cristina Alves de Oliveira"/>
    <s v="Tuane Cristina Alves de Oliveira"/>
    <d v="2025-09-05T20:12:00"/>
    <n v="231448"/>
    <s v="-"/>
    <s v="OFF LINE"/>
    <s v="Cartão de crédito"/>
    <s v="Cartão de crédito"/>
    <x v="3"/>
    <s v="N"/>
    <x v="15"/>
    <s v="Kpmg Assessores"/>
    <s v="-"/>
    <s v="Gol Linhas Aereas"/>
    <n v="2144726639"/>
    <x v="12"/>
    <s v="-"/>
    <x v="318"/>
    <n v="0"/>
    <n v="0"/>
    <n v="0"/>
    <n v="0"/>
    <n v="0"/>
    <n v="0"/>
    <s v="Reserva importada do Sistema TMS. OS: 231448"/>
    <s v="Verificação de bilhetes: Bilhete 2144726639 já sendo utilizado para este fornecedor."/>
    <x v="2"/>
    <x v="5"/>
    <s v="Bilhete Já Contabilizado"/>
    <x v="1"/>
    <s v="Qualidade dos dados"/>
    <s v="GRUPO KONTIK"/>
    <x v="5"/>
  </r>
  <r>
    <n v="22909375"/>
    <n v="23682579"/>
    <s v="ACC01"/>
    <x v="369"/>
    <d v="2025-09-11T15:19:17"/>
    <x v="3"/>
    <x v="3"/>
    <s v="HGREKE"/>
    <s v="EBOOKING"/>
    <s v="Joaquim Araujo/Antonio"/>
    <s v="Kontrip"/>
    <s v="Kontrip"/>
    <d v="2025-09-11T12:05:00"/>
    <s v="-"/>
    <s v="-"/>
    <s v="OFF LINE"/>
    <s v="Cartão de crédito"/>
    <s v="Cartão de crédito"/>
    <x v="3"/>
    <s v="N"/>
    <x v="60"/>
    <s v="Cda"/>
    <s v="-"/>
    <s v="Gol Linhas Aereas"/>
    <n v="2145214886"/>
    <x v="45"/>
    <s v="-"/>
    <x v="319"/>
    <n v="51.66"/>
    <n v="0"/>
    <n v="0"/>
    <n v="0"/>
    <n v="0"/>
    <n v="94.91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09351"/>
    <n v="23682559"/>
    <s v="ACC01"/>
    <x v="370"/>
    <d v="2025-09-11T15:13:55"/>
    <x v="3"/>
    <x v="3"/>
    <s v="CONUCR"/>
    <s v="EBOOKING"/>
    <s v="SADER/MARCELO"/>
    <s v="Kontrip"/>
    <s v="Kontrip"/>
    <d v="2025-09-11T12:03:00"/>
    <s v="-"/>
    <s v="-"/>
    <s v="OFF LINE"/>
    <s v="Cartão de crédito"/>
    <s v="Cartão de crédito"/>
    <x v="3"/>
    <s v="N"/>
    <x v="60"/>
    <s v="Cda"/>
    <s v="-"/>
    <s v="Gol Linhas Aereas"/>
    <n v="2145214845"/>
    <x v="45"/>
    <s v="-"/>
    <x v="320"/>
    <n v="112.28"/>
    <n v="0"/>
    <n v="0"/>
    <n v="0"/>
    <n v="0"/>
    <n v="204.65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12227"/>
    <n v="23685269"/>
    <s v="ACC01"/>
    <x v="371"/>
    <d v="2025-09-11T22:51:58"/>
    <x v="3"/>
    <x v="3"/>
    <s v="KRJOTN"/>
    <s v="EBOOKING"/>
    <s v="Ribeiro/Aldo"/>
    <s v="Kontrip"/>
    <s v="Kontrip"/>
    <d v="2025-09-11T10:43:00"/>
    <s v="-"/>
    <s v="-"/>
    <s v="OFF LINE"/>
    <s v="Cartão de crédito"/>
    <s v="Cartão de crédito"/>
    <x v="3"/>
    <s v="N"/>
    <x v="60"/>
    <s v="Pessoa e Pessoa Advogados Associados"/>
    <s v="-"/>
    <s v="Gol Linhas Aereas"/>
    <n v="2145247985"/>
    <x v="45"/>
    <s v="-"/>
    <x v="321"/>
    <n v="44.27"/>
    <n v="0"/>
    <n v="0"/>
    <n v="0"/>
    <n v="0"/>
    <n v="44.07"/>
    <s v="obs"/>
    <s v="Centro de custo não preenchido! (ACC01)"/>
    <x v="4"/>
    <x v="7"/>
    <s v="Falta de informação Gerencial"/>
    <x v="0"/>
    <s v="Qualidade dos dados"/>
    <s v="KONTRIP VIAGENS"/>
    <x v="6"/>
  </r>
  <r>
    <n v="22909965"/>
    <n v="23683184"/>
    <s v="ACC01"/>
    <x v="372"/>
    <d v="2025-09-11T17:01:45"/>
    <x v="3"/>
    <x v="3"/>
    <s v="COMIVJ"/>
    <s v="EBOOKING"/>
    <s v="BLENDO FERREIRA SILVA/WILLIAN"/>
    <s v="Kontrip"/>
    <s v="Kontrip"/>
    <d v="2025-09-11T04:59:00"/>
    <s v="-"/>
    <s v="-"/>
    <s v="OFF LINE"/>
    <s v="Cartão de crédito"/>
    <s v="Cartão de crédito"/>
    <x v="3"/>
    <s v="N"/>
    <x v="60"/>
    <s v="Rcs Tecnologia S/a"/>
    <s v="-"/>
    <s v="Gol Linhas Aereas"/>
    <n v="2145198044"/>
    <x v="45"/>
    <s v="-"/>
    <x v="322"/>
    <n v="32.869999999999997"/>
    <n v="0"/>
    <n v="0"/>
    <n v="0"/>
    <n v="0"/>
    <n v="16.670000000000002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10005"/>
    <n v="23683224"/>
    <s v="ACC01"/>
    <x v="373"/>
    <d v="2025-09-11T17:13:13"/>
    <x v="3"/>
    <x v="3"/>
    <s v="JHVCDE"/>
    <s v="EBOOKING"/>
    <s v="ARAGAO MACEDO/ROGER"/>
    <s v="Kontrip"/>
    <s v="Kontrip"/>
    <d v="2025-09-11T05:07:00"/>
    <s v="-"/>
    <s v="-"/>
    <s v="OFF LINE"/>
    <s v="Cartão de crédito"/>
    <s v="Cartão de crédito"/>
    <x v="3"/>
    <s v="N"/>
    <x v="60"/>
    <s v="Grant Thornton Auditores Independentes"/>
    <s v="-"/>
    <s v="Gol Linhas Aereas"/>
    <n v="2145225407"/>
    <x v="45"/>
    <s v="-"/>
    <x v="323"/>
    <n v="99.82"/>
    <n v="0"/>
    <n v="0"/>
    <n v="0"/>
    <n v="0"/>
    <n v="156.11000000000001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09453"/>
    <n v="23682661"/>
    <s v="ACC01"/>
    <x v="374"/>
    <d v="2025-09-11T15:32:23"/>
    <x v="3"/>
    <x v="3"/>
    <s v="DKPNID"/>
    <s v="EBOOKING"/>
    <s v="Schwind/Luís"/>
    <s v="Kontrip"/>
    <s v="Kontrip"/>
    <d v="2025-09-11T02:53:00"/>
    <s v="-"/>
    <s v="-"/>
    <s v="OFF LINE"/>
    <s v="Cartão de crédito"/>
    <s v="Cartão de crédito"/>
    <x v="3"/>
    <s v="N"/>
    <x v="60"/>
    <s v="Basso e Pancotte Ltda"/>
    <s v="-"/>
    <s v="Gol Linhas Aereas"/>
    <n v="660876"/>
    <x v="45"/>
    <s v="-"/>
    <x v="324"/>
    <n v="47.02"/>
    <n v="0"/>
    <n v="0"/>
    <n v="0"/>
    <n v="0"/>
    <n v="229.37"/>
    <s v="obs"/>
    <s v="Verificação de bilhetes: Bilhete 660876 já sendo utilizado para este fornecedor."/>
    <x v="4"/>
    <x v="5"/>
    <s v="Bilhete Já Contabilizado"/>
    <x v="1"/>
    <s v="Qualidade dos dados"/>
    <s v="KONTRIP VIAGENS"/>
    <x v="6"/>
  </r>
  <r>
    <n v="22909453"/>
    <n v="23682662"/>
    <s v="ACC02"/>
    <x v="374"/>
    <d v="2025-09-11T15:32:23"/>
    <x v="3"/>
    <x v="3"/>
    <s v="DKPNID"/>
    <s v="EBOOKING"/>
    <s v="Bonvini/Bianca"/>
    <s v="Kontrip"/>
    <s v="Kontrip"/>
    <d v="2025-09-11T02:53:00"/>
    <s v="-"/>
    <s v="-"/>
    <s v="OFF LINE"/>
    <s v="Cartão de crédito"/>
    <s v="Cartão de crédito"/>
    <x v="3"/>
    <s v="N"/>
    <x v="60"/>
    <s v="Basso e Pancotte Ltda"/>
    <s v="-"/>
    <s v="Gol Linhas Aereas"/>
    <n v="660876"/>
    <x v="45"/>
    <s v="-"/>
    <x v="324"/>
    <n v="47.02"/>
    <n v="0"/>
    <n v="0"/>
    <n v="0"/>
    <n v="0"/>
    <n v="0"/>
    <s v="obs"/>
    <s v="Verificação de bilhetes: Bilhete 660876 já sendo utilizado para este fornecedor."/>
    <x v="4"/>
    <x v="5"/>
    <s v="Bilhete Já Contabilizado"/>
    <x v="1"/>
    <s v="Qualidade dos dados"/>
    <s v="KONTRIP VIAGENS"/>
    <x v="6"/>
  </r>
  <r>
    <n v="22909453"/>
    <n v="23682663"/>
    <s v="ACC03"/>
    <x v="374"/>
    <d v="2025-09-11T15:32:23"/>
    <x v="3"/>
    <x v="3"/>
    <s v="DKPNID"/>
    <s v="EBOOKING"/>
    <s v="Harami/Priscila"/>
    <s v="Kontrip"/>
    <s v="Kontrip"/>
    <d v="2025-09-11T02:53:00"/>
    <s v="-"/>
    <s v="-"/>
    <s v="OFF LINE"/>
    <s v="Cartão de crédito"/>
    <s v="Cartão de crédito"/>
    <x v="3"/>
    <s v="N"/>
    <x v="60"/>
    <s v="Basso e Pancotte Ltda"/>
    <s v="-"/>
    <s v="Gol Linhas Aereas"/>
    <n v="660876"/>
    <x v="45"/>
    <s v="-"/>
    <x v="324"/>
    <n v="47.02"/>
    <n v="0"/>
    <n v="0"/>
    <n v="0"/>
    <n v="0"/>
    <n v="0"/>
    <s v="obs"/>
    <s v="Verificação de bilhetes: Bilhete 660876 já sendo utilizado para este fornecedor."/>
    <x v="4"/>
    <x v="5"/>
    <s v="Bilhete Já Contabilizado"/>
    <x v="1"/>
    <s v="Qualidade dos dados"/>
    <s v="KONTRIP VIAGENS"/>
    <x v="6"/>
  </r>
  <r>
    <n v="22909453"/>
    <n v="23682664"/>
    <s v="ACC04"/>
    <x v="374"/>
    <d v="2025-09-11T15:32:23"/>
    <x v="3"/>
    <x v="3"/>
    <s v="DKPNID"/>
    <s v="EBOOKING"/>
    <s v="Schwind/Amanda"/>
    <s v="Kontrip"/>
    <s v="Kontrip"/>
    <d v="2025-09-11T02:53:00"/>
    <s v="-"/>
    <s v="-"/>
    <s v="OFF LINE"/>
    <s v="Cartão de crédito"/>
    <s v="Cartão de crédito"/>
    <x v="3"/>
    <s v="N"/>
    <x v="60"/>
    <s v="Basso e Pancotte Ltda"/>
    <s v="-"/>
    <s v="Gol Linhas Aereas"/>
    <n v="827692"/>
    <x v="45"/>
    <s v="-"/>
    <x v="324"/>
    <n v="47.02"/>
    <n v="0"/>
    <n v="0"/>
    <n v="0"/>
    <n v="0"/>
    <n v="0"/>
    <s v="obs"/>
    <s v="Verificação de bilhetes: Bilhete 660876 já sendo utilizado para este fornecedor."/>
    <x v="4"/>
    <x v="5"/>
    <s v="Bilhete Já Contabilizado"/>
    <x v="1"/>
    <s v="Qualidade dos dados"/>
    <s v="KONTRIP VIAGENS"/>
    <x v="6"/>
  </r>
  <r>
    <n v="22911675"/>
    <n v="23684815"/>
    <s v="ACC01"/>
    <x v="375"/>
    <d v="2025-09-11T20:08:47"/>
    <x v="3"/>
    <x v="3"/>
    <s v="HISMVW"/>
    <s v="GOVER"/>
    <s v="Bruna Beatriz Sousa Silva "/>
    <s v="Juliana dos Santos Pinto"/>
    <s v="Juliana dos Santos Pinto"/>
    <d v="2025-09-11T19:59:00"/>
    <n v="4596384"/>
    <s v="-"/>
    <s v="OFF LINE"/>
    <s v="Cartão de crédito"/>
    <s v="Cartão de crédito"/>
    <x v="3"/>
    <s v="N"/>
    <x v="61"/>
    <s v="Light Servicos de Eletricidade S/a"/>
    <s v="-"/>
    <s v="Gol Linhas Aereas"/>
    <n v="2145236777"/>
    <x v="46"/>
    <s v="-"/>
    <x v="325"/>
    <n v="900"/>
    <n v="0"/>
    <n v="0"/>
    <n v="0"/>
    <n v="0"/>
    <n v="0"/>
    <s v="Reserva importada do sistema Gover. Id: 4596384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10679"/>
    <n v="23683871"/>
    <s v="ACC01"/>
    <x v="376"/>
    <d v="2025-09-11T18:46:01"/>
    <x v="3"/>
    <x v="3"/>
    <s v="KPEYVO1"/>
    <s v="TMS"/>
    <s v="ALECSANDRO OLIVEIRA"/>
    <s v="Herbert Amancio de Santana"/>
    <s v="Herbert Amancio de Santana"/>
    <d v="2025-09-11T16:13:00"/>
    <n v="84936"/>
    <s v="-"/>
    <s v="OFF LINE"/>
    <s v="Invoice"/>
    <s v="Faturado"/>
    <x v="3"/>
    <s v="N"/>
    <x v="62"/>
    <s v="Claro Sao Paulo (santo Amaro)"/>
    <s v="-"/>
    <s v="Gol Linhas Aereas"/>
    <n v="2145127676"/>
    <x v="47"/>
    <s v="-"/>
    <x v="6"/>
    <n v="0"/>
    <n v="0"/>
    <n v="0"/>
    <n v="0"/>
    <n v="0"/>
    <n v="0"/>
    <s v="Reserva importada do Sistema TMS. OS: 84936"/>
    <s v="Tarifa mínima não preenchida! (ACC01) Tarifa máxima não preenchida! (ACC01)"/>
    <x v="2"/>
    <x v="2"/>
    <s v="Falta de informação Gerencial"/>
    <x v="0"/>
    <s v="Qualidade dos dados"/>
    <s v="KONTIK BUSINESS TRAVEL"/>
    <x v="3"/>
  </r>
  <r>
    <n v="22887870"/>
    <n v="23663293"/>
    <s v="ACC01"/>
    <x v="377"/>
    <d v="2025-09-11T13:28:07"/>
    <x v="3"/>
    <x v="0"/>
    <s v="DZWIPC"/>
    <s v="SABRE"/>
    <s v="SAVOIA/HENRIQUE JOSE"/>
    <s v="WS"/>
    <s v="WS"/>
    <d v="2025-09-05T21:54:00"/>
    <s v="DZWIPC"/>
    <s v="-"/>
    <s v="ON LINE"/>
    <s v="Cartão de crédito"/>
    <s v="Cartão de crédito"/>
    <x v="3"/>
    <s v="N"/>
    <x v="63"/>
    <s v="Glory"/>
    <s v="-"/>
    <s v="Gol Linhas Aereas"/>
    <n v="2144880653"/>
    <x v="15"/>
    <s v="-"/>
    <x v="326"/>
    <n v="65.37"/>
    <n v="0"/>
    <n v="0"/>
    <n v="0"/>
    <n v="0"/>
    <n v="0"/>
    <s v="Reserva importada por HubTravel"/>
    <s v="Matrícula não preenchida! (ACC01) Informação referencial 2 não preenchida! (ACC01) Projeto não preenchido! (ACC01)"/>
    <x v="1"/>
    <x v="2"/>
    <s v="Falta de informação Gerencial"/>
    <x v="0"/>
    <s v="Qualidade dos dados"/>
    <s v="KONTIK BUSINESS TRAVEL"/>
    <x v="1"/>
  </r>
  <r>
    <n v="22910937"/>
    <n v="23684114"/>
    <s v="ACC01"/>
    <x v="378"/>
    <d v="2025-09-11T19:12:37"/>
    <x v="3"/>
    <x v="3"/>
    <s v="FGGGH"/>
    <s v="TMS"/>
    <s v="LUCAS SANTOS KCS"/>
    <s v="Tms"/>
    <s v="Tms"/>
    <d v="2025-09-11T17:08:00"/>
    <n v="44"/>
    <s v="-"/>
    <s v="OFF LINE"/>
    <s v="Invoice"/>
    <s v="Faturado"/>
    <x v="3"/>
    <s v="N"/>
    <x v="64"/>
    <s v="Benner Sistemas - Blumenau"/>
    <s v="-"/>
    <s v="Gol Linhas Aereas"/>
    <n v="336592215"/>
    <x v="20"/>
    <s v="-"/>
    <x v="327"/>
    <n v="70"/>
    <n v="0"/>
    <n v="0"/>
    <n v="0"/>
    <n v="0"/>
    <n v="0"/>
    <s v="Reserva importada do Sistema TMS. OS: 44"/>
    <s v="Empenho/departamento não preenchido! (ACC01) Canal de venda não preenchido! (ACC01)"/>
    <x v="2"/>
    <x v="2"/>
    <s v="Falta de informação Gerencial"/>
    <x v="0"/>
    <s v="Qualidade dos dados"/>
    <s v="KONTIK BUSINESS TRAVEL"/>
    <x v="3"/>
  </r>
  <r>
    <n v="22857365"/>
    <n v="23638099"/>
    <s v="ACC01"/>
    <x v="379"/>
    <d v="2025-09-02T22:22:16"/>
    <x v="2"/>
    <x v="2"/>
    <s v="HEDIKT1"/>
    <s v="TMS"/>
    <s v="JESSICA VELOSO"/>
    <s v="Juliana dos Santos Pinto"/>
    <s v="Juliana dos Santos Pinto"/>
    <d v="2025-09-02T17:32:00"/>
    <n v="11424"/>
    <s v="-"/>
    <s v="OFF LINE"/>
    <s v="Cartão de crédito"/>
    <s v="Cartão AMEX"/>
    <x v="3"/>
    <s v="N"/>
    <x v="4"/>
    <s v="Braskem - Camacari"/>
    <s v="-"/>
    <s v="Gol Linhas Aereas"/>
    <n v="2143885228"/>
    <x v="4"/>
    <s v="-"/>
    <x v="6"/>
    <n v="0"/>
    <n v="0"/>
    <n v="0"/>
    <n v="0"/>
    <n v="0"/>
    <n v="0"/>
    <s v="Reserva importada do Sistema TMS. OS: 11424"/>
    <s v="Tarifa mínima não preenchida! (ACC01)"/>
    <x v="2"/>
    <x v="3"/>
    <s v="Falta de informação Gerencial"/>
    <x v="0"/>
    <s v="Qualidade dos dados"/>
    <s v="GRUPO KONTIK"/>
    <x v="4"/>
  </r>
  <r>
    <n v="22909711"/>
    <n v="23682948"/>
    <s v="ACC01"/>
    <x v="380"/>
    <d v="2025-09-11T17:06:11"/>
    <x v="3"/>
    <x v="3"/>
    <s v="CSLWHF"/>
    <s v="SABRE"/>
    <s v="CAMPOS/TIAGO"/>
    <s v="CT"/>
    <s v="CT"/>
    <d v="2025-09-10T07:38:00"/>
    <s v="CSLWHF"/>
    <s v="-"/>
    <s v="OFF LINE"/>
    <s v="Cartão de crédito"/>
    <s v="Cartão AMEX"/>
    <x v="3"/>
    <s v="N"/>
    <x v="1"/>
    <s v="Robert Bosch Limitada - 9087"/>
    <s v="Cliente FEE no POS"/>
    <s v="Gol Linhas Aereas"/>
    <n v="7700077064"/>
    <x v="1"/>
    <s v="-"/>
    <x v="6"/>
    <n v="0"/>
    <n v="0"/>
    <n v="0"/>
    <n v="0"/>
    <n v="0"/>
    <n v="0"/>
    <s v="Reserva importada por HubTravel"/>
    <s v="Tarifa mínima não preenchida! (ACC01) Tarifa máxima não preenchida! (ACC01)"/>
    <x v="1"/>
    <x v="2"/>
    <s v="Falta de informação Gerencial"/>
    <x v="0"/>
    <s v="Qualidade dos dados"/>
    <s v="KONTIK BUSINESS TRAVEL"/>
    <x v="1"/>
  </r>
  <r>
    <n v="22909716"/>
    <n v="23682954"/>
    <s v="ACC01"/>
    <x v="381"/>
    <d v="2025-09-11T17:06:12"/>
    <x v="3"/>
    <x v="3"/>
    <s v="UGNLQU"/>
    <s v="SABRE"/>
    <s v="CELETE/VIVIANE VEDOVATTO"/>
    <s v="CT"/>
    <s v="CT"/>
    <d v="2025-09-10T07:40:00"/>
    <s v="UGNLQU"/>
    <s v="-"/>
    <s v="OFF LINE"/>
    <s v="Cartão de crédito"/>
    <s v="Cartão AMEX"/>
    <x v="3"/>
    <s v="N"/>
    <x v="1"/>
    <s v="Robert Bosch Limitada - 9087"/>
    <s v="Cliente FEE no POS"/>
    <s v="Gol Linhas Aereas"/>
    <n v="7700077065"/>
    <x v="1"/>
    <s v="-"/>
    <x v="6"/>
    <n v="0"/>
    <n v="0"/>
    <n v="0"/>
    <n v="0"/>
    <n v="0"/>
    <n v="0"/>
    <s v="Reserva importada por HubTravel"/>
    <s v="Tarifa mínima não preenchida! (ACC01) Tarifa máxima não preenchida! (ACC01)"/>
    <x v="1"/>
    <x v="2"/>
    <s v="Falta de informação Gerencial"/>
    <x v="0"/>
    <s v="Qualidade dos dados"/>
    <s v="KONTIK BUSINESS TRAVEL"/>
    <x v="1"/>
  </r>
  <r>
    <n v="22909717"/>
    <n v="23682955"/>
    <s v="ACC01"/>
    <x v="382"/>
    <d v="2025-09-11T17:06:13"/>
    <x v="3"/>
    <x v="3"/>
    <s v="URBTTY"/>
    <s v="SABRE"/>
    <s v="PAVARINA/ADRIANA"/>
    <s v="CT"/>
    <s v="CT"/>
    <d v="2025-09-10T07:41:00"/>
    <s v="URBTTY"/>
    <s v="-"/>
    <s v="OFF LINE"/>
    <s v="Cartão de crédito"/>
    <s v="Cartão AMEX"/>
    <x v="3"/>
    <s v="N"/>
    <x v="1"/>
    <s v="Robert Bosch Limitada - 9087"/>
    <s v="Cliente FEE no POS"/>
    <s v="Gol Linhas Aereas"/>
    <n v="7700077066"/>
    <x v="1"/>
    <s v="-"/>
    <x v="6"/>
    <n v="0"/>
    <n v="0"/>
    <n v="0"/>
    <n v="0"/>
    <n v="0"/>
    <n v="0"/>
    <s v="Reserva importada por HubTravel"/>
    <s v="Tarifa mínima não preenchida! (ACC01) Tarifa máxima não preenchida! (ACC01)"/>
    <x v="1"/>
    <x v="2"/>
    <s v="Falta de informação Gerencial"/>
    <x v="0"/>
    <s v="Qualidade dos dados"/>
    <s v="KONTIK BUSINESS TRAVEL"/>
    <x v="1"/>
  </r>
  <r>
    <n v="22909719"/>
    <n v="23682957"/>
    <s v="ACC01"/>
    <x v="383"/>
    <d v="2025-09-11T17:06:14"/>
    <x v="3"/>
    <x v="3"/>
    <s v="AVWIPE"/>
    <s v="SABRE"/>
    <s v="ANDRE/MARIANA"/>
    <s v="CT"/>
    <s v="CT"/>
    <d v="2025-09-10T07:37:00"/>
    <s v="AVWIPE"/>
    <s v="-"/>
    <s v="OFF LINE"/>
    <s v="Cartão de crédito"/>
    <s v="Cartão AMEX"/>
    <x v="3"/>
    <s v="N"/>
    <x v="1"/>
    <s v="Robert Bosch Limitada - 9087"/>
    <s v="Cliente FEE no POS"/>
    <s v="Gol Linhas Aereas"/>
    <n v="7700077067"/>
    <x v="1"/>
    <s v="-"/>
    <x v="6"/>
    <n v="0"/>
    <n v="0"/>
    <n v="0"/>
    <n v="0"/>
    <n v="0"/>
    <n v="0"/>
    <s v="Reserva importada por HubTravel"/>
    <s v="Tarifa mínima não preenchida! (ACC01) Tarifa máxima não preenchida! (ACC01)"/>
    <x v="1"/>
    <x v="2"/>
    <s v="Falta de informação Gerencial"/>
    <x v="0"/>
    <s v="Qualidade dos dados"/>
    <s v="KONTIK BUSINESS TRAVEL"/>
    <x v="1"/>
  </r>
  <r>
    <n v="22877781"/>
    <n v="23656348"/>
    <s v="ACC01"/>
    <x v="384"/>
    <d v="2025-09-11T13:28:05"/>
    <x v="3"/>
    <x v="1"/>
    <s v="GJHPYH"/>
    <s v="SABRE"/>
    <s v="AVILA/BRUNO CLEMENTE GONCALVES DE"/>
    <s v="CT"/>
    <s v="CT"/>
    <d v="2025-09-05T08:28:00"/>
    <s v="GJHPYH"/>
    <s v="-"/>
    <s v="ON LINE"/>
    <s v="Cartão de crédito"/>
    <s v="Cartão AMEX"/>
    <x v="3"/>
    <s v="N"/>
    <x v="1"/>
    <s v="Jvl - Planta Joinville"/>
    <s v="Cliente FEE no POS"/>
    <s v="Gol Linhas Aereas"/>
    <n v="7700076804"/>
    <x v="1"/>
    <s v="-"/>
    <x v="6"/>
    <n v="30.32"/>
    <n v="0"/>
    <n v="0"/>
    <n v="0"/>
    <n v="0"/>
    <n v="19.11"/>
    <s v="Reserva importada por HubTravel"/>
    <s v="Tarifa máxima não preenchida! (ACC01)"/>
    <x v="1"/>
    <x v="8"/>
    <s v="Falta de informação Gerencial"/>
    <x v="0"/>
    <s v="Qualidade dos dados"/>
    <s v="KONTIK BUSINESS TRAVEL"/>
    <x v="1"/>
  </r>
  <r>
    <n v="22861685"/>
    <n v="23641631"/>
    <s v="ACC01"/>
    <x v="385"/>
    <d v="2025-09-03T14:40:55"/>
    <x v="2"/>
    <x v="2"/>
    <s v="CCIMEA"/>
    <s v="EBOOKING"/>
    <s v="Venceslau dos Santos/Alisson"/>
    <s v="Kontrip"/>
    <s v="Kontrip"/>
    <d v="2025-09-03T12:25:00"/>
    <s v="-"/>
    <s v="-"/>
    <s v="OFF LINE"/>
    <s v="Cartão de crédito"/>
    <s v="Cartão de crédito"/>
    <x v="3"/>
    <s v="N"/>
    <x v="65"/>
    <s v="Agencia Mercurio York Viagens e Turismo Ltda"/>
    <s v="-"/>
    <s v="Gol Linhas Aereas"/>
    <n v="2144712008"/>
    <x v="45"/>
    <s v="-"/>
    <x v="328"/>
    <n v="44.27"/>
    <n v="0"/>
    <n v="0"/>
    <n v="0"/>
    <n v="0"/>
    <n v="0"/>
    <s v="obs"/>
    <s v="Centro de custo não preenchido! (ACC01)"/>
    <x v="4"/>
    <x v="7"/>
    <s v="Falta de informação Gerencial"/>
    <x v="0"/>
    <s v="Qualidade dos dados"/>
    <s v="KONTRIP VIAGENS"/>
    <x v="6"/>
  </r>
  <r>
    <n v="22861689"/>
    <n v="23641636"/>
    <s v="ACC01"/>
    <x v="386"/>
    <d v="2025-09-03T14:43:47"/>
    <x v="2"/>
    <x v="2"/>
    <s v="CVENDX"/>
    <s v="EBOOKING"/>
    <s v="Vilela/Lidiany"/>
    <s v="Kontrip"/>
    <s v="Kontrip"/>
    <d v="2025-09-03T12:22:00"/>
    <s v="-"/>
    <s v="-"/>
    <s v="OFF LINE"/>
    <s v="Cartão de crédito"/>
    <s v="Cartão de crédito"/>
    <x v="3"/>
    <s v="N"/>
    <x v="65"/>
    <s v="Agencia Mercurio York Viagens e Turismo Ltda"/>
    <s v="-"/>
    <s v="Gol Linhas Aereas"/>
    <n v="2144711372"/>
    <x v="45"/>
    <s v="-"/>
    <x v="329"/>
    <n v="44.27"/>
    <n v="0"/>
    <n v="0"/>
    <n v="0"/>
    <n v="0"/>
    <n v="0"/>
    <s v="obs"/>
    <s v="Centro de custo não preenchido! (ACC01)"/>
    <x v="4"/>
    <x v="7"/>
    <s v="Falta de informação Gerencial"/>
    <x v="0"/>
    <s v="Qualidade dos dados"/>
    <s v="KONTRIP VIAGENS"/>
    <x v="6"/>
  </r>
  <r>
    <n v="22862473"/>
    <n v="23642350"/>
    <s v="ACC01"/>
    <x v="387"/>
    <d v="2025-09-03T17:27:56"/>
    <x v="2"/>
    <x v="2"/>
    <s v="HRLZLB"/>
    <s v="EBOOKING"/>
    <s v="ANGE ARAUJO/ENY"/>
    <s v="Kontrip"/>
    <s v="Kontrip"/>
    <d v="2025-09-03T05:01:00"/>
    <s v="-"/>
    <s v="-"/>
    <s v="OFF LINE"/>
    <s v="Cartão de crédito"/>
    <s v="Cartão de crédito"/>
    <x v="3"/>
    <s v="N"/>
    <x v="65"/>
    <s v="Agencia Mercurio York Viagens e Turismo Ltda"/>
    <s v="-"/>
    <s v="Gol Linhas Aereas"/>
    <n v="2144726580"/>
    <x v="45"/>
    <s v="-"/>
    <x v="330"/>
    <n v="60.62"/>
    <n v="0"/>
    <n v="0"/>
    <n v="0"/>
    <n v="0"/>
    <n v="0"/>
    <s v="obs"/>
    <s v="Centro de custo não preenchido! (ACC02)"/>
    <x v="4"/>
    <x v="7"/>
    <s v="Falta de informação Gerencial"/>
    <x v="0"/>
    <s v="Qualidade dos dados"/>
    <s v="KONTRIP VIAGENS"/>
    <x v="6"/>
  </r>
  <r>
    <n v="22862473"/>
    <n v="23642351"/>
    <s v="ACC02"/>
    <x v="387"/>
    <d v="2025-09-03T17:27:56"/>
    <x v="2"/>
    <x v="2"/>
    <s v="HRLZLB"/>
    <s v="EBOOKING"/>
    <s v="OLIVEIRA/PRISCILA"/>
    <s v="Kontrip"/>
    <s v="Kontrip"/>
    <d v="2025-09-03T05:01:00"/>
    <s v="-"/>
    <s v="-"/>
    <s v="OFF LINE"/>
    <s v="Cartão de crédito"/>
    <s v="Cartão de crédito"/>
    <x v="3"/>
    <s v="N"/>
    <x v="65"/>
    <s v="Agencia Mercurio York Viagens e Turismo Ltda"/>
    <s v="-"/>
    <s v="Gol Linhas Aereas"/>
    <n v="2144726581"/>
    <x v="45"/>
    <s v="-"/>
    <x v="330"/>
    <n v="60.62"/>
    <n v="0"/>
    <n v="0"/>
    <n v="0"/>
    <n v="0"/>
    <n v="0"/>
    <s v="obs"/>
    <s v="Centro de custo não preenchido! (ACC02)"/>
    <x v="4"/>
    <x v="7"/>
    <s v="Falta de informação Gerencial"/>
    <x v="0"/>
    <s v="Qualidade dos dados"/>
    <s v="KONTRIP VIAGENS"/>
    <x v="6"/>
  </r>
  <r>
    <n v="22894843"/>
    <n v="23669825"/>
    <s v="ACC01"/>
    <x v="388"/>
    <d v="2025-09-09T11:36:48"/>
    <x v="0"/>
    <x v="0"/>
    <s v="5KF58X"/>
    <s v="MANUAL"/>
    <s v="SOUZA/BERNARDO"/>
    <s v="Tms"/>
    <s v="Ananda Maia Fernandes"/>
    <d v="2025-09-09T11:31:00"/>
    <n v="126244"/>
    <s v="-"/>
    <s v="OFF LINE"/>
    <s v="Invoice"/>
    <s v="Faturado"/>
    <x v="3"/>
    <s v="N"/>
    <x v="66"/>
    <s v="Ipiranga Produtos de Petroleo S.a."/>
    <s v="-"/>
    <s v="Gol Linhas Aereas"/>
    <n v="4431140399"/>
    <x v="48"/>
    <s v="-"/>
    <x v="6"/>
    <n v="0"/>
    <n v="0"/>
    <n v="0"/>
    <n v="0"/>
    <n v="0"/>
    <n v="0"/>
    <s v="Reserva importada do Sistema TMS. OS: 126244"/>
    <s v="Necessário cadastrar um contrato para o cliente &quot;&quot;"/>
    <x v="5"/>
    <x v="9"/>
    <s v="Análise Cadastro"/>
    <x v="0"/>
    <s v="Qualidade dos dados"/>
    <s v="KONTIK BUSINESS TRAVEL"/>
    <x v="3"/>
  </r>
  <r>
    <n v="22877787"/>
    <n v="23656354"/>
    <s v="ACC01"/>
    <x v="389"/>
    <d v="2025-09-11T13:28:06"/>
    <x v="3"/>
    <x v="1"/>
    <s v="GDBYTR"/>
    <s v="SABRE"/>
    <s v="SOUZA/MARCIO HENRIQUE DE"/>
    <s v="CT"/>
    <s v="CT"/>
    <d v="2025-09-05T09:41:00"/>
    <s v="GDBYTR"/>
    <s v="-"/>
    <s v="ON LINE"/>
    <s v="Cartão de crédito"/>
    <s v="Cartão AMEX"/>
    <x v="3"/>
    <s v="N"/>
    <x v="1"/>
    <s v="Dcbr - Rexroth"/>
    <s v="Cliente FEE no POS"/>
    <s v="Gol Linhas Aereas"/>
    <n v="7700076806"/>
    <x v="1"/>
    <s v="-"/>
    <x v="6"/>
    <n v="0"/>
    <n v="0"/>
    <n v="0"/>
    <n v="0"/>
    <n v="0"/>
    <n v="19.11"/>
    <s v="Reserva importada por HubTravel"/>
    <s v="Autorização do cartão da forma de pagamento não preenchida! (ACC01) Autorização do cartão da forma de recebimento não preenchida! (ACC01) Tarifa "/>
    <x v="1"/>
    <x v="2"/>
    <s v="Falta de informação Gerencial"/>
    <x v="0"/>
    <s v="Qualidade dos dados"/>
    <s v="KONTIK BUSINESS TRAVEL"/>
    <x v="1"/>
  </r>
  <r>
    <n v="22911977"/>
    <n v="23685059"/>
    <s v="ACC02"/>
    <x v="390"/>
    <d v="2025-09-11T21:40:55"/>
    <x v="3"/>
    <x v="3"/>
    <s v="MIDOZN"/>
    <s v="SABRE"/>
    <s v="NEVES/VICTOR BOROTO"/>
    <s v="Clayton Alves de Rezende"/>
    <s v="CT"/>
    <d v="2025-09-05T00:00:00"/>
    <s v="MIDOZN"/>
    <s v="-"/>
    <s v="OFF LINE"/>
    <s v="Cartão de crédito"/>
    <s v="Cartão AMEX"/>
    <x v="3"/>
    <s v="N"/>
    <x v="1"/>
    <s v="Robert Bosch Limitada - 9087"/>
    <s v="Cliente FEE no POS"/>
    <s v="Avianca Internacional"/>
    <n v="2953011480"/>
    <x v="1"/>
    <s v="-"/>
    <x v="331"/>
    <n v="0"/>
    <n v="404.01"/>
    <n v="0"/>
    <n v="0"/>
    <n v="0"/>
    <n v="0"/>
    <s v="Reserva importada por HubTravel"/>
    <s v="Falta informar o status no trecho da accounting aérea (Bilhete: 2953011480)"/>
    <x v="1"/>
    <x v="10"/>
    <s v="Atualização de Trechos"/>
    <x v="0"/>
    <s v="Qualidade dos dados"/>
    <s v="GRUPO KONTIK"/>
    <x v="4"/>
  </r>
  <r>
    <n v="22911977"/>
    <n v="23685061"/>
    <s v="ACC04"/>
    <x v="390"/>
    <d v="2025-09-11T21:40:55"/>
    <x v="3"/>
    <x v="3"/>
    <s v="MIDOZN"/>
    <s v="SABRE"/>
    <s v="NEVES/VICTOR BOROTO"/>
    <s v="Clayton Alves de Rezende"/>
    <s v="CT"/>
    <d v="2025-09-05T00:00:00"/>
    <s v="MIDOZN"/>
    <s v="-"/>
    <s v="OFF LINE"/>
    <s v="?"/>
    <s v="TKT"/>
    <x v="3"/>
    <s v="N"/>
    <x v="1"/>
    <s v="Robert Bosch Limitada - 9087"/>
    <s v="Cliente FEE no POS"/>
    <s v="Avianca Internacional"/>
    <n v="2953011480"/>
    <x v="1"/>
    <s v="-"/>
    <x v="6"/>
    <n v="0"/>
    <n v="0"/>
    <n v="0"/>
    <n v="0"/>
    <n v="0"/>
    <n v="0"/>
    <s v="Reserva importada por HubTravel"/>
    <s v="Falta informar o status no trecho da accounting aérea (Bilhete: 2953011480)"/>
    <x v="1"/>
    <x v="10"/>
    <s v="Atualização de Trechos"/>
    <x v="0"/>
    <s v="Qualidade dos dados"/>
    <s v="GRUPO KONTIK"/>
    <x v="4"/>
  </r>
  <r>
    <n v="22911977"/>
    <n v="23685062"/>
    <s v="ACC05"/>
    <x v="390"/>
    <d v="2025-09-11T21:40:55"/>
    <x v="3"/>
    <x v="3"/>
    <s v="MIDOZN"/>
    <s v="SABRE"/>
    <s v="NEVES/VICTOR BOROTO"/>
    <s v="Clayton Alves de Rezende"/>
    <s v="CT"/>
    <d v="2025-09-05T00:00:00"/>
    <s v="MIDOZN"/>
    <s v="-"/>
    <s v="OFF LINE"/>
    <s v="Cartão de crédito"/>
    <s v="Cartão AMEX"/>
    <x v="3"/>
    <s v="N"/>
    <x v="1"/>
    <s v="Robert Bosch Limitada - 9087"/>
    <s v="Cliente FEE no POS"/>
    <s v="Avianca Internacional"/>
    <n v="2953011480"/>
    <x v="1"/>
    <s v="-"/>
    <x v="332"/>
    <n v="0"/>
    <n v="0"/>
    <n v="0"/>
    <n v="0"/>
    <n v="0"/>
    <n v="0"/>
    <s v="Reserva importada por HubTravel"/>
    <s v="Falta informar o status no trecho da accounting aérea (Bilhete: 2953011480)"/>
    <x v="1"/>
    <x v="10"/>
    <s v="Atualização de Trechos"/>
    <x v="0"/>
    <s v="Qualidade dos dados"/>
    <s v="GRUPO KONTIK"/>
    <x v="4"/>
  </r>
  <r>
    <n v="22812302"/>
    <n v="23599118"/>
    <s v="ACC01"/>
    <x v="391"/>
    <d v="2025-09-11T13:27:30"/>
    <x v="3"/>
    <x v="4"/>
    <s v="ELYXYT"/>
    <s v="SABRE"/>
    <s v="NATIS JORDAO/DANIELLE"/>
    <s v="Clayton Alves de Rezende"/>
    <s v="WS"/>
    <d v="2025-08-22T00:00:00"/>
    <s v="ELYXYT"/>
    <s v="-"/>
    <s v="ON LINE"/>
    <s v="Cartão de crédito"/>
    <s v="Cartão AMEX"/>
    <x v="3"/>
    <s v="N"/>
    <x v="38"/>
    <s v="Adidas do Brasil Ltda"/>
    <s v="-"/>
    <s v="Avianca Internacional"/>
    <n v="2952853385"/>
    <x v="15"/>
    <s v="-"/>
    <x v="333"/>
    <n v="59.54"/>
    <n v="350.89"/>
    <n v="0"/>
    <n v="59.54"/>
    <n v="0"/>
    <n v="0"/>
    <s v="Reserva importada por HubTravel"/>
    <s v="Pnr já existente. A duplicidade de rloc é permitida apenas 6 meses após o último pnr emitido"/>
    <x v="1"/>
    <x v="4"/>
    <s v="Campo RLOC"/>
    <x v="1"/>
    <s v="Qualidade dos dados"/>
    <s v="GRUPO KONTIK"/>
    <x v="4"/>
  </r>
  <r>
    <n v="22910822"/>
    <n v="23684006"/>
    <s v="ACC01"/>
    <x v="392"/>
    <d v="2025-09-11T18:58:19"/>
    <x v="3"/>
    <x v="3"/>
    <s v="FPGIOB"/>
    <s v="TMS"/>
    <s v="BRUNO SCHMIDT"/>
    <s v="Alexandre Isidio da Silva"/>
    <s v="Alexandre Isidio da Silva"/>
    <d v="2025-09-11T12:52:00"/>
    <n v="25987"/>
    <s v="-"/>
    <s v="OFF LINE"/>
    <s v="Cartão de crédito"/>
    <s v="Cartão de crédito"/>
    <x v="3"/>
    <s v="N"/>
    <x v="39"/>
    <s v="Enaex"/>
    <s v="-"/>
    <s v="Latam Airlines Brasil"/>
    <n v="2953012862"/>
    <x v="31"/>
    <s v="-"/>
    <x v="334"/>
    <n v="897.46"/>
    <n v="0"/>
    <n v="0"/>
    <n v="0"/>
    <n v="0"/>
    <n v="0"/>
    <s v="Reserva importada do Sistema TMS. OS: 25987"/>
    <s v="Verificação de bilhetes: Bilhete 2953012862 já sendo utilizado para este fornecedor."/>
    <x v="2"/>
    <x v="5"/>
    <s v="Bilhete Já Contabilizado"/>
    <x v="1"/>
    <s v="Qualidade dos dados"/>
    <s v="GRUPO KONTIK"/>
    <x v="5"/>
  </r>
  <r>
    <n v="22828088"/>
    <n v="23613507"/>
    <s v="ACC01"/>
    <x v="393"/>
    <d v="2025-09-11T13:27:31"/>
    <x v="3"/>
    <x v="2"/>
    <s v="DTPWUG"/>
    <s v="SABRE"/>
    <s v="LIE/JI YOUNG"/>
    <s v="Itamar de Souza"/>
    <s v="Adriana Vieira de Freitas dos Santos"/>
    <d v="2025-08-26T00:00:00"/>
    <s v="EMAIL"/>
    <s v="-"/>
    <s v="OFF LINE"/>
    <s v="Invoice"/>
    <s v="Faturado"/>
    <x v="3"/>
    <s v="N"/>
    <x v="67"/>
    <s v="Shell"/>
    <s v="-"/>
    <s v="Latam Airlines Brasil"/>
    <n v="2971581545"/>
    <x v="49"/>
    <s v="-"/>
    <x v="335"/>
    <n v="120.57"/>
    <n v="0"/>
    <n v="0"/>
    <n v="120.57"/>
    <n v="0"/>
    <n v="0"/>
    <s v="Reserva importada por HubTravel"/>
    <s v="Falta informar o status no trecho da accounting aérea (Bilhete: 2971581545)"/>
    <x v="1"/>
    <x v="10"/>
    <s v="Atualização de Trechos"/>
    <x v="0"/>
    <s v="Qualidade dos dados"/>
    <s v="GRUPO KONTIK"/>
    <x v="4"/>
  </r>
  <r>
    <n v="22828088"/>
    <n v="23613508"/>
    <s v="ACC02"/>
    <x v="393"/>
    <d v="2025-09-11T13:27:31"/>
    <x v="3"/>
    <x v="2"/>
    <s v="DTPWUG"/>
    <s v="SABRE"/>
    <s v="LEE/JI YOUNG"/>
    <s v="Itamar de Souza"/>
    <s v="Adriana Vieira de Freitas dos Santos"/>
    <d v="2025-08-26T00:00:00"/>
    <s v="EMAIL"/>
    <s v="-"/>
    <s v="OFF LINE"/>
    <s v="Invoice"/>
    <s v="TKT"/>
    <x v="3"/>
    <s v="N"/>
    <x v="67"/>
    <s v="Shell"/>
    <s v="-"/>
    <s v="Latam Airlines Brasil"/>
    <n v="2971581545"/>
    <x v="49"/>
    <s v="-"/>
    <x v="6"/>
    <n v="0"/>
    <n v="0"/>
    <n v="0"/>
    <n v="0"/>
    <n v="0"/>
    <n v="0"/>
    <s v="Reserva importada por HubTravel"/>
    <s v="Falta informar o status no trecho da accounting aérea (Bilhete: 2971581545)"/>
    <x v="1"/>
    <x v="10"/>
    <s v="Atualização de Trechos"/>
    <x v="0"/>
    <s v="Qualidade dos dados"/>
    <s v="GRUPO KONTIK"/>
    <x v="4"/>
  </r>
  <r>
    <n v="22911927"/>
    <n v="23685012"/>
    <s v="ACC01"/>
    <x v="394"/>
    <d v="2025-09-11T21:36:45"/>
    <x v="3"/>
    <x v="3"/>
    <s v="STUYFH"/>
    <s v="SABRE"/>
    <s v="TARDIVO/CRISTIANE MEIRA"/>
    <s v="Itamar de Souza"/>
    <s v="WS"/>
    <d v="2025-09-11T00:00:00"/>
    <s v="STUYFH"/>
    <s v="-"/>
    <s v="ON LINE"/>
    <s v="?"/>
    <s v="TKT"/>
    <x v="3"/>
    <s v="N"/>
    <x v="38"/>
    <s v="Adidas do Brasil Ltda"/>
    <s v="-"/>
    <s v="Latam Airlines Brasil"/>
    <n v="2953012923"/>
    <x v="15"/>
    <s v="-"/>
    <x v="6"/>
    <n v="22.13"/>
    <n v="0"/>
    <n v="0"/>
    <n v="22.13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1986"/>
    <n v="23685073"/>
    <s v="ACC01"/>
    <x v="395"/>
    <d v="2025-09-11T21:54:49"/>
    <x v="3"/>
    <x v="3"/>
    <s v="HMFXST"/>
    <s v="SABRE"/>
    <s v="PALASTHY/THIAGO CASARIN"/>
    <s v="Itamar de Souza"/>
    <s v="WS"/>
    <d v="2025-09-11T00:00:00"/>
    <s v="HMFXST"/>
    <s v="-"/>
    <s v="ON LINE"/>
    <s v="?"/>
    <s v="TKT"/>
    <x v="3"/>
    <s v="N"/>
    <x v="38"/>
    <s v="Adidas do Brasil Ltda"/>
    <s v="-"/>
    <s v="Latam Airlines Brasil"/>
    <n v="2953012922"/>
    <x v="15"/>
    <s v="-"/>
    <x v="6"/>
    <n v="13.95"/>
    <n v="447.75"/>
    <n v="0"/>
    <n v="13.95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1987"/>
    <n v="23685074"/>
    <s v="ACC01"/>
    <x v="396"/>
    <d v="2025-09-11T21:54:51"/>
    <x v="3"/>
    <x v="3"/>
    <s v="ALUPEK"/>
    <s v="SABRE"/>
    <s v="SANTOS/JONATAS SOUZA DOS"/>
    <s v="Itamar de Souza"/>
    <s v="WS"/>
    <d v="2025-09-11T00:00:00"/>
    <s v="ALUPEK"/>
    <s v="-"/>
    <s v="ON LINE"/>
    <s v="?"/>
    <s v="TKT"/>
    <x v="3"/>
    <s v="N"/>
    <x v="38"/>
    <s v="Adidas do Brasil Ltda"/>
    <s v="-"/>
    <s v="Latam Airlines Brasil"/>
    <n v="2953012918"/>
    <x v="15"/>
    <s v="-"/>
    <x v="6"/>
    <n v="14.5"/>
    <n v="395.94"/>
    <n v="0"/>
    <n v="14.5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1988"/>
    <n v="23685075"/>
    <s v="ACC01"/>
    <x v="397"/>
    <d v="2025-09-11T21:54:54"/>
    <x v="3"/>
    <x v="3"/>
    <s v="UFOGLE"/>
    <s v="SABRE"/>
    <s v="DE MELO BATISTA/ANASTACIA MEL"/>
    <s v="Itamar de Souza"/>
    <s v="WS"/>
    <d v="2025-09-11T00:00:00"/>
    <s v="UFOGLE"/>
    <s v="-"/>
    <s v="ON LINE"/>
    <s v="?"/>
    <s v="TKT"/>
    <x v="3"/>
    <s v="N"/>
    <x v="38"/>
    <s v="Adidas do Brasil Ltda"/>
    <s v="-"/>
    <s v="Latam Airlines Brasil"/>
    <n v="2953012917"/>
    <x v="15"/>
    <s v="-"/>
    <x v="6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0077"/>
    <n v="23683275"/>
    <s v="ACC01"/>
    <x v="398"/>
    <d v="2025-09-11T17:28:21"/>
    <x v="3"/>
    <x v="3"/>
    <s v="HALUOJ"/>
    <s v="GOVER"/>
    <s v="Simone MARQUES"/>
    <s v="Ana Carolina da Silva"/>
    <s v="Ana Carolina da Silva"/>
    <d v="2025-09-11T12:15:00"/>
    <n v="4595260"/>
    <s v="-"/>
    <s v="OFF LINE"/>
    <s v="Cartão de crédito"/>
    <s v="Cartão de crédito"/>
    <x v="3"/>
    <s v="N"/>
    <x v="40"/>
    <s v="Arcadis"/>
    <s v="-"/>
    <s v="Latam Airlines Brasil"/>
    <n v="4457412049"/>
    <x v="32"/>
    <s v="-"/>
    <x v="203"/>
    <n v="0"/>
    <n v="0"/>
    <n v="0"/>
    <n v="0"/>
    <n v="0"/>
    <n v="0"/>
    <s v="Reserva importada do sistema Gover. Id: 4595260"/>
    <s v="Pnr já existente. A duplicidade de rloc é permitida apenas 6 meses após o último pnr emitido"/>
    <x v="0"/>
    <x v="4"/>
    <s v="Campo RLOC"/>
    <x v="1"/>
    <s v="Qualidade dos dados"/>
    <s v="GRUPO KONTIK"/>
    <x v="5"/>
  </r>
  <r>
    <n v="22889102"/>
    <n v="23664595"/>
    <s v="ACC01"/>
    <x v="399"/>
    <d v="2025-09-12T02:57:18"/>
    <x v="3"/>
    <x v="0"/>
    <s v="HXBFUU"/>
    <s v="SABRE"/>
    <s v="KUMMER DA ROCHA SANTIAGO/SAND"/>
    <s v="Itamar de Souza"/>
    <s v="WS"/>
    <d v="2025-09-02T07:42:00"/>
    <s v="HXBFUU"/>
    <s v="-"/>
    <s v="ON LINE"/>
    <s v="Cartão de crédito"/>
    <s v="Cartão de crédito"/>
    <x v="3"/>
    <s v="N"/>
    <x v="43"/>
    <s v="Sep Global Informacoes do Brasil Ltda"/>
    <s v="Cliente FEE no POS"/>
    <s v="Latam Airlines Brasil"/>
    <n v="2952963668"/>
    <x v="6"/>
    <s v="-"/>
    <x v="6"/>
    <n v="0"/>
    <n v="450"/>
    <n v="0"/>
    <n v="23.03"/>
    <n v="0"/>
    <n v="0"/>
    <s v="Reserva importada por HubTravel"/>
    <s v="Verificação de bilhetes: Bilhete 2952963668 já sendo utilizado para este fornecedor."/>
    <x v="1"/>
    <x v="5"/>
    <s v="Bilhete Já Contabilizado"/>
    <x v="1"/>
    <s v="Qualidade dos dados"/>
    <s v="GRUPO KONTIK"/>
    <x v="4"/>
  </r>
  <r>
    <n v="22911930"/>
    <n v="23685015"/>
    <s v="ACC01"/>
    <x v="400"/>
    <d v="2025-09-11T21:33:41"/>
    <x v="3"/>
    <x v="3"/>
    <s v="ATRUGD"/>
    <s v="SABRE"/>
    <s v="GEISENDORF/CARLO"/>
    <s v="Itamar de Souza"/>
    <s v="WS"/>
    <d v="2025-09-11T15:07:00"/>
    <s v="ATRUGD"/>
    <s v="-"/>
    <s v="ON LINE"/>
    <s v="?"/>
    <s v="TKT"/>
    <x v="3"/>
    <s v="N"/>
    <x v="43"/>
    <s v="Sep Global Informacoes do Brasil Ltda"/>
    <s v="Cliente FEE no POS"/>
    <s v="Latam Airlines Brasil"/>
    <n v="2953012925"/>
    <x v="6"/>
    <s v="-"/>
    <x v="6"/>
    <n v="62.7"/>
    <n v="450"/>
    <n v="0"/>
    <n v="62.7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GRUPO KONTIK"/>
    <x v="4"/>
  </r>
  <r>
    <n v="22905475"/>
    <n v="23679414"/>
    <s v="ACC01"/>
    <x v="401"/>
    <d v="2025-09-12T03:03:15"/>
    <x v="3"/>
    <x v="3"/>
    <s v="GMXYRO"/>
    <s v="SABRE"/>
    <s v="DINIZ FALEIROS/GABRIEL"/>
    <s v="Itamar de Souza"/>
    <s v="Marcia Pereira dos Santos Soares"/>
    <d v="2025-08-28T08:11:00"/>
    <s v="SP2808251147"/>
    <s v="-"/>
    <s v="OFF LINE"/>
    <s v="Cartão de crédito"/>
    <s v="Cartão de crédito"/>
    <x v="3"/>
    <s v="N"/>
    <x v="43"/>
    <s v="Sep Global Informacoes do Brasil Ltda"/>
    <s v="Cliente FEE no POS"/>
    <s v="Latam Airlines Brasil"/>
    <n v="2953012850"/>
    <x v="6"/>
    <s v="-"/>
    <x v="336"/>
    <n v="107.64"/>
    <n v="0"/>
    <n v="0"/>
    <n v="107.64"/>
    <n v="0"/>
    <n v="0"/>
    <s v="Reserva importada por HubTravel"/>
    <s v="Falta informar o status no trecho da accounting aérea (Bilhete: 2953012850)"/>
    <x v="1"/>
    <x v="10"/>
    <s v="Atualização de Trechos"/>
    <x v="0"/>
    <s v="Qualidade dos dados"/>
    <s v="GRUPO KONTIK"/>
    <x v="4"/>
  </r>
  <r>
    <n v="22905475"/>
    <n v="23679415"/>
    <s v="ACC02"/>
    <x v="401"/>
    <d v="2025-09-12T03:03:15"/>
    <x v="3"/>
    <x v="3"/>
    <s v="GMXYRO"/>
    <s v="SABRE"/>
    <s v="DINIZ FALEIROS/GABRIEL"/>
    <s v="Itamar de Souza"/>
    <s v="Marcia Pereira dos Santos Soares"/>
    <d v="2025-08-28T08:11:00"/>
    <s v="SP2808251147"/>
    <s v="-"/>
    <s v="OFF LINE"/>
    <s v="Cartão de crédito"/>
    <s v="Cartão de crédito"/>
    <x v="3"/>
    <s v="N"/>
    <x v="43"/>
    <s v="Sep Global Informacoes do Brasil Ltda"/>
    <s v="Cliente FEE no POS"/>
    <s v="Latam Airlines Brasil"/>
    <n v="2953012850"/>
    <x v="6"/>
    <s v="-"/>
    <x v="6"/>
    <n v="0"/>
    <n v="450"/>
    <n v="0"/>
    <n v="0"/>
    <n v="0"/>
    <n v="0"/>
    <s v="Reserva importada por HubTravel"/>
    <s v="Falta informar o status no trecho da accounting aérea (Bilhete: 2953012850)"/>
    <x v="1"/>
    <x v="10"/>
    <s v="Atualização de Trechos"/>
    <x v="0"/>
    <s v="Qualidade dos dados"/>
    <s v="GRUPO KONTIK"/>
    <x v="4"/>
  </r>
  <r>
    <n v="22905475"/>
    <n v="23679416"/>
    <s v="ACC03"/>
    <x v="401"/>
    <d v="2025-09-12T03:03:15"/>
    <x v="3"/>
    <x v="3"/>
    <s v="GMXYRO"/>
    <s v="SABRE"/>
    <s v="DINIZ FALEIROS/GABRIEL"/>
    <s v="Itamar de Souza"/>
    <s v="Marcia Pereira dos Santos Soares"/>
    <d v="2025-08-28T08:11:00"/>
    <s v="SP2808251147"/>
    <s v="-"/>
    <s v="OFF LINE"/>
    <s v="Cartão de crédito"/>
    <s v="Cartão de crédito"/>
    <x v="3"/>
    <s v="N"/>
    <x v="43"/>
    <s v="Sep Global Informacoes do Brasil Ltda"/>
    <s v="Cliente FEE no POS"/>
    <s v="Latam Airlines Brasil"/>
    <n v="2953012850"/>
    <x v="6"/>
    <s v="-"/>
    <x v="6"/>
    <n v="0"/>
    <n v="450"/>
    <n v="0"/>
    <n v="0"/>
    <n v="0"/>
    <n v="0"/>
    <s v="Reserva importada por HubTravel"/>
    <s v="Falta informar o status no trecho da accounting aérea (Bilhete: 2953012850)"/>
    <x v="1"/>
    <x v="10"/>
    <s v="Atualização de Trechos"/>
    <x v="0"/>
    <s v="Qualidade dos dados"/>
    <s v="GRUPO KONTIK"/>
    <x v="4"/>
  </r>
  <r>
    <n v="22911990"/>
    <n v="23685077"/>
    <s v="ACC01"/>
    <x v="402"/>
    <d v="2025-09-11T21:50:39"/>
    <x v="3"/>
    <x v="3"/>
    <s v="MWXZOI"/>
    <s v="SABRE"/>
    <s v="CAIRES/KELTON COLOMBO"/>
    <s v="Itamar de Souza"/>
    <s v="CT"/>
    <d v="2025-09-11T13:10:00"/>
    <s v="MWXZOI"/>
    <s v="-"/>
    <s v="ON LINE"/>
    <s v="?"/>
    <s v="TKT"/>
    <x v="3"/>
    <s v="N"/>
    <x v="45"/>
    <s v="Livanova Brasil"/>
    <s v="-"/>
    <s v="Latam Airlines Brasil"/>
    <n v="2953012913"/>
    <x v="6"/>
    <s v="-"/>
    <x v="6"/>
    <n v="62.05"/>
    <n v="450"/>
    <n v="0"/>
    <n v="62.05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1985"/>
    <n v="23685072"/>
    <s v="ACC01"/>
    <x v="403"/>
    <d v="2025-09-11T21:50:33"/>
    <x v="3"/>
    <x v="3"/>
    <s v="SINXYN"/>
    <s v="SABRE"/>
    <s v="MORETTI/CLAUDIO MANGONI"/>
    <s v="Itamar de Souza"/>
    <s v="CY"/>
    <d v="2025-09-11T16:04:00"/>
    <s v="SINXYN"/>
    <s v="-"/>
    <s v="ON LINE"/>
    <s v="?"/>
    <s v="TKT"/>
    <x v="3"/>
    <s v="N"/>
    <x v="50"/>
    <s v="Baker Mckenzie - Porto Alegre"/>
    <s v="-"/>
    <s v="Latam Airlines Brasil"/>
    <n v="2953012927"/>
    <x v="6"/>
    <s v="-"/>
    <x v="6"/>
    <n v="10.87"/>
    <n v="450"/>
    <n v="0"/>
    <n v="10.87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2006"/>
    <n v="23685096"/>
    <s v="ACC01"/>
    <x v="404"/>
    <d v="2025-09-11T21:51:29"/>
    <x v="3"/>
    <x v="3"/>
    <s v="NSGCUF"/>
    <s v="SABRE"/>
    <s v="MORETTI/CLAUDIO MANGONI"/>
    <s v="Itamar de Souza"/>
    <s v="CY"/>
    <d v="2025-09-11T16:09:00"/>
    <s v="NSGCUF"/>
    <s v="-"/>
    <s v="ON LINE"/>
    <s v="?"/>
    <s v="TKT"/>
    <x v="3"/>
    <s v="N"/>
    <x v="50"/>
    <s v="Baker Mckenzie - Porto Alegre"/>
    <s v="-"/>
    <s v="Latam Airlines Brasil"/>
    <n v="2953012928"/>
    <x v="6"/>
    <s v="-"/>
    <x v="6"/>
    <n v="0"/>
    <n v="447.75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1865"/>
    <n v="23684966"/>
    <s v="ACC01"/>
    <x v="405"/>
    <d v="2025-09-11T21:24:41"/>
    <x v="3"/>
    <x v="3"/>
    <s v="DNJXXF"/>
    <s v="GOVER"/>
    <s v="Daniel Dissat das Neves Lazuroz"/>
    <s v="Juliana dos Santos Pinto"/>
    <s v="Juliana dos Santos Pinto"/>
    <d v="2025-09-05T20:44:00"/>
    <n v="4595965"/>
    <s v="-"/>
    <s v="OFF LINE"/>
    <s v="Cartão de crédito"/>
    <s v="Cartão AMEX"/>
    <x v="3"/>
    <s v="N"/>
    <x v="57"/>
    <s v="Isdin Sp"/>
    <s v="-"/>
    <s v="Latam Airlines Brasil"/>
    <n v="2952993405"/>
    <x v="43"/>
    <s v="-"/>
    <x v="337"/>
    <n v="450"/>
    <n v="0"/>
    <n v="0"/>
    <n v="0"/>
    <n v="0"/>
    <n v="0"/>
    <s v="Reserva importada do sistema Gover. Id: 4595965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11866"/>
    <n v="23684967"/>
    <s v="ACC01"/>
    <x v="405"/>
    <d v="2025-09-11T21:24:42"/>
    <x v="3"/>
    <x v="3"/>
    <s v="IKNAOB"/>
    <s v="GOVER"/>
    <s v="Ana Lúcia Ferreira Coutinho"/>
    <s v="Juliana dos Santos Pinto"/>
    <s v="Juliana dos Santos Pinto"/>
    <d v="2025-09-11T11:27:00"/>
    <n v="4595965"/>
    <s v="-"/>
    <s v="OFF LINE"/>
    <s v="Cartão de crédito"/>
    <s v="Cartão AMEX"/>
    <x v="3"/>
    <s v="N"/>
    <x v="57"/>
    <s v="Isdin Sp"/>
    <s v="-"/>
    <s v="Latam Airlines Brasil"/>
    <n v="2952993404"/>
    <x v="43"/>
    <s v="-"/>
    <x v="337"/>
    <n v="450"/>
    <n v="0"/>
    <n v="0"/>
    <n v="0"/>
    <n v="0"/>
    <n v="0"/>
    <s v="Reserva importada do sistema Gover. Id: 4595965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09824"/>
    <n v="23683057"/>
    <s v="ACC01"/>
    <x v="406"/>
    <d v="2025-09-11T16:44:41"/>
    <x v="3"/>
    <x v="3"/>
    <s v="KNIZAY"/>
    <s v="GOVER"/>
    <s v="ALANA DE SOUZA DE OLIVEIRA"/>
    <s v="Juliana dos Santos Pinto"/>
    <s v="Juliana dos Santos Pinto"/>
    <d v="2025-09-11T16:11:00"/>
    <n v="4594695"/>
    <s v="-"/>
    <s v="OFF LINE"/>
    <s v="Cartão de crédito"/>
    <s v="Cartão AMEX"/>
    <x v="3"/>
    <s v="N"/>
    <x v="57"/>
    <s v="Isdin Sp"/>
    <s v="-"/>
    <s v="Latam Airlines Brasil"/>
    <n v="2952993399"/>
    <x v="43"/>
    <s v="-"/>
    <x v="338"/>
    <n v="450"/>
    <n v="0"/>
    <n v="0"/>
    <n v="0"/>
    <n v="0"/>
    <n v="0"/>
    <s v="Reserva importada do sistema Gover. Id: 4594695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09825"/>
    <n v="23683058"/>
    <s v="ACC01"/>
    <x v="407"/>
    <d v="2025-09-11T16:44:42"/>
    <x v="3"/>
    <x v="3"/>
    <s v="KOZLPM"/>
    <s v="GOVER"/>
    <s v="SIMONE GUERRERO DAVID"/>
    <s v="Juliana dos Santos Pinto"/>
    <s v="Juliana dos Santos Pinto"/>
    <d v="2025-09-11T16:22:00"/>
    <n v="4594695"/>
    <s v="-"/>
    <s v="OFF LINE"/>
    <s v="Cartão de crédito"/>
    <s v="Cartão AMEX"/>
    <x v="3"/>
    <s v="N"/>
    <x v="57"/>
    <s v="Isdin Sp"/>
    <s v="-"/>
    <s v="Latam Airlines Brasil"/>
    <n v="2952993400"/>
    <x v="43"/>
    <s v="-"/>
    <x v="338"/>
    <n v="450"/>
    <n v="0"/>
    <n v="0"/>
    <n v="0"/>
    <n v="0"/>
    <n v="0"/>
    <s v="Reserva importada do sistema Gover. Id: 4594695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11991"/>
    <n v="23685078"/>
    <s v="ACC01"/>
    <x v="408"/>
    <d v="2025-09-11T21:50:42"/>
    <x v="3"/>
    <x v="3"/>
    <s v="EFSUJO"/>
    <s v="SABRE"/>
    <s v="CASAGRANDE/PAULO LEONARDO"/>
    <s v="Itamar de Souza"/>
    <s v="CORA TORLAI CIRINO"/>
    <d v="2025-09-11T13:35:00"/>
    <s v="EFSUJO"/>
    <s v="-"/>
    <s v="OFF LINE"/>
    <s v="?"/>
    <s v="TKT"/>
    <x v="3"/>
    <s v="N"/>
    <x v="50"/>
    <s v="Baker Mckenzie - Sao Paulo"/>
    <s v="-"/>
    <s v="Latam Airlines Brasil"/>
    <n v="2953012910"/>
    <x v="6"/>
    <s v="-"/>
    <x v="6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05476"/>
    <n v="23679417"/>
    <s v="ACC01"/>
    <x v="409"/>
    <d v="2025-09-12T03:03:17"/>
    <x v="3"/>
    <x v="3"/>
    <s v="FNRQBI"/>
    <s v="SABRE"/>
    <s v="GARIBIAN/SERGIO ADRIAN"/>
    <s v="Flavia Constanzi do Nascimento"/>
    <s v="Humberto da Fontoura"/>
    <d v="2025-09-09T16:45:00"/>
    <s v="FNRQBI"/>
    <s v="-"/>
    <s v="ON LINE"/>
    <s v="Cartão de crédito"/>
    <s v="Cartão de crédito"/>
    <x v="3"/>
    <s v="N"/>
    <x v="43"/>
    <s v="Standard And Poors Ratings do Brasil Ltda"/>
    <s v="Cliente FEE no POS"/>
    <s v="Latam Airlines Brasil"/>
    <n v="2872789883"/>
    <x v="50"/>
    <s v="-"/>
    <x v="339"/>
    <n v="59.54"/>
    <n v="496.07"/>
    <n v="0"/>
    <n v="59.54"/>
    <n v="0"/>
    <n v="0"/>
    <s v="Reserva importada por HubTravel"/>
    <s v="Centro de custo não preenchido! (ACC01) Email do passageiro não preenchido! (ACC01) Departamento não preenchido! (ACC01) Finalidade não "/>
    <x v="1"/>
    <x v="2"/>
    <s v="Falta de informação Gerencial"/>
    <x v="0"/>
    <s v="Qualidade dos dados"/>
    <s v="GRUPO KONTIK"/>
    <x v="4"/>
  </r>
  <r>
    <n v="22911993"/>
    <n v="23685080"/>
    <s v="ACC01"/>
    <x v="410"/>
    <d v="2025-09-11T22:03:10"/>
    <x v="3"/>
    <x v="3"/>
    <s v="JCFRXL"/>
    <s v="SABRE"/>
    <s v="GAUTHIER/FREDERIC"/>
    <s v="Itamar de Souza"/>
    <s v="Poliana Cardoso da Silva"/>
    <d v="2025-09-11T00:00:00"/>
    <s v="JCFRXL"/>
    <s v="-"/>
    <s v="ON LINE"/>
    <s v="?"/>
    <s v="TKT"/>
    <x v="3"/>
    <s v="N"/>
    <x v="51"/>
    <s v="Grupo Casas Bahia S.a."/>
    <s v="-"/>
    <s v="Latam Airlines Brasil"/>
    <n v="2953012908"/>
    <x v="38"/>
    <s v="-"/>
    <x v="6"/>
    <n v="74.09"/>
    <n v="450"/>
    <n v="0"/>
    <n v="74.09"/>
    <n v="0"/>
    <n v="0"/>
    <s v="Reserva importada por HubTravel"/>
    <s v="Centro de custo não preenchido! (ACC01) Empenho/departamento não preenchido! (ACC01) Matrícula não preenchida! (ACC01)"/>
    <x v="1"/>
    <x v="2"/>
    <s v="Falta de informação Gerencial"/>
    <x v="0"/>
    <s v="Qualidade dos dados"/>
    <s v="GRUPO KONTIK"/>
    <x v="4"/>
  </r>
  <r>
    <n v="22891292"/>
    <n v="23666852"/>
    <s v="ACC01"/>
    <x v="411"/>
    <d v="2025-09-11T13:25:44"/>
    <x v="3"/>
    <x v="0"/>
    <s v="NAPJBX"/>
    <s v="TMS"/>
    <s v="FLAVIA GODOY E SILVA"/>
    <s v="Roberta Iaquiri da Silva"/>
    <s v="Roberta Iaquiri da Silva"/>
    <d v="2025-09-08T17:23:00"/>
    <n v="42142"/>
    <s v="-"/>
    <s v="OFF LINE"/>
    <s v="Cartão de crédito"/>
    <s v="Cartão AMEX"/>
    <x v="3"/>
    <s v="N"/>
    <x v="55"/>
    <s v="Motiva Matriz"/>
    <s v="-"/>
    <s v="Latam Airlines Brasil"/>
    <n v="2952971256"/>
    <x v="42"/>
    <s v="-"/>
    <x v="340"/>
    <n v="202.36"/>
    <n v="0"/>
    <n v="0"/>
    <n v="0"/>
    <n v="0"/>
    <n v="0"/>
    <s v="Reserva importada do Sistema TMS. OS: 42142"/>
    <s v="Verificação de bilhetes: Bilhete 2952971256 já sendo utilizado para este fornecedor."/>
    <x v="2"/>
    <x v="5"/>
    <s v="Bilhete Já Contabilizado"/>
    <x v="1"/>
    <s v="Qualidade dos dados"/>
    <s v="GRUPO KONTIK"/>
    <x v="5"/>
  </r>
  <r>
    <n v="22891294"/>
    <n v="23666854"/>
    <s v="ACC01"/>
    <x v="412"/>
    <d v="2025-09-11T13:25:45"/>
    <x v="3"/>
    <x v="0"/>
    <s v="NADYZY"/>
    <s v="TMS"/>
    <s v="WALDO PEREZ LESKOVAR"/>
    <s v="Roberta Iaquiri da Silva"/>
    <s v="Roberta Iaquiri da Silva"/>
    <d v="2025-09-08T17:13:00"/>
    <n v="42141"/>
    <s v="-"/>
    <s v="OFF LINE"/>
    <s v="Cartão de crédito"/>
    <s v="Cartão AMEX"/>
    <x v="3"/>
    <s v="N"/>
    <x v="55"/>
    <s v="Motiva Matriz"/>
    <s v="-"/>
    <s v="Latam Airlines Brasil"/>
    <n v="2952971255"/>
    <x v="42"/>
    <s v="-"/>
    <x v="341"/>
    <n v="202.36"/>
    <n v="0"/>
    <n v="0"/>
    <n v="0"/>
    <n v="0"/>
    <n v="0"/>
    <s v="Reserva importada do Sistema TMS. OS: 42141"/>
    <s v="Verificação de bilhetes: Bilhete 2952971255 já sendo utilizado para este fornecedor."/>
    <x v="2"/>
    <x v="5"/>
    <s v="Bilhete Já Contabilizado"/>
    <x v="1"/>
    <s v="Qualidade dos dados"/>
    <s v="GRUPO KONTIK"/>
    <x v="5"/>
  </r>
  <r>
    <n v="22911152"/>
    <n v="23684328"/>
    <s v="ACC01"/>
    <x v="413"/>
    <d v="2025-09-11T19:17:08"/>
    <x v="3"/>
    <x v="3"/>
    <s v="AWUYJC1"/>
    <s v="TMS"/>
    <s v="RICARDO MALDONADO SEBASTIANI"/>
    <s v="Poliana Cardoso da Silva"/>
    <s v="Poliana Cardoso da Silva"/>
    <d v="2025-09-11T17:26:00"/>
    <n v="2494"/>
    <s v="-"/>
    <s v="OFF LINE"/>
    <s v="Cartão de crédito"/>
    <s v="Cartão de crédito"/>
    <x v="3"/>
    <s v="N"/>
    <x v="53"/>
    <s v="Pepsi Cola Industrial da Amazonia Ltda"/>
    <s v="-"/>
    <s v="Latam Airlines Brasil"/>
    <n v="2952946618"/>
    <x v="40"/>
    <s v="-"/>
    <x v="342"/>
    <n v="0"/>
    <n v="0"/>
    <n v="0"/>
    <n v="0"/>
    <n v="0"/>
    <n v="0"/>
    <s v="Reserva importada do Sistema TMS. OS: 2494"/>
    <s v="Verificação de bilhetes: Bilhete 2952946618 já sendo utilizado para este fornecedor."/>
    <x v="2"/>
    <x v="5"/>
    <s v="Bilhete Já Contabilizado"/>
    <x v="1"/>
    <s v="Qualidade dos dados"/>
    <s v="GRUPO KONTIK"/>
    <x v="5"/>
  </r>
  <r>
    <n v="22901544"/>
    <n v="23675734"/>
    <s v="ACC"/>
    <x v="414"/>
    <d v="2025-09-10T12:41:30"/>
    <x v="3"/>
    <x v="3"/>
    <s v="5KH5J4"/>
    <s v="MANUAL"/>
    <s v="ZARATE/NAHUEL"/>
    <s v="William da Cruz Canteiro"/>
    <s v="Flavia Constanzi do Nascimento"/>
    <d v="2025-09-09T12:12:00"/>
    <s v="3NM4"/>
    <s v="-"/>
    <s v="OFF LINE"/>
    <s v="Cartão de crédito"/>
    <s v="Cartão AMEX"/>
    <x v="3"/>
    <s v="N"/>
    <x v="52"/>
    <s v="Atento Brasil S/a"/>
    <s v="-"/>
    <s v="Latam Airlines Brasil"/>
    <n v="2971323181"/>
    <x v="39"/>
    <s v="-"/>
    <x v="343"/>
    <n v="650.87"/>
    <n v="0"/>
    <n v="0"/>
    <n v="0"/>
    <n v="0"/>
    <n v="0"/>
    <s v="-"/>
    <s v="Accouting aérea não possui trechos (Bilhete: 2971323181)"/>
    <x v="5"/>
    <x v="10"/>
    <s v="Atualização de Trechos"/>
    <x v="0"/>
    <s v="Qualidade dos dados"/>
    <s v="GRUPO KONTIK"/>
    <x v="4"/>
  </r>
  <r>
    <n v="22874109"/>
    <n v="23652657"/>
    <s v="ACC01"/>
    <x v="415"/>
    <d v="2025-09-05T10:54:17"/>
    <x v="1"/>
    <x v="1"/>
    <s v="LA9575496KNXE"/>
    <s v="EBOOKING"/>
    <s v="Rios/Aline"/>
    <s v="Kontrip"/>
    <s v="Kontrip"/>
    <d v="2025-09-05T10:36:00"/>
    <s v="-"/>
    <s v="-"/>
    <s v="OFF LINE"/>
    <s v="Cartão de crédito"/>
    <s v="Cartão de crédito"/>
    <x v="3"/>
    <s v="N"/>
    <x v="65"/>
    <s v="Agencia Mercurio York Viagens e Turismo Ltda"/>
    <s v="-"/>
    <s v="Latam Airlines Brasil"/>
    <n v="2249116391"/>
    <x v="45"/>
    <s v="-"/>
    <x v="344"/>
    <n v="77.14"/>
    <n v="0"/>
    <n v="0"/>
    <n v="0"/>
    <n v="0"/>
    <n v="0"/>
    <s v="obs"/>
    <s v="Centro de custo não preenchido! (ACC02)"/>
    <x v="4"/>
    <x v="7"/>
    <s v="Falta de informação Gerencial"/>
    <x v="0"/>
    <s v="Qualidade dos dados"/>
    <s v="KONTRIP VIAGENS"/>
    <x v="6"/>
  </r>
  <r>
    <n v="22874109"/>
    <n v="23652659"/>
    <s v="ACC02"/>
    <x v="415"/>
    <d v="2025-09-05T10:54:17"/>
    <x v="1"/>
    <x v="1"/>
    <s v="LA9575496KNXE"/>
    <s v="EBOOKING"/>
    <s v="Luz Santos/Uendeo"/>
    <s v="Kontrip"/>
    <s v="Kontrip"/>
    <d v="2025-09-05T10:36:00"/>
    <s v="-"/>
    <s v="-"/>
    <s v="OFF LINE"/>
    <s v="Cartão de crédito"/>
    <s v="Cartão de crédito"/>
    <x v="3"/>
    <s v="N"/>
    <x v="65"/>
    <s v="Agencia Mercurio York Viagens e Turismo Ltda"/>
    <s v="-"/>
    <s v="Latam Airlines Brasil"/>
    <n v="2249116392"/>
    <x v="45"/>
    <s v="-"/>
    <x v="344"/>
    <n v="77.14"/>
    <n v="0"/>
    <n v="0"/>
    <n v="0"/>
    <n v="0"/>
    <n v="0"/>
    <s v="obs"/>
    <s v="Centro de custo não preenchido! (ACC02)"/>
    <x v="4"/>
    <x v="7"/>
    <s v="Falta de informação Gerencial"/>
    <x v="0"/>
    <s v="Qualidade dos dados"/>
    <s v="KONTRIP VIAGENS"/>
    <x v="6"/>
  </r>
  <r>
    <n v="22910883"/>
    <n v="23684059"/>
    <s v="ACC01"/>
    <x v="416"/>
    <d v="2025-09-11T18:52:26"/>
    <x v="3"/>
    <x v="3"/>
    <s v="DTNCRS"/>
    <s v="GOVER"/>
    <s v="Leonora Coimbra Nunes Rodrigues"/>
    <s v="Juliana dos Santos Pinto"/>
    <s v="Juliana dos Santos Pinto"/>
    <d v="2025-09-11T18:35:00"/>
    <n v="4595976"/>
    <s v="-"/>
    <s v="OFF LINE"/>
    <s v="Cartão de crédito"/>
    <s v="Cartão AMEX"/>
    <x v="3"/>
    <s v="N"/>
    <x v="0"/>
    <s v="Brainfarma"/>
    <s v="-"/>
    <s v="Latam Airlines Brasil"/>
    <n v="2250063092"/>
    <x v="0"/>
    <s v="-"/>
    <x v="345"/>
    <n v="450"/>
    <n v="0"/>
    <n v="0"/>
    <n v="0"/>
    <n v="0"/>
    <n v="0"/>
    <s v="Reserva importada do sistema Gover. Id: 4595976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09949"/>
    <n v="23683169"/>
    <s v="ACC01"/>
    <x v="417"/>
    <d v="2025-09-11T16:56:36"/>
    <x v="3"/>
    <x v="3"/>
    <s v="GRNKGF"/>
    <s v="GOVER"/>
    <s v="JULIANA ALVES DA NOBREGA"/>
    <s v="Juliana dos Santos Pinto"/>
    <s v="Juliana dos Santos Pinto"/>
    <d v="2025-09-11T16:49:00"/>
    <n v="4595412"/>
    <s v="-"/>
    <s v="OFF LINE"/>
    <s v="Cartão de crédito"/>
    <s v="Cartão de crédito"/>
    <x v="3"/>
    <s v="N"/>
    <x v="10"/>
    <s v="Lojas Avenida S.a."/>
    <s v="-"/>
    <s v="Latam Airlines Brasil"/>
    <n v="2250044797"/>
    <x v="3"/>
    <s v="-"/>
    <x v="346"/>
    <n v="450"/>
    <n v="0"/>
    <n v="0"/>
    <n v="0"/>
    <n v="0"/>
    <n v="0"/>
    <s v="Reserva importada do sistema Gover. Id: 4595412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11746"/>
    <n v="23684876"/>
    <s v="ACC01"/>
    <x v="418"/>
    <d v="2025-09-11T20:33:30"/>
    <x v="3"/>
    <x v="3"/>
    <s v="YULEJY"/>
    <s v="GOVER"/>
    <s v="Pedro yagelovic bravin arantes"/>
    <s v="Juliana dos Santos Pinto"/>
    <s v="Juliana dos Santos Pinto"/>
    <d v="2025-09-10T17:57:00"/>
    <n v="4595716"/>
    <s v="-"/>
    <s v="OFF LINE"/>
    <s v="Cartão de crédito"/>
    <s v="Cartão de crédito"/>
    <x v="3"/>
    <s v="N"/>
    <x v="61"/>
    <s v="Light S/a- Holding"/>
    <s v="-"/>
    <s v="Latam Airlines Brasil"/>
    <n v="2952872010"/>
    <x v="46"/>
    <s v="-"/>
    <x v="347"/>
    <n v="0"/>
    <n v="0"/>
    <n v="0"/>
    <n v="0"/>
    <n v="0"/>
    <n v="0"/>
    <s v="Reserva importada do sistema Gover. Id: 4595716"/>
    <s v="Pnr já existente. A duplicidade de rloc é permitida apenas 6 meses após o último pnr emitido"/>
    <x v="0"/>
    <x v="4"/>
    <s v="Campo RLOC"/>
    <x v="1"/>
    <s v="Qualidade dos dados"/>
    <s v="GRUPO KONTIK"/>
    <x v="4"/>
  </r>
  <r>
    <n v="22912004"/>
    <n v="23685094"/>
    <s v="ACC01"/>
    <x v="419"/>
    <d v="2025-09-11T23:42:46"/>
    <x v="3"/>
    <x v="3"/>
    <s v="DICVGG"/>
    <s v="SABRE"/>
    <s v="GRUSKE/TIAGO VINICIUS"/>
    <s v="Flavia Constanzi do Nascimento"/>
    <s v="CT"/>
    <d v="2025-09-11T00:00:00"/>
    <s v="DICVGG"/>
    <s v="-"/>
    <s v="ON LINE"/>
    <s v="Invoice"/>
    <s v="Faturado"/>
    <x v="3"/>
    <s v="N"/>
    <x v="1"/>
    <s v="Dcbr - Rexroth"/>
    <s v="Cliente FEE no POS"/>
    <s v="Latam Airlines Brasil"/>
    <n v="2952966443"/>
    <x v="1"/>
    <s v="-"/>
    <x v="348"/>
    <n v="149.19999999999999"/>
    <n v="805.57"/>
    <n v="0"/>
    <n v="149.19999999999999"/>
    <n v="0"/>
    <n v="0"/>
    <s v="Reserva importada por HubTravel"/>
    <s v="Verificação de bilhetes: Bilhete 2952966443 já sendo utilizado para este fornecedor."/>
    <x v="1"/>
    <x v="5"/>
    <s v="Bilhete Já Contabilizado"/>
    <x v="1"/>
    <s v="Qualidade dos dados"/>
    <s v="GRUPO KONTIK"/>
    <x v="4"/>
  </r>
  <r>
    <n v="22911619"/>
    <n v="23684774"/>
    <s v="ACC01"/>
    <x v="420"/>
    <d v="2025-09-11T19:51:42"/>
    <x v="3"/>
    <x v="3"/>
    <s v="LA9571454MECM"/>
    <s v="EBOOKING"/>
    <s v="Ribeiro Marques Moura/Adriana"/>
    <s v="Kontrip"/>
    <s v="Kontrip"/>
    <d v="2025-09-11T07:33:00"/>
    <s v="-"/>
    <s v="-"/>
    <s v="OFF LINE"/>
    <s v="Cartão de crédito"/>
    <s v="Cartão de crédito"/>
    <x v="3"/>
    <s v="N"/>
    <x v="60"/>
    <s v="Grant Thornton Auditores Independentes"/>
    <s v="-"/>
    <s v="Latam Airlines Brasil"/>
    <n v="2250076385"/>
    <x v="45"/>
    <s v="-"/>
    <x v="349"/>
    <n v="120.57"/>
    <n v="0"/>
    <n v="82.38"/>
    <n v="0"/>
    <n v="0"/>
    <n v="36.25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08935"/>
    <n v="23682176"/>
    <s v="ACC01"/>
    <x v="421"/>
    <d v="2025-09-11T13:43:10"/>
    <x v="3"/>
    <x v="3"/>
    <s v="UBVDEP"/>
    <s v="EBOOKING"/>
    <s v="RODRIGUES MAUES ALVES/DEBORA"/>
    <s v="Kontrip"/>
    <s v="Kontrip"/>
    <d v="2025-09-11T01:40:00"/>
    <s v="-"/>
    <s v="-"/>
    <s v="OFF LINE"/>
    <s v="Cartão de crédito"/>
    <s v="Cartão de crédito"/>
    <x v="3"/>
    <s v="N"/>
    <x v="60"/>
    <s v="Mobiauto Edicao de Anuncios On Line Ltda"/>
    <s v="-"/>
    <s v="Latam Airlines Brasil"/>
    <n v="2250011889"/>
    <x v="45"/>
    <s v="-"/>
    <x v="350"/>
    <n v="450"/>
    <n v="0"/>
    <n v="0"/>
    <n v="0"/>
    <n v="0"/>
    <n v="40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09200"/>
    <n v="23682403"/>
    <s v="ACC01"/>
    <x v="422"/>
    <d v="2025-09-11T14:52:36"/>
    <x v="3"/>
    <x v="3"/>
    <s v="LA9574225TCIL"/>
    <s v="EBOOKING"/>
    <s v="Vasconcelos/Maíra"/>
    <s v="Kontrip"/>
    <s v="Kontrip"/>
    <d v="2025-09-10T10:42:00"/>
    <s v="-"/>
    <s v="-"/>
    <s v="OFF LINE"/>
    <s v="Cartão de crédito"/>
    <s v="Cartão de crédito"/>
    <x v="3"/>
    <s v="N"/>
    <x v="60"/>
    <s v="Mega Logistica Transporte Por Navegacao S/a"/>
    <s v="-"/>
    <s v="Latam Airlines Brasil"/>
    <n v="2250024175"/>
    <x v="45"/>
    <s v="-"/>
    <x v="351"/>
    <n v="33.64"/>
    <n v="0"/>
    <n v="189.43"/>
    <n v="0"/>
    <n v="0"/>
    <n v="250.05"/>
    <s v="obs"/>
    <s v="Não foi possível encontrar configuração válida para Administradora de código 1 e Data Emissão 10/09/2025"/>
    <x v="4"/>
    <x v="6"/>
    <s v="Análise Benner"/>
    <x v="2"/>
    <s v="Qualidade dos dados"/>
    <s v="KONTRIP VIAGENS"/>
    <x v="6"/>
  </r>
  <r>
    <n v="22909200"/>
    <n v="23682404"/>
    <s v="ACC02"/>
    <x v="422"/>
    <d v="2025-09-11T14:52:36"/>
    <x v="3"/>
    <x v="3"/>
    <s v="LA9574225TCIL"/>
    <s v="EBOOKING"/>
    <s v="Carvalho/Eduardo"/>
    <s v="Kontrip"/>
    <s v="Kontrip"/>
    <d v="2025-09-10T10:42:00"/>
    <s v="-"/>
    <s v="-"/>
    <s v="OFF LINE"/>
    <s v="Cartão de crédito"/>
    <s v="Cartão de crédito"/>
    <x v="3"/>
    <s v="N"/>
    <x v="60"/>
    <s v="Mega Logistica Transporte Por Navegacao S/a"/>
    <s v="-"/>
    <s v="Latam Airlines Brasil"/>
    <n v="2250024176"/>
    <x v="45"/>
    <s v="-"/>
    <x v="351"/>
    <n v="33.64"/>
    <n v="0"/>
    <n v="189.43"/>
    <n v="0"/>
    <n v="0"/>
    <n v="0"/>
    <s v="obs"/>
    <s v="Não foi possível encontrar configuração válida para Administradora de código 1 e Data Emissão 10/09/2025"/>
    <x v="4"/>
    <x v="6"/>
    <s v="Análise Benner"/>
    <x v="2"/>
    <s v="Qualidade dos dados"/>
    <s v="KONTRIP VIAGENS"/>
    <x v="6"/>
  </r>
  <r>
    <n v="22911982"/>
    <n v="23685068"/>
    <s v="ACC01"/>
    <x v="423"/>
    <d v="2025-09-11T21:54:45"/>
    <x v="3"/>
    <x v="3"/>
    <s v="OMUVWA"/>
    <s v="SABRE"/>
    <s v="CARVALHO/MAURO"/>
    <s v="Clayton Alves de Rezende"/>
    <s v="WT"/>
    <d v="2025-09-11T00:00:00"/>
    <s v="OMUVWA"/>
    <s v="-"/>
    <s v="ON LINE"/>
    <s v="Cartão de crédito"/>
    <s v="Cartão de crédito"/>
    <x v="3"/>
    <s v="N"/>
    <x v="26"/>
    <s v="Mars Brasil - Mogi Mirim"/>
    <s v="-"/>
    <s v="Latam Airlines Brasil"/>
    <n v="2953004193"/>
    <x v="22"/>
    <s v="-"/>
    <x v="352"/>
    <n v="59.54"/>
    <n v="135.30000000000001"/>
    <n v="0"/>
    <n v="59.54"/>
    <n v="0"/>
    <n v="0"/>
    <s v="Reserva importada por HubTravel"/>
    <s v="Centro de custo não preenchido! (ACC01)"/>
    <x v="1"/>
    <x v="7"/>
    <s v="Falta de informação Gerencial"/>
    <x v="0"/>
    <s v="Qualidade dos dados"/>
    <s v="GRUPO KONTIK"/>
    <x v="4"/>
  </r>
  <r>
    <n v="22911996"/>
    <n v="23685084"/>
    <s v="ACC01"/>
    <x v="424"/>
    <d v="2025-09-11T21:50:46"/>
    <x v="3"/>
    <x v="3"/>
    <s v="IIJVXQ"/>
    <s v="SABRE"/>
    <s v="BRAS/FLAVIA"/>
    <s v="Itamar de Souza"/>
    <s v="WS"/>
    <d v="2025-09-11T07:26:00"/>
    <s v="IIJVXQ"/>
    <s v="-"/>
    <s v="ON LINE"/>
    <s v="?"/>
    <s v="TKT"/>
    <x v="3"/>
    <s v="N"/>
    <x v="23"/>
    <s v="Honeywell"/>
    <s v="Cliente FEE no POS"/>
    <s v="Latam Airlines Brasil"/>
    <n v="2953012901"/>
    <x v="18"/>
    <s v="-"/>
    <x v="6"/>
    <n v="0"/>
    <n v="450"/>
    <n v="0"/>
    <n v="0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GRUPO KONTIK"/>
    <x v="4"/>
  </r>
  <r>
    <n v="22905480"/>
    <n v="23679421"/>
    <s v="ACC01"/>
    <x v="425"/>
    <d v="2025-09-11T13:44:43"/>
    <x v="3"/>
    <x v="3"/>
    <s v="ATFLHC"/>
    <s v="SABRE"/>
    <s v="DA SILVA SR/ALEXANDRE DE FARI"/>
    <s v="Itamar de Souza"/>
    <s v="WS"/>
    <d v="2025-09-05T14:16:00"/>
    <s v="ATFLHC"/>
    <s v="-"/>
    <s v="ON LINE"/>
    <s v="?"/>
    <s v="TKT"/>
    <x v="3"/>
    <s v="N"/>
    <x v="23"/>
    <s v="Honeywell"/>
    <s v="Cliente FEE no POS"/>
    <s v="Latam Airlines Brasil"/>
    <n v="2952994552"/>
    <x v="18"/>
    <s v="-"/>
    <x v="6"/>
    <n v="0"/>
    <n v="450"/>
    <n v="0"/>
    <n v="0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GRUPO KONTIK"/>
    <x v="4"/>
  </r>
  <r>
    <n v="22910216"/>
    <n v="23683432"/>
    <s v="ACC"/>
    <x v="426"/>
    <d v="2025-09-12T05:05:48"/>
    <x v="3"/>
    <x v="3"/>
    <s v="5KU676"/>
    <s v="MANUAL"/>
    <s v="GONCALVES/ANA PAULA"/>
    <s v="Paulo Roberto Mendes da Silva"/>
    <s v="Flavia Constanzi do Nascimento"/>
    <d v="2025-09-10T17:50:00"/>
    <s v="HO1009251753"/>
    <s v="-"/>
    <s v="OFF LINE"/>
    <s v="Invoice"/>
    <s v="Cartão convênio"/>
    <x v="3"/>
    <s v="N"/>
    <x v="23"/>
    <s v="Honeywell"/>
    <s v="Cliente FEE no POS"/>
    <s v="Latam Airlines Brasil"/>
    <n v="2953010992"/>
    <x v="18"/>
    <s v="-"/>
    <x v="353"/>
    <n v="460.13"/>
    <n v="0"/>
    <n v="0"/>
    <n v="0"/>
    <n v="0"/>
    <n v="13"/>
    <s v="-"/>
    <s v="Accouting aérea não possui trechos (Bilhete: 2953010992)"/>
    <x v="5"/>
    <x v="10"/>
    <s v="Atualização de Trechos"/>
    <x v="0"/>
    <s v="Qualidade dos dados"/>
    <s v="GRUPO KONTIK"/>
    <x v="4"/>
  </r>
  <r>
    <n v="22850692"/>
    <n v="23632156"/>
    <s v="ACC01"/>
    <x v="427"/>
    <d v="2025-09-11T13:28:01"/>
    <x v="3"/>
    <x v="2"/>
    <s v="S20I76"/>
    <s v="SABRE"/>
    <s v="PRODOCIMO/RENAN MAGIRI"/>
    <s v="Marcia Pereira dos Santos Soares"/>
    <s v="Flavia Constanzi do Nascimento"/>
    <d v="2025-09-01T08:16:00"/>
    <s v="S20I76"/>
    <s v="-"/>
    <s v="OFF LINE"/>
    <s v="Cartão de crédito"/>
    <s v="Cartão de crédito"/>
    <x v="3"/>
    <s v="N"/>
    <x v="23"/>
    <s v="Honeywell"/>
    <s v="Cliente FEE no POS"/>
    <s v="Latam Airlines Brasil"/>
    <n v="2971612638"/>
    <x v="18"/>
    <s v="-"/>
    <x v="354"/>
    <n v="195.2"/>
    <n v="0"/>
    <n v="0"/>
    <n v="0"/>
    <n v="0"/>
    <n v="55"/>
    <s v="Reserva importada por HubTravel"/>
    <s v="9153843/6091849&quot; possui uma transação de cartão efetivada"/>
    <x v="1"/>
    <x v="12"/>
    <s v="Financeiro Conciliado"/>
    <x v="3"/>
    <s v="Qualidade dos dados"/>
    <s v="GRUPO KONTIK"/>
    <x v="4"/>
  </r>
  <r>
    <n v="22896205"/>
    <n v="23671159"/>
    <s v="ACC"/>
    <x v="428"/>
    <d v="2025-09-10T04:54:12"/>
    <x v="3"/>
    <x v="0"/>
    <s v="P8FM76"/>
    <s v="MANUAL"/>
    <s v="OLIVEIRA/GABRIELA MOREIRA DE"/>
    <s v="Nathalia dos Santos Batista"/>
    <s v="Itamar de Souza"/>
    <d v="2025-09-08T15:19:00"/>
    <s v="SBD080925"/>
    <s v="-"/>
    <s v="OFF LINE"/>
    <s v="Invoice"/>
    <s v="Cartão convênio"/>
    <x v="3"/>
    <s v="N"/>
    <x v="21"/>
    <s v="Bdb Ferramentas do Brasil Ltda"/>
    <s v="Cliente FEE no POS"/>
    <s v="Latam Airlines Brasil"/>
    <n v="2952994610"/>
    <x v="15"/>
    <s v="-"/>
    <x v="355"/>
    <n v="116.64"/>
    <n v="0"/>
    <n v="0"/>
    <n v="0"/>
    <n v="0"/>
    <n v="42"/>
    <s v="-"/>
    <s v="Accouting aérea não possui trechos (Bilhete: 2952994610)"/>
    <x v="5"/>
    <x v="10"/>
    <s v="Atualização de Trechos"/>
    <x v="0"/>
    <s v="Qualidade dos dados"/>
    <s v="GRUPO KONTIK"/>
    <x v="4"/>
  </r>
  <r>
    <n v="22889110"/>
    <n v="23664603"/>
    <s v="ACC01"/>
    <x v="429"/>
    <d v="2025-09-11T13:28:08"/>
    <x v="3"/>
    <x v="0"/>
    <s v="GVBECV"/>
    <s v="SABRE"/>
    <s v="TEIXEIRA/ERIC NERY"/>
    <s v="Clayton Alves de Rezende"/>
    <s v="WS"/>
    <d v="2025-09-02T05:45:00"/>
    <s v="GVBECV"/>
    <s v="-"/>
    <s v="ON LINE"/>
    <s v="?"/>
    <s v="TKT"/>
    <x v="3"/>
    <s v="N"/>
    <x v="21"/>
    <s v="Refal Industria e Comercio de Rebites e Rebitadeiras Ltda"/>
    <s v="Cliente FEE no POS"/>
    <s v="Latam Airlines Brasil"/>
    <n v="2952950883"/>
    <x v="15"/>
    <s v="-"/>
    <x v="6"/>
    <n v="0"/>
    <n v="801.61"/>
    <n v="0"/>
    <n v="0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GRUPO KONTIK"/>
    <x v="4"/>
  </r>
  <r>
    <n v="22909804"/>
    <n v="23683039"/>
    <s v="ACC01"/>
    <x v="430"/>
    <d v="2025-09-11T16:36:49"/>
    <x v="3"/>
    <x v="3"/>
    <s v="LA9573321XRQH"/>
    <s v="EBOOKING"/>
    <s v="SILVA/DANIEL"/>
    <s v="Kontrip"/>
    <s v="Kontrip"/>
    <d v="2025-09-11T10:16:00"/>
    <s v="-"/>
    <s v="-"/>
    <s v="OFF LINE"/>
    <s v="Cartão de crédito"/>
    <s v="Cartão de crédito"/>
    <x v="3"/>
    <s v="N"/>
    <x v="68"/>
    <s v="Luizalabs"/>
    <s v="-"/>
    <s v="Latam Airlines Brasil"/>
    <n v="2250042719"/>
    <x v="45"/>
    <s v="-"/>
    <x v="356"/>
    <n v="74.599999999999994"/>
    <n v="0"/>
    <n v="140.54"/>
    <n v="0"/>
    <n v="0"/>
    <n v="92.76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910122"/>
    <n v="23683328"/>
    <s v="ACC01"/>
    <x v="431"/>
    <d v="2025-09-11T17:56:06"/>
    <x v="3"/>
    <x v="3"/>
    <s v="WKIYKY"/>
    <s v="GOVER"/>
    <s v="MARCELO GUERRIERI"/>
    <s v="Emilia Alejandra Pacheco Maraboli"/>
    <s v="Emilia Alejandra Pacheco Maraboli"/>
    <d v="2025-09-10T15:15:00"/>
    <n v="4594986"/>
    <s v="-"/>
    <s v="OFF LINE"/>
    <s v="Cartão de crédito"/>
    <s v="Cartão AMEX"/>
    <x v="3"/>
    <s v="N"/>
    <x v="69"/>
    <s v="Syntegon Tecnologia de Embalagem Limitada"/>
    <s v="-"/>
    <s v="Latam Airlines Brasil"/>
    <n v="2953005171"/>
    <x v="51"/>
    <s v="-"/>
    <x v="357"/>
    <n v="858.79"/>
    <n v="0"/>
    <n v="0"/>
    <n v="0"/>
    <n v="0"/>
    <n v="0"/>
    <s v="Reserva importada do sistema Gover. Id: 4594986"/>
    <s v="Verificação de bilhetes: Bilhete 2953005171 já sendo utilizado para este fornecedor."/>
    <x v="0"/>
    <x v="5"/>
    <s v="Bilhete Já Contabilizado"/>
    <x v="1"/>
    <s v="Qualidade dos dados"/>
    <s v="GRUPO KONTIK"/>
    <x v="5"/>
  </r>
  <r>
    <n v="22910188"/>
    <n v="23683389"/>
    <s v="ACC01"/>
    <x v="432"/>
    <d v="2025-09-11T17:59:37"/>
    <x v="3"/>
    <x v="3"/>
    <s v="HSYOYL"/>
    <s v="GOVER"/>
    <s v="EVAIR SOARES DOS SANTOS"/>
    <s v="Emilia Alejandra Pacheco Maraboli"/>
    <s v="Emilia Alejandra Pacheco Maraboli"/>
    <d v="2025-09-10T19:29:00"/>
    <n v="4595664"/>
    <s v="-"/>
    <s v="OFF LINE"/>
    <s v="Cartão de crédito"/>
    <s v="Cartão AMEX"/>
    <x v="3"/>
    <s v="N"/>
    <x v="69"/>
    <s v="Syntegon Tecnologia de Embalagem Limitada"/>
    <s v="-"/>
    <s v="Latam Airlines Brasil"/>
    <n v="2953004182"/>
    <x v="51"/>
    <s v="-"/>
    <x v="358"/>
    <n v="805"/>
    <n v="0"/>
    <n v="0"/>
    <n v="0"/>
    <n v="0"/>
    <n v="0"/>
    <s v="Reserva importada do sistema Gover. Id: 4595664"/>
    <s v="Verificação de bilhetes: Bilhete 2953004182 já sendo utilizado para este fornecedor."/>
    <x v="0"/>
    <x v="5"/>
    <s v="Bilhete Já Contabilizado"/>
    <x v="1"/>
    <s v="Qualidade dos dados"/>
    <s v="GRUPO KONTIK"/>
    <x v="5"/>
  </r>
  <r>
    <n v="22905137"/>
    <n v="23685089"/>
    <s v="ACC02"/>
    <x v="433"/>
    <d v="2025-09-11T21:42:10"/>
    <x v="3"/>
    <x v="3"/>
    <s v="OEJNXT"/>
    <s v="SABRE"/>
    <s v="MARTINS/GUILHERME"/>
    <s v="Beatrys Ferreira Rocha"/>
    <s v="Luciene Carvalho Santos"/>
    <d v="2025-09-09T14:05:00"/>
    <s v="DI0909251515"/>
    <s v="-"/>
    <s v="OFF LINE"/>
    <s v="Invoice"/>
    <s v="TKT"/>
    <x v="3"/>
    <s v="N"/>
    <x v="18"/>
    <s v="Diageo Brasil"/>
    <s v="Cliente FEE no POS"/>
    <s v="Latam Airlines Brasil"/>
    <n v="2953010962"/>
    <x v="14"/>
    <s v="-"/>
    <x v="359"/>
    <n v="0"/>
    <n v="3696.15"/>
    <n v="0"/>
    <n v="59.54"/>
    <n v="0"/>
    <n v="0"/>
    <s v="Reserva importada por HubTravel"/>
    <s v="Este cliente não possui permissão para usar este tipo de pagamento e recebimento para este produto."/>
    <x v="1"/>
    <x v="1"/>
    <s v="Forma PG. e REC."/>
    <x v="0"/>
    <s v="Qualidade dos dados"/>
    <s v="GRUPO KONTIK"/>
    <x v="4"/>
  </r>
  <r>
    <n v="22904717"/>
    <n v="23678744"/>
    <s v="ACC01"/>
    <x v="434"/>
    <d v="2025-09-11T13:25:56"/>
    <x v="3"/>
    <x v="3"/>
    <s v="FJRBIB1"/>
    <s v="TMS"/>
    <s v="DANIEL CIFU"/>
    <s v="Viviane Novaes Araujo"/>
    <s v="Viviane Novaes Araujo"/>
    <d v="2025-09-10T17:53:00"/>
    <n v="232427"/>
    <s v="-"/>
    <s v="OFF LINE"/>
    <s v="Cartão de crédito"/>
    <s v="Cartão de crédito"/>
    <x v="3"/>
    <s v="N"/>
    <x v="15"/>
    <s v="Kpmg Structured"/>
    <s v="-"/>
    <s v="Latam Airlines Brasil"/>
    <n v="2952865232"/>
    <x v="12"/>
    <s v="-"/>
    <x v="6"/>
    <n v="420.84"/>
    <n v="0"/>
    <n v="0"/>
    <n v="0"/>
    <n v="0"/>
    <n v="0"/>
    <s v="Reserva importada do Sistema TMS. OS: 232427"/>
    <s v="Verificação de bilhetes: Bilhete 2952865232 já sendo utilizado para este fornecedor."/>
    <x v="2"/>
    <x v="5"/>
    <s v="Bilhete Já Contabilizado"/>
    <x v="1"/>
    <s v="Qualidade dos dados"/>
    <s v="GRUPO KONTIK"/>
    <x v="5"/>
  </r>
  <r>
    <n v="22913620"/>
    <n v="23686209"/>
    <s v="ACC01"/>
    <x v="435"/>
    <d v="2025-09-12T06:54:30"/>
    <x v="3"/>
    <x v="3"/>
    <s v="HMTUQO"/>
    <s v="SABRE"/>
    <s v="SUELI DE SOUZA/RICHELI"/>
    <s v="Itamar de Souza"/>
    <s v="Marcelo Pereira de Melo"/>
    <d v="2025-09-10T14:34:00"/>
    <s v="BA10092025"/>
    <s v="-"/>
    <s v="OFF LINE"/>
    <s v="?"/>
    <s v="TKT"/>
    <x v="3"/>
    <s v="N"/>
    <x v="31"/>
    <s v="Suvinil"/>
    <s v="-"/>
    <s v="Latam Airlines Brasil"/>
    <n v="2953012883"/>
    <x v="25"/>
    <s v="-"/>
    <x v="6"/>
    <n v="43.11"/>
    <n v="450"/>
    <n v="0"/>
    <n v="43.11"/>
    <n v="0"/>
    <n v="0"/>
    <s v="Reserva importada por HubTravel"/>
    <s v="Verificação de bilhetes: Bilhete 2953012883 já sendo utilizado para este fornecedor."/>
    <x v="1"/>
    <x v="5"/>
    <s v="Bilhete Já Contabilizado"/>
    <x v="1"/>
    <s v="Qualidade dos dados"/>
    <s v="GRUPO KONTIK"/>
    <x v="4"/>
  </r>
  <r>
    <n v="22912008"/>
    <n v="23685097"/>
    <s v="ACC01"/>
    <x v="436"/>
    <d v="2025-09-11T21:51:30"/>
    <x v="3"/>
    <x v="3"/>
    <s v="GLIFHV"/>
    <s v="SABRE"/>
    <s v="BARBOSA/FERNANDO"/>
    <s v="Itamar de Souza"/>
    <s v="Marcelo de Freitas"/>
    <d v="2025-09-03T12:48:00"/>
    <s v="BA0309251455"/>
    <s v="-"/>
    <s v="OFF LINE"/>
    <s v="?"/>
    <s v="TKT"/>
    <x v="3"/>
    <s v="N"/>
    <x v="31"/>
    <s v="Basf Sa"/>
    <s v="-"/>
    <s v="Latam Airlines Brasil"/>
    <n v="2953012929"/>
    <x v="25"/>
    <s v="-"/>
    <x v="6"/>
    <n v="0"/>
    <n v="450"/>
    <n v="0"/>
    <n v="49.22"/>
    <n v="0"/>
    <n v="0"/>
    <s v="Reserva importada por HubTravel"/>
    <s v="Falta informar o status no trecho da accounting aérea (Bilhete: 2953012929)"/>
    <x v="1"/>
    <x v="10"/>
    <s v="Atualização de Trechos"/>
    <x v="0"/>
    <s v="Qualidade dos dados"/>
    <s v="GRUPO KONTIK"/>
    <x v="4"/>
  </r>
  <r>
    <n v="22912008"/>
    <n v="23685098"/>
    <s v="ACC02"/>
    <x v="436"/>
    <d v="2025-09-11T21:51:30"/>
    <x v="3"/>
    <x v="3"/>
    <s v="GLIFHV"/>
    <s v="SABRE"/>
    <s v="BARBOSA/FERNANDO"/>
    <s v="Itamar de Souza"/>
    <s v="Marcelo de Freitas"/>
    <d v="2025-09-03T12:48:00"/>
    <s v="BA0309251455"/>
    <s v="-"/>
    <s v="OFF LINE"/>
    <s v="?"/>
    <s v="TKT"/>
    <x v="3"/>
    <s v="N"/>
    <x v="31"/>
    <s v="Basf Sa"/>
    <s v="-"/>
    <s v="Latam Airlines Brasil"/>
    <n v="2953012929"/>
    <x v="25"/>
    <s v="-"/>
    <x v="6"/>
    <n v="0"/>
    <n v="0"/>
    <n v="0"/>
    <n v="0"/>
    <n v="0"/>
    <n v="0"/>
    <s v="Reserva importada por HubTravel"/>
    <s v="Falta informar o status no trecho da accounting aérea (Bilhete: 2953012929)"/>
    <x v="1"/>
    <x v="10"/>
    <s v="Atualização de Trechos"/>
    <x v="0"/>
    <s v="Qualidade dos dados"/>
    <s v="GRUPO KONTIK"/>
    <x v="4"/>
  </r>
  <r>
    <n v="22912008"/>
    <n v="23685099"/>
    <s v="ACC03"/>
    <x v="436"/>
    <d v="2025-09-11T21:51:30"/>
    <x v="3"/>
    <x v="3"/>
    <s v="GLIFHV"/>
    <s v="SABRE"/>
    <s v="BARBOSA/FERNANDO"/>
    <s v="Itamar de Souza"/>
    <s v="Marcelo de Freitas"/>
    <d v="2025-09-03T12:48:00"/>
    <s v="BA0309251455"/>
    <s v="-"/>
    <s v="OFF LINE"/>
    <s v="?"/>
    <s v="TKT"/>
    <x v="3"/>
    <s v="N"/>
    <x v="31"/>
    <s v="Basf Sa"/>
    <s v="-"/>
    <s v="Latam Airlines Brasil"/>
    <n v="2953012929"/>
    <x v="25"/>
    <s v="-"/>
    <x v="6"/>
    <n v="0"/>
    <n v="0"/>
    <n v="0"/>
    <n v="0"/>
    <n v="0"/>
    <n v="0"/>
    <s v="Reserva importada por HubTravel"/>
    <s v="Falta informar o status no trecho da accounting aérea (Bilhete: 2953012929)"/>
    <x v="1"/>
    <x v="10"/>
    <s v="Atualização de Trechos"/>
    <x v="0"/>
    <s v="Qualidade dos dados"/>
    <s v="GRUPO KONTIK"/>
    <x v="4"/>
  </r>
  <r>
    <n v="22911992"/>
    <n v="23685079"/>
    <s v="ACC01"/>
    <x v="437"/>
    <d v="2025-09-12T06:58:30"/>
    <x v="3"/>
    <x v="3"/>
    <s v="IRUWPV"/>
    <s v="SABRE"/>
    <s v="MOGNOL/GRACIELA"/>
    <s v="Itamar de Souza"/>
    <s v="Marcelo de Freitas"/>
    <d v="2025-09-11T09:24:00"/>
    <s v="BA1109251514"/>
    <s v="-"/>
    <s v="OFF LINE"/>
    <s v="?"/>
    <s v="TKT"/>
    <x v="3"/>
    <s v="N"/>
    <x v="31"/>
    <s v="Basf Sa"/>
    <s v="-"/>
    <s v="Latam Airlines Brasil"/>
    <n v="2953012909"/>
    <x v="25"/>
    <s v="-"/>
    <x v="6"/>
    <n v="0"/>
    <n v="447.75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05394"/>
    <n v="23679336"/>
    <s v="ACC01"/>
    <x v="438"/>
    <d v="2025-09-11T13:39:45"/>
    <x v="3"/>
    <x v="3"/>
    <s v="GFPLUQ"/>
    <s v="SABRE"/>
    <s v="COSTA/MARCOS ROGERIO"/>
    <s v="Itamar de Souza"/>
    <s v="Eliane da Silva Souza Paula"/>
    <d v="2025-09-08T14:28:00"/>
    <s v="GFPLUQ"/>
    <s v="-"/>
    <s v="ON LINE"/>
    <s v="?"/>
    <s v="TKT"/>
    <x v="3"/>
    <s v="N"/>
    <x v="59"/>
    <s v="Sibelco - Pedra do Indaia - Matriz"/>
    <s v="-"/>
    <s v="Latam Airlines Brasil"/>
    <n v="2952994607"/>
    <x v="44"/>
    <s v="-"/>
    <x v="6"/>
    <n v="0"/>
    <n v="450"/>
    <n v="0"/>
    <n v="35.1"/>
    <n v="0"/>
    <n v="0"/>
    <s v="Reserva importada por HubTravel"/>
    <s v="Centro de custo não preenchido! (ACC01) Matrícula não preenchida! (ACC01) Departamento não preenchido! (ACC01) Projeto não preenchido! (ACC01)"/>
    <x v="1"/>
    <x v="2"/>
    <s v="Falta de informação Gerencial"/>
    <x v="0"/>
    <s v="Qualidade dos dados"/>
    <s v="GRUPO KONTIK"/>
    <x v="4"/>
  </r>
  <r>
    <n v="22912014"/>
    <n v="23685102"/>
    <s v="ACC01"/>
    <x v="439"/>
    <d v="2025-09-11T21:51:41"/>
    <x v="3"/>
    <x v="3"/>
    <s v="ARVXPT"/>
    <s v="SABRE"/>
    <s v="DE OLIVEIRA FERNANDES/ANA REN"/>
    <s v="Itamar de Souza"/>
    <s v="Marcia Pereira dos Santos Soares"/>
    <d v="2025-09-11T15:35:00"/>
    <s v="CH1109251840"/>
    <s v="-"/>
    <s v="OFF LINE"/>
    <s v="?"/>
    <s v="TKT"/>
    <x v="3"/>
    <s v="N"/>
    <x v="33"/>
    <s v="Chanel"/>
    <s v="-"/>
    <s v="Latam Airlines Brasil"/>
    <n v="2953012930"/>
    <x v="26"/>
    <s v="-"/>
    <x v="6"/>
    <n v="6.23"/>
    <n v="447.75"/>
    <n v="0"/>
    <n v="6.23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09280"/>
    <n v="23682482"/>
    <s v="ACC01"/>
    <x v="440"/>
    <d v="2025-09-11T15:32:53"/>
    <x v="3"/>
    <x v="3"/>
    <s v="JRFJUY"/>
    <s v="SABRE"/>
    <s v="MENDES/EMILIANO"/>
    <s v="Flavia Constanzi do Nascimento"/>
    <s v="Marcelo de Freitas"/>
    <d v="2025-08-29T10:58:00"/>
    <s v="BA2908251310"/>
    <s v="-"/>
    <s v="OFF LINE"/>
    <s v="Cartão de crédito"/>
    <s v="Cartão AMEX"/>
    <x v="3"/>
    <s v="N"/>
    <x v="31"/>
    <s v="Basf Sa"/>
    <s v="-"/>
    <s v="Latam Airlines Brasil"/>
    <n v="2952915048"/>
    <x v="25"/>
    <s v="-"/>
    <x v="360"/>
    <n v="59.54"/>
    <n v="135.28"/>
    <n v="0"/>
    <n v="59.54"/>
    <n v="0"/>
    <n v="0"/>
    <s v="Reserva importada por HubTravel"/>
    <s v="Verificação de bilhetes: Bilhete 2952915048 já sendo utilizado para este fornecedor."/>
    <x v="1"/>
    <x v="5"/>
    <s v="Bilhete Já Contabilizado"/>
    <x v="1"/>
    <s v="Qualidade dos dados"/>
    <s v="GRUPO KONTIK"/>
    <x v="4"/>
  </r>
  <r>
    <n v="22911995"/>
    <n v="23685082"/>
    <s v="ACC01"/>
    <x v="441"/>
    <d v="2025-09-11T21:50:46"/>
    <x v="3"/>
    <x v="3"/>
    <s v="HDXEFY"/>
    <s v="SABRE"/>
    <s v="DE OLIVEIRA/ANDRE"/>
    <s v="Itamar de Souza"/>
    <s v="Fabiola Lima de Oliveira"/>
    <d v="2025-09-04T13:27:00"/>
    <s v="BA0409251602"/>
    <s v="-"/>
    <s v="OFF LINE"/>
    <s v="?"/>
    <s v="TKT"/>
    <x v="3"/>
    <s v="N"/>
    <x v="31"/>
    <s v="Basf Sa"/>
    <s v="-"/>
    <s v="Latam Airlines Brasil"/>
    <n v="2953012905"/>
    <x v="25"/>
    <s v="-"/>
    <x v="6"/>
    <n v="0"/>
    <n v="450"/>
    <n v="0"/>
    <n v="0"/>
    <n v="0"/>
    <n v="0"/>
    <s v="Reserva importada por HubTravel"/>
    <s v="Falta informar o status no trecho da accounting aérea (Bilhete: 2953012905)"/>
    <x v="1"/>
    <x v="10"/>
    <s v="Atualização de Trechos"/>
    <x v="0"/>
    <s v="Qualidade dos dados"/>
    <s v="GRUPO KONTIK"/>
    <x v="4"/>
  </r>
  <r>
    <n v="22911995"/>
    <n v="23685083"/>
    <s v="ACC02"/>
    <x v="441"/>
    <d v="2025-09-11T21:50:46"/>
    <x v="3"/>
    <x v="3"/>
    <s v="HDXEFY"/>
    <s v="SABRE"/>
    <s v="DE OLIVEIRA/ANDRE"/>
    <s v="Itamar de Souza"/>
    <s v="Fabiola Lima de Oliveira"/>
    <d v="2025-09-04T13:27:00"/>
    <s v="BA0409251602"/>
    <s v="-"/>
    <s v="OFF LINE"/>
    <s v="?"/>
    <s v="TKT"/>
    <x v="3"/>
    <s v="N"/>
    <x v="31"/>
    <s v="Basf Sa"/>
    <s v="-"/>
    <s v="Latam Airlines Brasil"/>
    <n v="2953012905"/>
    <x v="25"/>
    <s v="-"/>
    <x v="6"/>
    <n v="0"/>
    <n v="0"/>
    <n v="0"/>
    <n v="0"/>
    <n v="0"/>
    <n v="0"/>
    <s v="Reserva importada por HubTravel"/>
    <s v="Falta informar o status no trecho da accounting aérea (Bilhete: 2953012905)"/>
    <x v="1"/>
    <x v="10"/>
    <s v="Atualização de Trechos"/>
    <x v="0"/>
    <s v="Qualidade dos dados"/>
    <s v="GRUPO KONTIK"/>
    <x v="4"/>
  </r>
  <r>
    <n v="22820696"/>
    <n v="23606778"/>
    <s v="ACC01"/>
    <x v="442"/>
    <d v="2025-09-11T13:27:30"/>
    <x v="3"/>
    <x v="4"/>
    <s v="UGQDKO"/>
    <s v="SABRE"/>
    <s v="BELANI/RAFAEL BRUGNERA"/>
    <s v="Beatrys Ferreira Rocha"/>
    <s v="CT"/>
    <d v="2025-04-07T07:30:00"/>
    <s v="UGQDKO"/>
    <s v="-"/>
    <s v="ON LINE"/>
    <s v="Cartão de crédito"/>
    <s v="Cartão AMEX"/>
    <x v="3"/>
    <s v="N"/>
    <x v="31"/>
    <s v="Basf Sa"/>
    <s v="-"/>
    <s v="Latam Airlines Brasil"/>
    <n v="2872625750"/>
    <x v="25"/>
    <s v="-"/>
    <x v="361"/>
    <n v="55.65"/>
    <n v="510.73"/>
    <n v="0"/>
    <n v="55.65"/>
    <n v="0"/>
    <n v="0"/>
    <s v="Reserva importada por HubTravel"/>
    <s v="Falta informar o status no trecho da accounting aérea (Bilhete: 2872625750)"/>
    <x v="1"/>
    <x v="10"/>
    <s v="Atualização de Trechos"/>
    <x v="0"/>
    <s v="Qualidade dos dados"/>
    <s v="GRUPO KONTIK"/>
    <x v="4"/>
  </r>
  <r>
    <n v="22911997"/>
    <n v="23685085"/>
    <s v="ACC01"/>
    <x v="443"/>
    <d v="2025-09-12T06:53:31"/>
    <x v="3"/>
    <x v="3"/>
    <s v="OVLMUX"/>
    <s v="SABRE"/>
    <s v="LOPES/LUIZ HENRIQUE DE CARVAL"/>
    <s v="Itamar de Souza"/>
    <s v="Felipe Anderson da Silva"/>
    <d v="2025-09-11T00:00:00"/>
    <s v="BA1109251314"/>
    <s v="-"/>
    <s v="OFF LINE"/>
    <s v="?"/>
    <s v="TKT"/>
    <x v="3"/>
    <s v="N"/>
    <x v="31"/>
    <s v="Basf Sa"/>
    <s v="-"/>
    <s v="Latam Airlines Brasil"/>
    <n v="2953012900"/>
    <x v="25"/>
    <s v="-"/>
    <x v="6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09360"/>
    <n v="23682567"/>
    <s v="ACC01"/>
    <x v="444"/>
    <d v="2025-09-11T21:38:26"/>
    <x v="3"/>
    <x v="3"/>
    <s v="CXPBEM"/>
    <s v="SABRE"/>
    <s v="LOIODE OLIVEIRA/HUGO"/>
    <s v="Itamar de Souza"/>
    <s v="Felipe Anderson da Silva"/>
    <d v="2025-08-28T11:48:00"/>
    <s v="BA2808251511"/>
    <s v="-"/>
    <s v="OFF LINE"/>
    <s v="?"/>
    <s v="TKT"/>
    <x v="3"/>
    <s v="N"/>
    <x v="31"/>
    <s v="Basf Sa"/>
    <s v="-"/>
    <s v="Latam Airlines Brasil"/>
    <n v="2953005192"/>
    <x v="25"/>
    <s v="-"/>
    <x v="6"/>
    <n v="0"/>
    <n v="450"/>
    <n v="0"/>
    <n v="60.62"/>
    <n v="0"/>
    <n v="0"/>
    <s v="Reserva importada por HubTravel"/>
    <s v="Falta informar o status no trecho da accounting aérea (Bilhete: 2953005192)"/>
    <x v="1"/>
    <x v="10"/>
    <s v="Atualização de Trechos"/>
    <x v="0"/>
    <s v="Qualidade dos dados"/>
    <s v="GRUPO KONTIK"/>
    <x v="4"/>
  </r>
  <r>
    <n v="22909360"/>
    <n v="23682568"/>
    <s v="ACC02"/>
    <x v="444"/>
    <d v="2025-09-11T21:38:26"/>
    <x v="3"/>
    <x v="3"/>
    <s v="CXPBEM"/>
    <s v="SABRE"/>
    <s v="LOIODE OLIVEIRA/HUGO"/>
    <s v="Itamar de Souza"/>
    <s v="Felipe Anderson da Silva"/>
    <d v="2025-08-28T11:48:00"/>
    <s v="BA2808251511"/>
    <s v="-"/>
    <s v="OFF LINE"/>
    <s v="?"/>
    <s v="TKT"/>
    <x v="3"/>
    <s v="N"/>
    <x v="31"/>
    <s v="Basf Sa"/>
    <s v="-"/>
    <s v="Latam Airlines Brasil"/>
    <n v="2953005192"/>
    <x v="25"/>
    <s v="-"/>
    <x v="6"/>
    <n v="0"/>
    <n v="450"/>
    <n v="0"/>
    <n v="0"/>
    <n v="0"/>
    <n v="0"/>
    <s v="Reserva importada por HubTravel"/>
    <s v="Falta informar o status no trecho da accounting aérea (Bilhete: 2953005192)"/>
    <x v="1"/>
    <x v="10"/>
    <s v="Atualização de Trechos"/>
    <x v="0"/>
    <s v="Qualidade dos dados"/>
    <s v="GRUPO KONTIK"/>
    <x v="4"/>
  </r>
  <r>
    <n v="22909360"/>
    <n v="23682569"/>
    <s v="ACC03"/>
    <x v="444"/>
    <d v="2025-09-11T21:38:26"/>
    <x v="3"/>
    <x v="3"/>
    <s v="CXPBEM"/>
    <s v="SABRE"/>
    <s v="LOIODE OLIVEIRA/HUGO"/>
    <s v="Itamar de Souza"/>
    <s v="Felipe Anderson da Silva"/>
    <d v="2025-08-28T11:48:00"/>
    <s v="BA2808251511"/>
    <s v="-"/>
    <s v="OFF LINE"/>
    <s v="?"/>
    <s v="TKT"/>
    <x v="3"/>
    <s v="N"/>
    <x v="31"/>
    <s v="Basf Sa"/>
    <s v="-"/>
    <s v="Latam Airlines Brasil"/>
    <n v="2953005192"/>
    <x v="25"/>
    <s v="-"/>
    <x v="6"/>
    <n v="0"/>
    <n v="450"/>
    <n v="0"/>
    <n v="0"/>
    <n v="0"/>
    <n v="0"/>
    <s v="Reserva importada por HubTravel"/>
    <s v="Falta informar o status no trecho da accounting aérea (Bilhete: 2953005192)"/>
    <x v="1"/>
    <x v="10"/>
    <s v="Atualização de Trechos"/>
    <x v="0"/>
    <s v="Qualidade dos dados"/>
    <s v="GRUPO KONTIK"/>
    <x v="4"/>
  </r>
  <r>
    <n v="22823400"/>
    <n v="23611696"/>
    <s v="ACC02"/>
    <x v="445"/>
    <d v="2025-09-11T15:09:17"/>
    <x v="3"/>
    <x v="4"/>
    <s v="MKVOGX"/>
    <s v="SABRE"/>
    <s v="ULBRICH/ADOLFO"/>
    <s v="Itamar de Souza"/>
    <s v="CT"/>
    <d v="2025-08-27T14:44:00"/>
    <s v="MKVOGX"/>
    <s v="-"/>
    <s v="ON LINE"/>
    <s v="Invoice"/>
    <s v="Faturado"/>
    <x v="3"/>
    <s v="N"/>
    <x v="31"/>
    <s v="Basf Sa"/>
    <s v="-"/>
    <s v="Latam Airlines Brasil"/>
    <n v="2952914997"/>
    <x v="25"/>
    <s v="-"/>
    <x v="362"/>
    <n v="85.72"/>
    <n v="0"/>
    <n v="0"/>
    <n v="85.72"/>
    <n v="0"/>
    <n v="0"/>
    <s v="Reserva importada por HubTravel"/>
    <s v="Verificação de bilhetes: Bilhete 2952914997 já sendo utilizado para este fornecedor."/>
    <x v="1"/>
    <x v="5"/>
    <s v="Bilhete Já Contabilizado"/>
    <x v="1"/>
    <s v="Qualidade dos dados"/>
    <s v="GRUPO KONTIK"/>
    <x v="4"/>
  </r>
  <r>
    <n v="22913631"/>
    <n v="23686220"/>
    <s v="ACC01"/>
    <x v="446"/>
    <d v="2025-09-12T06:48:45"/>
    <x v="3"/>
    <x v="3"/>
    <s v="WVQTTR"/>
    <s v="SABRE"/>
    <s v="PEREIRA DA SILVA/FERNANDO WEL"/>
    <s v="Itamar de Souza"/>
    <s v="CT"/>
    <d v="2025-09-10T16:39:00"/>
    <s v="183985402-61629"/>
    <s v="-"/>
    <s v="ON LINE"/>
    <s v="?"/>
    <s v="TKT"/>
    <x v="3"/>
    <s v="N"/>
    <x v="31"/>
    <s v="Basf Sa"/>
    <s v="-"/>
    <s v="Latam Airlines Brasil"/>
    <n v="2953012888"/>
    <x v="25"/>
    <s v="-"/>
    <x v="6"/>
    <n v="0"/>
    <n v="45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11"/>
    <s v="Forma PG. e REC."/>
    <x v="0"/>
    <s v="Qualidade dos dados"/>
    <s v="GRUPO KONTIK"/>
    <x v="4"/>
  </r>
  <r>
    <n v="22913659"/>
    <n v="23686249"/>
    <s v="ACC01"/>
    <x v="447"/>
    <d v="2025-09-12T06:53:35"/>
    <x v="3"/>
    <x v="3"/>
    <s v="USYKJO"/>
    <s v="SABRE"/>
    <s v="BRUSSOLO BIDOIA/DEBORA"/>
    <s v="Itamar de Souza"/>
    <s v="CT"/>
    <d v="2025-08-18T08:15:00"/>
    <s v="USYKJO"/>
    <s v="-"/>
    <s v="ON LINE"/>
    <s v="Cartão de crédito"/>
    <s v="Cartão AMEX"/>
    <x v="3"/>
    <s v="N"/>
    <x v="31"/>
    <s v="Basf Sa"/>
    <s v="-"/>
    <s v="Latam Airlines Brasil"/>
    <n v="2952865555"/>
    <x v="25"/>
    <s v="-"/>
    <x v="363"/>
    <n v="60.62"/>
    <n v="0"/>
    <n v="0"/>
    <n v="60.62"/>
    <n v="0"/>
    <n v="0"/>
    <s v="Reserva importada por HubTravel"/>
    <s v="Verificação de bilhetes: Bilhete 2952865555 já sendo utilizado para este fornecedor."/>
    <x v="1"/>
    <x v="5"/>
    <s v="Bilhete Já Contabilizado"/>
    <x v="1"/>
    <s v="Qualidade dos dados"/>
    <s v="GRUPO KONTIK"/>
    <x v="4"/>
  </r>
  <r>
    <n v="22913659"/>
    <n v="23686250"/>
    <s v="ACC02"/>
    <x v="447"/>
    <d v="2025-09-12T06:53:35"/>
    <x v="3"/>
    <x v="3"/>
    <s v="USYKJO"/>
    <s v="SABRE"/>
    <s v="BRUSSOLO BIDOIA/DEBORA"/>
    <s v="Itamar de Souza"/>
    <s v="CT"/>
    <d v="2025-08-18T08:15:00"/>
    <s v="USYKJO"/>
    <s v="-"/>
    <s v="ON LINE"/>
    <s v="Cartão de crédito"/>
    <s v="Cartão AMEX"/>
    <x v="3"/>
    <s v="N"/>
    <x v="31"/>
    <s v="Basf Sa"/>
    <s v="-"/>
    <s v="Latam Airlines Brasil"/>
    <n v="2952865556"/>
    <x v="25"/>
    <s v="-"/>
    <x v="364"/>
    <n v="48.3"/>
    <n v="0"/>
    <n v="0"/>
    <n v="48.3"/>
    <n v="0"/>
    <n v="0"/>
    <s v="Reserva importada por HubTravel"/>
    <s v="Verificação de bilhetes: Bilhete 2952865555 já sendo utilizado para este fornecedor."/>
    <x v="1"/>
    <x v="5"/>
    <s v="Bilhete Já Contabilizado"/>
    <x v="1"/>
    <s v="Qualidade dos dados"/>
    <s v="GRUPO KONTIK"/>
    <x v="4"/>
  </r>
  <r>
    <n v="22911963"/>
    <n v="23685043"/>
    <s v="ACC01"/>
    <x v="448"/>
    <d v="2025-09-11T21:40:47"/>
    <x v="3"/>
    <x v="3"/>
    <s v="JCPYAT"/>
    <s v="SABRE"/>
    <s v="DE CARVALHO JUNIOR/ELIAS MIGU"/>
    <s v="Itamar de Souza"/>
    <s v="CT"/>
    <d v="2025-08-22T14:07:00"/>
    <s v="JCPYAT"/>
    <s v="-"/>
    <s v="ON LINE"/>
    <s v="Invoice"/>
    <s v="Faturado"/>
    <x v="3"/>
    <s v="N"/>
    <x v="31"/>
    <s v="Basf Sa"/>
    <s v="-"/>
    <s v="Latam Airlines Brasil"/>
    <n v="2953005187"/>
    <x v="25"/>
    <s v="-"/>
    <x v="365"/>
    <n v="94.78"/>
    <n v="0"/>
    <n v="0"/>
    <n v="94.78"/>
    <n v="0"/>
    <n v="0"/>
    <s v="Reserva importada por HubTravel"/>
    <s v="Falta informar o status no trecho da accounting aérea (Bilhete: 2953005187)"/>
    <x v="1"/>
    <x v="10"/>
    <s v="Atualização de Trechos"/>
    <x v="0"/>
    <s v="Qualidade dos dados"/>
    <s v="GRUPO KONTIK"/>
    <x v="4"/>
  </r>
  <r>
    <n v="22911963"/>
    <n v="23685044"/>
    <s v="ACC02"/>
    <x v="448"/>
    <d v="2025-09-11T21:40:47"/>
    <x v="3"/>
    <x v="3"/>
    <s v="JCPYAT"/>
    <s v="SABRE"/>
    <s v="DE CARVALHO JUNIOR/ELIAS MIGU"/>
    <s v="Itamar de Souza"/>
    <s v="CT"/>
    <d v="2025-08-22T14:07:00"/>
    <s v="JCPYAT"/>
    <s v="-"/>
    <s v="ON LINE"/>
    <s v="?"/>
    <s v="TKT"/>
    <x v="3"/>
    <s v="N"/>
    <x v="31"/>
    <s v="Basf Sa"/>
    <s v="-"/>
    <s v="Latam Airlines Brasil"/>
    <n v="2953005187"/>
    <x v="25"/>
    <s v="-"/>
    <x v="6"/>
    <n v="0"/>
    <n v="450"/>
    <n v="0"/>
    <n v="0"/>
    <n v="0"/>
    <n v="0"/>
    <s v="Reserva importada por HubTravel"/>
    <s v="Falta informar o status no trecho da accounting aérea (Bilhete: 2953005187)"/>
    <x v="1"/>
    <x v="10"/>
    <s v="Atualização de Trechos"/>
    <x v="0"/>
    <s v="Qualidade dos dados"/>
    <s v="GRUPO KONTIK"/>
    <x v="4"/>
  </r>
  <r>
    <n v="22909249"/>
    <n v="23682447"/>
    <s v="ACC01"/>
    <x v="449"/>
    <d v="2025-09-11T15:07:27"/>
    <x v="3"/>
    <x v="3"/>
    <s v="CRAYLN"/>
    <s v="SABRE"/>
    <s v="PEIL CEOLIN/MARIANA"/>
    <s v="Itamar de Souza"/>
    <s v="CT"/>
    <d v="2025-09-01T08:11:00"/>
    <s v="CRAYLN"/>
    <s v="-"/>
    <s v="ON LINE"/>
    <s v="Cartão de crédito"/>
    <s v="Cartão AMEX"/>
    <x v="3"/>
    <s v="N"/>
    <x v="31"/>
    <s v="Basf Sa"/>
    <s v="-"/>
    <s v="Latam Airlines Brasil"/>
    <n v="2952949871"/>
    <x v="25"/>
    <s v="-"/>
    <x v="366"/>
    <n v="56.02"/>
    <n v="0"/>
    <n v="0"/>
    <n v="56.02"/>
    <n v="0"/>
    <n v="0"/>
    <s v="Reserva importada por HubTravel"/>
    <s v="Verificação de bilhetes: Bilhete 2952949871 já sendo utilizado para este fornecedor."/>
    <x v="1"/>
    <x v="5"/>
    <s v="Bilhete Já Contabilizado"/>
    <x v="1"/>
    <s v="Qualidade dos dados"/>
    <s v="GRUPO KONTIK"/>
    <x v="4"/>
  </r>
  <r>
    <n v="22909249"/>
    <n v="23682448"/>
    <s v="ACC02"/>
    <x v="449"/>
    <d v="2025-09-11T15:07:27"/>
    <x v="3"/>
    <x v="3"/>
    <s v="CRAYLN"/>
    <s v="SABRE"/>
    <s v="PEIL CEOLIN/MARIANA"/>
    <s v="Itamar de Souza"/>
    <s v="CT"/>
    <d v="2025-09-01T08:11:00"/>
    <s v="CRAYLN"/>
    <s v="-"/>
    <s v="ON LINE"/>
    <s v="Cartão de crédito"/>
    <s v="Cartão AMEX"/>
    <x v="3"/>
    <s v="N"/>
    <x v="31"/>
    <s v="Basf Sa"/>
    <s v="-"/>
    <s v="Latam Airlines Brasil"/>
    <n v="2952949872"/>
    <x v="25"/>
    <s v="-"/>
    <x v="367"/>
    <n v="48.3"/>
    <n v="0"/>
    <n v="0"/>
    <n v="48.3"/>
    <n v="0"/>
    <n v="0"/>
    <s v="Reserva importada por HubTravel"/>
    <s v="Verificação de bilhetes: Bilhete 2952949871 já sendo utilizado para este fornecedor."/>
    <x v="1"/>
    <x v="5"/>
    <s v="Bilhete Já Contabilizado"/>
    <x v="1"/>
    <s v="Qualidade dos dados"/>
    <s v="GRUPO KONTIK"/>
    <x v="4"/>
  </r>
  <r>
    <n v="22855200"/>
    <n v="23635963"/>
    <s v="ACC01"/>
    <x v="450"/>
    <d v="2025-09-11T13:28:01"/>
    <x v="3"/>
    <x v="2"/>
    <s v="CIUFNN"/>
    <s v="SABRE"/>
    <s v="DA SILVA/ALAN TEIXEIRA"/>
    <s v="Wellington Ribeiro da Silva"/>
    <s v="CT"/>
    <d v="2025-08-06T14:43:00"/>
    <s v="CIUFNN"/>
    <s v="-"/>
    <s v="OFF LINE"/>
    <s v="?"/>
    <s v="TKT"/>
    <x v="3"/>
    <s v="N"/>
    <x v="30"/>
    <s v="Ihs Brasil Cessao de Infraestruturas S a"/>
    <s v="-"/>
    <s v="Latam Airlines Brasil"/>
    <n v="2971622816"/>
    <x v="15"/>
    <s v="-"/>
    <x v="6"/>
    <n v="0"/>
    <n v="450"/>
    <n v="0"/>
    <n v="11.75"/>
    <n v="0"/>
    <n v="0"/>
    <s v="Reserva importada por HubTravel"/>
    <s v="Falta informar o status no trecho da accounting aérea (Bilhete: 2971622816)"/>
    <x v="1"/>
    <x v="10"/>
    <s v="Atualização de Trechos"/>
    <x v="0"/>
    <s v="Qualidade dos dados"/>
    <s v="GRUPO KONTIK"/>
    <x v="4"/>
  </r>
  <r>
    <n v="22855200"/>
    <n v="23635964"/>
    <s v="ACC02"/>
    <x v="450"/>
    <d v="2025-09-11T13:28:01"/>
    <x v="3"/>
    <x v="2"/>
    <s v="CIUFNN"/>
    <s v="SABRE"/>
    <s v="DA SILVA/ALAN TEIXEIRA"/>
    <s v="Wellington Ribeiro da Silva"/>
    <s v="CT"/>
    <d v="2025-08-06T14:43:00"/>
    <s v="CIUFNN"/>
    <s v="-"/>
    <s v="OFF LINE"/>
    <s v="?"/>
    <s v="TKT"/>
    <x v="3"/>
    <s v="N"/>
    <x v="30"/>
    <s v="Ihs Brasil Cessao de Infraestruturas S a"/>
    <s v="-"/>
    <s v="Latam Airlines Brasil"/>
    <n v="2971622816"/>
    <x v="15"/>
    <s v="-"/>
    <x v="368"/>
    <n v="0"/>
    <n v="450"/>
    <n v="0"/>
    <n v="0"/>
    <n v="0"/>
    <n v="0"/>
    <s v="Reserva importada por HubTravel"/>
    <s v="Falta informar o status no trecho da accounting aérea (Bilhete: 2971622816)"/>
    <x v="1"/>
    <x v="10"/>
    <s v="Atualização de Trechos"/>
    <x v="0"/>
    <s v="Qualidade dos dados"/>
    <s v="GRUPO KONTIK"/>
    <x v="4"/>
  </r>
  <r>
    <n v="22909287"/>
    <n v="23682493"/>
    <s v="ACC01"/>
    <x v="451"/>
    <d v="2025-09-11T15:10:46"/>
    <x v="3"/>
    <x v="3"/>
    <s v="ELCMCJ"/>
    <s v="SABRE"/>
    <s v="FRANCISCO DOS SANTOS/RODRIGO"/>
    <s v="Itamar de Souza"/>
    <s v="CT"/>
    <d v="2025-09-09T14:19:00"/>
    <s v="ELCMCJ"/>
    <s v="-"/>
    <s v="ON LINE"/>
    <s v="?"/>
    <s v="TKT"/>
    <x v="3"/>
    <s v="N"/>
    <x v="31"/>
    <s v="Basf Sa"/>
    <s v="-"/>
    <s v="Latam Airlines Brasil"/>
    <n v="2952994647"/>
    <x v="25"/>
    <s v="-"/>
    <x v="6"/>
    <n v="0"/>
    <n v="450"/>
    <n v="0"/>
    <n v="46.93"/>
    <n v="0"/>
    <n v="0"/>
    <s v="Reserva importada por HubTravel"/>
    <s v="Verificação de bilhetes: Bilhete 2952994647 já sendo utilizado para este fornecedor."/>
    <x v="1"/>
    <x v="5"/>
    <s v="Bilhete Já Contabilizado"/>
    <x v="1"/>
    <s v="Qualidade dos dados"/>
    <s v="GRUPO KONTIK"/>
    <x v="4"/>
  </r>
  <r>
    <n v="22904979"/>
    <n v="23678957"/>
    <s v="ACC01"/>
    <x v="452"/>
    <d v="2025-09-11T13:28:12"/>
    <x v="3"/>
    <x v="3"/>
    <s v="MGRJUD"/>
    <s v="SABRE"/>
    <s v="TEBERGA/RENATO BEDAQUE"/>
    <s v="Clayton Alves de Rezende"/>
    <s v="CT"/>
    <d v="2025-07-01T08:49:00"/>
    <s v="MGRJUD"/>
    <s v="-"/>
    <s v="ON LINE"/>
    <s v="Cartão de crédito"/>
    <s v="Cartão AMEX"/>
    <x v="3"/>
    <s v="N"/>
    <x v="31"/>
    <s v="Basf Sa"/>
    <s v="-"/>
    <s v="Latam Airlines Brasil"/>
    <n v="9781620000"/>
    <x v="25"/>
    <s v="-"/>
    <x v="369"/>
    <n v="55.65"/>
    <n v="811.38"/>
    <n v="0"/>
    <n v="55.65"/>
    <n v="0"/>
    <n v="0"/>
    <s v="Reserva importada por HubTravel"/>
    <s v="Falta informar o status no trecho da accounting aérea (Bilhete: 9781620000)"/>
    <x v="1"/>
    <x v="10"/>
    <s v="Atualização de Trechos"/>
    <x v="0"/>
    <s v="Qualidade dos dados"/>
    <s v="GRUPO KONTIK"/>
    <x v="4"/>
  </r>
  <r>
    <n v="22904979"/>
    <n v="23678958"/>
    <s v="ACC02"/>
    <x v="452"/>
    <d v="2025-09-11T13:28:12"/>
    <x v="3"/>
    <x v="3"/>
    <s v="MGRJUD"/>
    <s v="SABRE"/>
    <s v="TEBERGA/RENATO BEDAQUE"/>
    <s v="Clayton Alves de Rezende"/>
    <s v="CT"/>
    <d v="2025-07-01T08:49:00"/>
    <s v="MGRJUD"/>
    <s v="-"/>
    <s v="ON LINE"/>
    <s v="?"/>
    <s v="TKT"/>
    <x v="3"/>
    <s v="N"/>
    <x v="31"/>
    <s v="Basf Sa"/>
    <s v="-"/>
    <s v="Latam Airlines Brasil"/>
    <n v="9781620000"/>
    <x v="25"/>
    <s v="-"/>
    <x v="6"/>
    <n v="3.89"/>
    <n v="0"/>
    <n v="0"/>
    <n v="3.89"/>
    <n v="0"/>
    <n v="0"/>
    <s v="Reserva importada por HubTravel"/>
    <s v="Falta informar o status no trecho da accounting aérea (Bilhete: 9781620000)"/>
    <x v="1"/>
    <x v="10"/>
    <s v="Atualização de Trechos"/>
    <x v="0"/>
    <s v="Qualidade dos dados"/>
    <s v="GRUPO KONTIK"/>
    <x v="4"/>
  </r>
  <r>
    <n v="22911979"/>
    <n v="23685349"/>
    <s v="ACC02"/>
    <x v="453"/>
    <d v="2025-09-12T00:03:31"/>
    <x v="3"/>
    <x v="3"/>
    <s v="MXMJPR"/>
    <s v="SABRE"/>
    <s v="KOERICH/PRISCILLA KARINA VITO"/>
    <s v="Flavia Constanzi do Nascimento"/>
    <s v="Luciene Carvalho Santos"/>
    <d v="2025-09-11T11:47:00"/>
    <s v="MXMJPR"/>
    <s v="-"/>
    <s v="ON LINE"/>
    <s v="Invoice"/>
    <s v="Faturado"/>
    <x v="3"/>
    <s v="N"/>
    <x v="70"/>
    <s v="Elanco - Morumbi"/>
    <s v="-"/>
    <s v="Latam Airlines Brasil"/>
    <n v="2971325536"/>
    <x v="15"/>
    <s v="-"/>
    <x v="370"/>
    <n v="141.09"/>
    <n v="464.67"/>
    <n v="0"/>
    <n v="141.09"/>
    <n v="0"/>
    <n v="0"/>
    <s v="Reserva importada por HubTravel"/>
    <s v="Centro de custo não preenc"/>
    <x v="1"/>
    <x v="6"/>
    <s v="Análise Benner"/>
    <x v="2"/>
    <s v="Qualidade dos dados"/>
    <s v="GRUPO KONTIK"/>
    <x v="4"/>
  </r>
  <r>
    <n v="22905117"/>
    <n v="23679088"/>
    <s v="ACC01"/>
    <x v="454"/>
    <d v="2025-09-11T13:28:23"/>
    <x v="3"/>
    <x v="3"/>
    <s v="EXICSD"/>
    <s v="SABRE"/>
    <s v="ITUASSU/ANDRE LUIS MOURA"/>
    <s v="Itamar de Souza"/>
    <s v="Renata Rosenthal dos Santos"/>
    <d v="2025-09-08T00:00:00"/>
    <s v="EXICSD"/>
    <s v="-"/>
    <s v="ON LINE"/>
    <s v="Cartão de crédito"/>
    <s v="Cartão de crédito"/>
    <x v="3"/>
    <s v="N"/>
    <x v="30"/>
    <s v="I - Systems"/>
    <s v="-"/>
    <s v="Latam Airlines Brasil"/>
    <n v="2953004151"/>
    <x v="15"/>
    <s v="-"/>
    <x v="371"/>
    <n v="59.95"/>
    <n v="0"/>
    <n v="0"/>
    <n v="59.95"/>
    <n v="0"/>
    <n v="0"/>
    <s v="Reserva importada por HubTravel"/>
    <s v="Empenho/departamento não preenchido! (ACC01)"/>
    <x v="1"/>
    <x v="13"/>
    <s v="Falta de informação Gerencial"/>
    <x v="0"/>
    <s v="Qualidade dos dados"/>
    <s v="GRUPO KONTIK"/>
    <x v="4"/>
  </r>
  <r>
    <n v="22909622"/>
    <n v="23682863"/>
    <s v="ACC01"/>
    <x v="455"/>
    <d v="2025-09-11T16:20:55"/>
    <x v="3"/>
    <x v="3"/>
    <s v="WTPIZO"/>
    <s v="GOVER"/>
    <s v="MONIQUE STONY DA SILVA PARANHOS"/>
    <s v="Gover"/>
    <s v="Gover"/>
    <d v="2025-07-07T17:00:00"/>
    <n v="4595885"/>
    <s v="-"/>
    <s v="OFF LINE"/>
    <s v="Cartão de crédito"/>
    <s v="Cartão AMEX"/>
    <x v="3"/>
    <s v="N"/>
    <x v="48"/>
    <s v="Souza Cruz"/>
    <s v="-"/>
    <s v="American Airlines"/>
    <n v="2971325483"/>
    <x v="37"/>
    <s v="-"/>
    <x v="372"/>
    <n v="490.25"/>
    <n v="0"/>
    <n v="0"/>
    <n v="0"/>
    <n v="0"/>
    <n v="0"/>
    <s v="Reserva importada do sistema Gover. Id: 4595885"/>
    <s v="Verificação de bilhetes: Bilhete 2971325483 já sendo utilizado para este fornecedor."/>
    <x v="0"/>
    <x v="5"/>
    <s v="Bilhete Já Contabilizado"/>
    <x v="1"/>
    <s v="Qualidade dos dados"/>
    <s v="GRUPO KONTIK"/>
    <x v="5"/>
  </r>
  <r>
    <n v="22911979"/>
    <n v="23685065"/>
    <s v="ACC01"/>
    <x v="453"/>
    <d v="2025-09-12T00:03:31"/>
    <x v="3"/>
    <x v="3"/>
    <s v="MXMJPR"/>
    <s v="SABRE"/>
    <s v="KOERICH/PRISCILLA KARINA VITOR"/>
    <s v="Flavia Constanzi do Nascimento"/>
    <s v="Luciene Carvalho Santos"/>
    <d v="2025-09-11T11:47:00"/>
    <s v="MXMJPR"/>
    <s v="-"/>
    <s v="ON LINE"/>
    <s v="Cartão de crédito"/>
    <s v="Cartão de crédito"/>
    <x v="3"/>
    <s v="N"/>
    <x v="70"/>
    <s v="Elanco - Morumbi"/>
    <s v="-"/>
    <s v="Iberia"/>
    <n v="2971325536"/>
    <x v="15"/>
    <s v="-"/>
    <x v="373"/>
    <n v="141.09"/>
    <n v="464.67"/>
    <n v="0"/>
    <n v="0"/>
    <n v="0"/>
    <n v="0"/>
    <s v="Reserva importada por HubTravel"/>
    <s v="Centro de custo não preenc"/>
    <x v="1"/>
    <x v="6"/>
    <s v="Análise Benner"/>
    <x v="2"/>
    <s v="Qualidade dos dados"/>
    <s v="GRUPO KONTIK"/>
    <x v="4"/>
  </r>
  <r>
    <n v="22903055"/>
    <n v="23677170"/>
    <s v="ACC"/>
    <x v="456"/>
    <d v="2025-09-10T16:36:57"/>
    <x v="3"/>
    <x v="3"/>
    <s v="5KQXXG"/>
    <s v="MANUAL"/>
    <s v="FALCAO DA MOTTA/RICARDO"/>
    <s v="Herbert Amancio de Santana"/>
    <s v="Wellington Ribeiro da Silva"/>
    <d v="2025-09-05T16:26:00"/>
    <n v="83508"/>
    <s v="-"/>
    <s v="OFF LINE"/>
    <s v="Cartão de crédito"/>
    <s v="Cartão AMEX"/>
    <x v="3"/>
    <s v="N"/>
    <x v="62"/>
    <s v="Claro Sao Paulo (santo Amaro)"/>
    <s v="-"/>
    <s v="Klm"/>
    <n v="2952970705"/>
    <x v="47"/>
    <s v="-"/>
    <x v="374"/>
    <n v="1328"/>
    <n v="0"/>
    <n v="0"/>
    <n v="0"/>
    <n v="0"/>
    <n v="0"/>
    <s v="-"/>
    <s v="Accouting aérea não possui trechos (Bilhete: 2952970705)"/>
    <x v="5"/>
    <x v="10"/>
    <s v="Atualização de Trechos"/>
    <x v="0"/>
    <s v="Qualidade dos dados"/>
    <s v="GRUPO KONTIK"/>
    <x v="4"/>
  </r>
  <r>
    <n v="22908765"/>
    <n v="23682039"/>
    <s v="ACC01"/>
    <x v="457"/>
    <d v="2025-09-11T22:18:01"/>
    <x v="3"/>
    <x v="3"/>
    <s v="5KKLTH"/>
    <s v="TMS"/>
    <s v="Maluf/Fernanda"/>
    <s v="Renato Ferreira Gomes"/>
    <s v="Renato Ferreira Gomes"/>
    <d v="2025-09-11T10:41:00"/>
    <n v="11723"/>
    <s v="-"/>
    <s v="OFF LINE"/>
    <s v="Invoice"/>
    <s v="Faturado"/>
    <x v="3"/>
    <s v="N"/>
    <x v="4"/>
    <s v="Braskem - Camacari"/>
    <s v="-"/>
    <s v="Klm"/>
    <n v="1928692523"/>
    <x v="4"/>
    <s v="-"/>
    <x v="6"/>
    <n v="1784.66"/>
    <n v="0"/>
    <n v="0"/>
    <n v="0"/>
    <n v="0"/>
    <n v="0"/>
    <s v="Reserva importada do Sistema TMS. OS: 11723"/>
    <s v="Empenho/departamento não preenchido! (ACC01) Tarifa mínima não preenchida! (ACC01) Tarifa máxima não preenchida! (ACC01)"/>
    <x v="2"/>
    <x v="2"/>
    <s v="Falta de informação Gerencial"/>
    <x v="0"/>
    <s v="Qualidade dos dados"/>
    <s v="KONTIK BUSINESS TRAVEL"/>
    <x v="3"/>
  </r>
  <r>
    <n v="22806186"/>
    <n v="23593741"/>
    <s v="ACC01"/>
    <x v="458"/>
    <d v="2025-09-11T13:27:29"/>
    <x v="3"/>
    <x v="4"/>
    <s v="WIMBRP"/>
    <s v="SABRE"/>
    <s v="BORER/FERNANDO"/>
    <s v="Beatrys Ferreira Rocha"/>
    <s v="CT"/>
    <d v="2025-01-23T08:27:00"/>
    <s v="WIMBRP"/>
    <s v="-"/>
    <s v="ON LINE"/>
    <s v="?"/>
    <s v="TKT"/>
    <x v="3"/>
    <s v="N"/>
    <x v="1"/>
    <s v="Cap1 - Planta Campinas Bosch - 9080"/>
    <s v="Cliente FEE no POS"/>
    <s v="Klm"/>
    <n v="6643080000"/>
    <x v="1"/>
    <s v="-"/>
    <x v="6"/>
    <n v="0"/>
    <n v="0"/>
    <n v="0"/>
    <n v="0"/>
    <n v="0"/>
    <n v="20.89"/>
    <s v="Reserva importada por HubTravel"/>
    <s v="Falta informar o status no trecho da accounting aérea (Bilhete: 6643080000)"/>
    <x v="1"/>
    <x v="10"/>
    <s v="Atualização de Trechos"/>
    <x v="0"/>
    <s v="Qualidade dos dados"/>
    <s v="GRUPO KONTIK"/>
    <x v="4"/>
  </r>
  <r>
    <n v="22806186"/>
    <n v="23593742"/>
    <s v="ACC02"/>
    <x v="458"/>
    <d v="2025-09-11T13:27:29"/>
    <x v="3"/>
    <x v="4"/>
    <s v="WIMBRP"/>
    <s v="SABRE"/>
    <s v="BORER/FERNANDO"/>
    <s v="Beatrys Ferreira Rocha"/>
    <s v="CT"/>
    <d v="2025-01-23T08:27:00"/>
    <s v="WIMBRP"/>
    <s v="-"/>
    <s v="ON LINE"/>
    <s v="Cartão de crédito"/>
    <s v="Cartão AMEX"/>
    <x v="3"/>
    <s v="N"/>
    <x v="1"/>
    <s v="Cap1 - Planta Campinas Bosch - 9080"/>
    <s v="Cliente FEE no POS"/>
    <s v="Klm"/>
    <n v="6643080000"/>
    <x v="1"/>
    <s v="-"/>
    <x v="375"/>
    <n v="0"/>
    <n v="0"/>
    <n v="0"/>
    <n v="0"/>
    <n v="0"/>
    <n v="20.89"/>
    <s v="Reserva importada por HubTravel"/>
    <s v="Falta informar o status no trecho da accounting aérea (Bilhete: 6643080000)"/>
    <x v="1"/>
    <x v="10"/>
    <s v="Atualização de Trechos"/>
    <x v="0"/>
    <s v="Qualidade dos dados"/>
    <s v="GRUPO KONTIK"/>
    <x v="4"/>
  </r>
  <r>
    <n v="22806186"/>
    <n v="23593743"/>
    <s v="ACC03"/>
    <x v="458"/>
    <d v="2025-09-11T13:27:29"/>
    <x v="3"/>
    <x v="4"/>
    <s v="WIMBRP"/>
    <s v="SABRE"/>
    <s v="BORER/FERNANDO"/>
    <s v="Beatrys Ferreira Rocha"/>
    <s v="CT"/>
    <d v="2025-01-23T08:27:00"/>
    <s v="WIMBRP"/>
    <s v="-"/>
    <s v="ON LINE"/>
    <s v="Cartão de crédito"/>
    <s v="Cartão AMEX"/>
    <x v="3"/>
    <s v="N"/>
    <x v="1"/>
    <s v="Cap1 - Planta Campinas Bosch - 9080"/>
    <s v="Cliente FEE no POS"/>
    <s v="Klm"/>
    <n v="6643080000"/>
    <x v="1"/>
    <s v="-"/>
    <x v="376"/>
    <n v="0"/>
    <n v="0"/>
    <n v="0"/>
    <n v="0"/>
    <n v="0"/>
    <n v="20.89"/>
    <s v="Reserva importada por HubTravel"/>
    <s v="Falta informar o status no trecho da accounting aérea (Bilhete: 6643080000)"/>
    <x v="1"/>
    <x v="10"/>
    <s v="Atualização de Trechos"/>
    <x v="0"/>
    <s v="Qualidade dos dados"/>
    <s v="GRUPO KONTIK"/>
    <x v="4"/>
  </r>
  <r>
    <n v="22905382"/>
    <n v="23679318"/>
    <s v="ACC01"/>
    <x v="459"/>
    <d v="2025-09-11T13:39:44"/>
    <x v="3"/>
    <x v="3"/>
    <s v="KZNQHK"/>
    <s v="SABRE"/>
    <s v="WETEMANS/LAURAN JACQUES LEON"/>
    <s v="Beatrys Ferreira Rocha"/>
    <s v="Vanessa Pereira Ribeiro Carlos"/>
    <d v="2025-09-03T11:57:00"/>
    <s v="EMAIL"/>
    <s v="-"/>
    <s v="OFF LINE"/>
    <s v="Cartão de crédito"/>
    <s v="Cartão de crédito"/>
    <x v="3"/>
    <s v="N"/>
    <x v="67"/>
    <s v="Shell"/>
    <s v="-"/>
    <s v="Klm"/>
    <n v="6691950000"/>
    <x v="49"/>
    <s v="-"/>
    <x v="377"/>
    <n v="0"/>
    <n v="1245.24"/>
    <n v="0"/>
    <n v="0"/>
    <n v="0"/>
    <n v="0"/>
    <s v="Reserva importada por HubTravel"/>
    <s v="Falta informar o status no trecho da accounting aérea (Bilhete: 6691950000)"/>
    <x v="1"/>
    <x v="10"/>
    <s v="Atualização de Trechos"/>
    <x v="0"/>
    <s v="Qualidade dos dados"/>
    <s v="GRUPO KONTIK"/>
    <x v="4"/>
  </r>
  <r>
    <n v="22905382"/>
    <n v="23679319"/>
    <s v="ACC02"/>
    <x v="459"/>
    <d v="2025-09-11T13:39:44"/>
    <x v="3"/>
    <x v="3"/>
    <s v="KZNQHK"/>
    <s v="SABRE"/>
    <s v="WETEMANS/LAURAN JACQUES LEON"/>
    <s v="Beatrys Ferreira Rocha"/>
    <s v="Vanessa Pereira Ribeiro Carlos"/>
    <d v="2025-09-03T11:57:00"/>
    <s v="EMAIL"/>
    <s v="-"/>
    <s v="OFF LINE"/>
    <s v="?"/>
    <s v="TKT"/>
    <x v="3"/>
    <s v="N"/>
    <x v="67"/>
    <s v="Shell"/>
    <s v="-"/>
    <s v="Klm"/>
    <n v="6691950000"/>
    <x v="49"/>
    <s v="-"/>
    <x v="6"/>
    <n v="0"/>
    <n v="0"/>
    <n v="0"/>
    <n v="0"/>
    <n v="0"/>
    <n v="0"/>
    <s v="Reserva importada por HubTravel"/>
    <s v="Falta informar o status no trecho da accounting aérea (Bilhete: 6691950000)"/>
    <x v="1"/>
    <x v="10"/>
    <s v="Atualização de Trechos"/>
    <x v="0"/>
    <s v="Qualidade dos dados"/>
    <s v="GRUPO KONTIK"/>
    <x v="4"/>
  </r>
  <r>
    <n v="22905382"/>
    <n v="23679320"/>
    <s v="ACC03"/>
    <x v="459"/>
    <d v="2025-09-11T13:39:44"/>
    <x v="3"/>
    <x v="3"/>
    <s v="KZNQHK"/>
    <s v="SABRE"/>
    <s v="WETEMANS/LAURAN JACQUES LEON"/>
    <s v="Beatrys Ferreira Rocha"/>
    <s v="Vanessa Pereira Ribeiro Carlos"/>
    <d v="2025-09-03T11:57:00"/>
    <s v="EMAIL"/>
    <s v="-"/>
    <s v="OFF LINE"/>
    <s v="Cartão de crédito"/>
    <s v="Cartão de crédito"/>
    <x v="3"/>
    <s v="N"/>
    <x v="67"/>
    <s v="Shell"/>
    <s v="-"/>
    <s v="Klm"/>
    <n v="6691950000"/>
    <x v="49"/>
    <s v="-"/>
    <x v="378"/>
    <n v="0"/>
    <n v="0"/>
    <n v="0"/>
    <n v="0"/>
    <n v="0"/>
    <n v="0"/>
    <s v="Reserva importada por HubTravel"/>
    <s v="Falta informar o status no trecho da accounting aérea (Bilhete: 6691950000)"/>
    <x v="1"/>
    <x v="10"/>
    <s v="Atualização de Trechos"/>
    <x v="0"/>
    <s v="Qualidade dos dados"/>
    <s v="GRUPO KONTIK"/>
    <x v="4"/>
  </r>
  <r>
    <n v="22905382"/>
    <n v="23679322"/>
    <s v="ACC04"/>
    <x v="459"/>
    <d v="2025-09-11T13:39:44"/>
    <x v="3"/>
    <x v="3"/>
    <s v="KZNQHK"/>
    <s v="SABRE"/>
    <s v="WETEMANS/LAURAN JACQUES LEON"/>
    <s v="Beatrys Ferreira Rocha"/>
    <s v="Vanessa Pereira Ribeiro Carlos"/>
    <d v="2025-09-03T11:57:00"/>
    <s v="EMAIL"/>
    <s v="-"/>
    <s v="OFF LINE"/>
    <s v="Cartão de crédito"/>
    <s v="Cartão de crédito"/>
    <x v="3"/>
    <s v="N"/>
    <x v="67"/>
    <s v="Shell"/>
    <s v="-"/>
    <s v="Klm"/>
    <n v="6691950000"/>
    <x v="49"/>
    <s v="-"/>
    <x v="379"/>
    <n v="0"/>
    <n v="0"/>
    <n v="0"/>
    <n v="0"/>
    <n v="0"/>
    <n v="0"/>
    <s v="Reserva importada por HubTravel"/>
    <s v="Falta informar o status no trecho da accounting aérea (Bilhete: 6691950000)"/>
    <x v="1"/>
    <x v="10"/>
    <s v="Atualização de Trechos"/>
    <x v="0"/>
    <s v="Qualidade dos dados"/>
    <s v="GRUPO KONTIK"/>
    <x v="4"/>
  </r>
  <r>
    <n v="22897567"/>
    <n v="23672459"/>
    <s v="ACC01"/>
    <x v="460"/>
    <d v="2025-09-11T13:25:47"/>
    <x v="3"/>
    <x v="0"/>
    <s v="MEOXQP"/>
    <s v="TMS"/>
    <s v="MARCIO SOARES"/>
    <s v="Jennifer dos Santos Guedes de Oliveira"/>
    <s v="Jennifer dos Santos Guedes de Oliveira"/>
    <d v="2025-09-09T13:44:00"/>
    <n v="5222"/>
    <s v="-"/>
    <s v="OFF LINE"/>
    <s v="Cartão de crédito"/>
    <s v="Cartão de crédito"/>
    <x v="3"/>
    <s v="N"/>
    <x v="71"/>
    <s v="Mattos Filho"/>
    <s v="-"/>
    <s v="Klm"/>
    <n v="2971276144"/>
    <x v="52"/>
    <s v="-"/>
    <x v="380"/>
    <n v="0"/>
    <n v="0"/>
    <n v="0"/>
    <n v="0"/>
    <n v="0"/>
    <n v="0"/>
    <s v="Reserva importada do Sistema TMS. OS: 5222"/>
    <s v="Verificação de bilhetes: Bilhete 2971276144 já sendo utilizado para este fornecedor."/>
    <x v="2"/>
    <x v="5"/>
    <s v="Bilhete Já Contabilizado"/>
    <x v="1"/>
    <s v="Qualidade dos dados"/>
    <s v="GRUPO KONTIK"/>
    <x v="5"/>
  </r>
  <r>
    <n v="22905409"/>
    <n v="23679349"/>
    <s v="ACC01"/>
    <x v="461"/>
    <d v="2025-09-11T13:40:47"/>
    <x v="3"/>
    <x v="3"/>
    <s v="SBFYFA"/>
    <s v="SABRE"/>
    <s v="BUGS/CAMILLA DUQUE"/>
    <s v="Beatrys Ferreira Rocha"/>
    <s v="WS"/>
    <d v="2025-09-04T07:09:00"/>
    <s v="SBFYFA"/>
    <s v="-"/>
    <s v="ON LINE"/>
    <s v="Cartão de crédito"/>
    <s v="Cartão AMEX"/>
    <x v="3"/>
    <s v="N"/>
    <x v="38"/>
    <s v="Adidas do Brasil Ltda"/>
    <s v="-"/>
    <s v="Klm"/>
    <n v="6699930000"/>
    <x v="15"/>
    <s v="-"/>
    <x v="381"/>
    <n v="59.54"/>
    <n v="1226.23"/>
    <n v="0"/>
    <n v="59.54"/>
    <n v="0"/>
    <n v="0"/>
    <s v="Reserva importada por HubTravel"/>
    <s v="Falta informar o status no trecho da accounting aérea (Bilhete: 6699930000)"/>
    <x v="1"/>
    <x v="10"/>
    <s v="Atualização de Trechos"/>
    <x v="0"/>
    <s v="Qualidade dos dados"/>
    <s v="GRUPO KONTIK"/>
    <x v="4"/>
  </r>
  <r>
    <n v="22905409"/>
    <n v="23679350"/>
    <s v="ACC02"/>
    <x v="461"/>
    <d v="2025-09-11T13:40:47"/>
    <x v="3"/>
    <x v="3"/>
    <s v="SBFYFA"/>
    <s v="SABRE"/>
    <s v="BUGS/CAMILLA DUQUE"/>
    <s v="Beatrys Ferreira Rocha"/>
    <s v="WS"/>
    <d v="2025-09-04T07:09:00"/>
    <s v="SBFYFA"/>
    <s v="-"/>
    <s v="ON LINE"/>
    <s v="?"/>
    <s v="TKT"/>
    <x v="3"/>
    <s v="N"/>
    <x v="38"/>
    <s v="Adidas do Brasil Ltda"/>
    <s v="-"/>
    <s v="Klm"/>
    <n v="6699930000"/>
    <x v="15"/>
    <s v="-"/>
    <x v="6"/>
    <n v="0"/>
    <n v="0"/>
    <n v="0"/>
    <n v="0"/>
    <n v="0"/>
    <n v="0"/>
    <s v="Reserva importada por HubTravel"/>
    <s v="Falta informar o status no trecho da accounting aérea (Bilhete: 6699930000)"/>
    <x v="1"/>
    <x v="10"/>
    <s v="Atualização de Trechos"/>
    <x v="0"/>
    <s v="Qualidade dos dados"/>
    <s v="GRUPO KONTIK"/>
    <x v="4"/>
  </r>
  <r>
    <n v="22870604"/>
    <n v="23649864"/>
    <s v="ACC01"/>
    <x v="462"/>
    <d v="2025-09-11T13:25:37"/>
    <x v="3"/>
    <x v="1"/>
    <s v="HFIMTF"/>
    <s v="TMS"/>
    <s v="MARCELA DA SILVA COSTA"/>
    <s v="Catia Leite Oliveira"/>
    <s v="Catia Leite Oliveira"/>
    <d v="2025-09-04T14:50:00"/>
    <n v="41176"/>
    <s v="-"/>
    <s v="OFF LINE"/>
    <s v="Cartão de crédito"/>
    <s v="Cartão AMEX"/>
    <x v="3"/>
    <s v="N"/>
    <x v="55"/>
    <s v="Motiva Filial"/>
    <s v="-"/>
    <s v="Klm"/>
    <n v="2971387943"/>
    <x v="42"/>
    <s v="-"/>
    <x v="382"/>
    <n v="1388.84"/>
    <n v="0"/>
    <n v="0"/>
    <n v="0"/>
    <n v="0"/>
    <n v="0"/>
    <s v="Reserva importada do Sistema TMS. OS: 41176"/>
    <s v="Verificação de bilhetes: Bilhete 2971387943 já sendo utilizado para este fornecedor."/>
    <x v="2"/>
    <x v="5"/>
    <s v="Bilhete Já Contabilizado"/>
    <x v="1"/>
    <s v="Qualidade dos dados"/>
    <s v="GRUPO KONTIK"/>
    <x v="5"/>
  </r>
  <r>
    <n v="22895022"/>
    <n v="23670059"/>
    <s v="ACC"/>
    <x v="463"/>
    <d v="2025-09-09T13:01:27"/>
    <x v="0"/>
    <x v="0"/>
    <s v="5KI7IW"/>
    <s v="MANUAL"/>
    <s v="DIAZ PEREZ/EDUARDO GASTON MR"/>
    <s v="Ernani Afranio dos Santos"/>
    <s v="Beatrys Ferreira Rocha"/>
    <d v="2025-09-05T12:02:00"/>
    <s v="EMAIL"/>
    <s v="-"/>
    <s v="OFF LINE"/>
    <s v="Invoice"/>
    <s v="Cartão convênio"/>
    <x v="3"/>
    <s v="S"/>
    <x v="1"/>
    <s v="Cap1 - Planta Campinas Bosch - 9080"/>
    <s v="Cliente FEE no POS"/>
    <s v="Delta"/>
    <n v="2952977616"/>
    <x v="1"/>
    <s v="-"/>
    <x v="383"/>
    <n v="312.86"/>
    <n v="0"/>
    <n v="0"/>
    <n v="0"/>
    <n v="0"/>
    <n v="0"/>
    <s v="-"/>
    <s v="36Faltou informar rateio de centro de custo/projeto abaixo da accounting"/>
    <x v="5"/>
    <x v="14"/>
    <s v="Rateio de centro de custo/projeto"/>
    <x v="4"/>
    <s v="Qualidade dos dados"/>
    <s v="GRUPO KONTIK"/>
    <x v="4"/>
  </r>
  <r>
    <n v="22889116"/>
    <n v="23664609"/>
    <s v="ACC01"/>
    <x v="464"/>
    <d v="2025-09-12T05:20:54"/>
    <x v="3"/>
    <x v="0"/>
    <s v="IQXDKK"/>
    <s v="SABRE"/>
    <s v="CARVALHO/RAFAEL BLUMLEIM"/>
    <s v="Clayton Alves de Rezende"/>
    <s v="CT"/>
    <d v="2025-09-02T00:00:00"/>
    <s v="IQXDKK"/>
    <s v="-"/>
    <s v="ON LINE"/>
    <s v="Cartão de crédito"/>
    <s v="Cartão AMEX"/>
    <x v="3"/>
    <s v="N"/>
    <x v="1"/>
    <s v="Cap1 - Planta Campinas Bosch - 9080"/>
    <s v="Cliente FEE no POS"/>
    <s v="Lufthansa"/>
    <n v="2952959161"/>
    <x v="1"/>
    <s v="-"/>
    <x v="384"/>
    <n v="59.54"/>
    <n v="974.31"/>
    <n v="0"/>
    <n v="59.54"/>
    <n v="0"/>
    <n v="19.03"/>
    <s v="Reserva importada por HubTravel"/>
    <s v="Verificação de bilhetes: Bilhete 2952959161 já sendo utilizado para este fornecedor."/>
    <x v="1"/>
    <x v="5"/>
    <s v="Bilhete Já Contabilizado"/>
    <x v="1"/>
    <s v="Qualidade dos dados"/>
    <s v="GRUPO KONTIK"/>
    <x v="4"/>
  </r>
  <r>
    <n v="22889117"/>
    <n v="23664610"/>
    <s v="ACC01"/>
    <x v="465"/>
    <d v="2025-09-12T05:20:55"/>
    <x v="3"/>
    <x v="0"/>
    <s v="YSDZBI"/>
    <s v="SABRE"/>
    <s v="ALEGRETTI RIBEIRO LOBO/MARIA"/>
    <s v="Clayton Alves de Rezende"/>
    <s v="CT"/>
    <d v="2025-09-02T00:00:00"/>
    <s v="YSDZBI"/>
    <s v="-"/>
    <s v="ON LINE"/>
    <s v="Cartão de crédito"/>
    <s v="Cartão AMEX"/>
    <x v="3"/>
    <s v="N"/>
    <x v="1"/>
    <s v="Jvl - Planta Joinville"/>
    <s v="Cliente FEE no POS"/>
    <s v="Lufthansa"/>
    <n v="2952959163"/>
    <x v="1"/>
    <s v="-"/>
    <x v="384"/>
    <n v="59.54"/>
    <n v="974.31"/>
    <n v="0"/>
    <n v="59.54"/>
    <n v="0"/>
    <n v="19.03"/>
    <s v="Reserva importada por HubTravel"/>
    <s v="Verificação de bilhetes: Bilhete 2952959163 já sendo utilizado para este fornecedor."/>
    <x v="1"/>
    <x v="5"/>
    <s v="Bilhete Já Contabilizado"/>
    <x v="1"/>
    <s v="Qualidade dos dados"/>
    <s v="GRUPO KONTIK"/>
    <x v="4"/>
  </r>
  <r>
    <n v="22889114"/>
    <n v="23664607"/>
    <s v="ACC01"/>
    <x v="466"/>
    <d v="2025-09-12T05:20:52"/>
    <x v="3"/>
    <x v="0"/>
    <s v="GCZUPE"/>
    <s v="SABRE"/>
    <s v="BACHMANN/RENATO"/>
    <s v="Clayton Alves de Rezende"/>
    <s v="CT"/>
    <d v="2025-09-02T00:00:00"/>
    <s v="GCZUPE"/>
    <s v="-"/>
    <s v="ON LINE"/>
    <s v="Cartão de crédito"/>
    <s v="Cartão AMEX"/>
    <x v="3"/>
    <s v="N"/>
    <x v="1"/>
    <s v="Dcbr - Rexroth"/>
    <s v="Cliente FEE no POS"/>
    <s v="Lufthansa"/>
    <n v="2952959160"/>
    <x v="1"/>
    <s v="-"/>
    <x v="385"/>
    <n v="141.09"/>
    <n v="1127.8699999999999"/>
    <n v="0"/>
    <n v="141.09"/>
    <n v="0"/>
    <n v="19.03"/>
    <s v="Reserva importada por HubTravel"/>
    <s v="Verificação de bilhetes: Bilhete 2952959160 já sendo utilizado para este fornecedor."/>
    <x v="1"/>
    <x v="5"/>
    <s v="Bilhete Já Contabilizado"/>
    <x v="1"/>
    <s v="Qualidade dos dados"/>
    <s v="GRUPO KONTIK"/>
    <x v="4"/>
  </r>
  <r>
    <n v="22911973"/>
    <n v="23685052"/>
    <s v="ACC01"/>
    <x v="467"/>
    <d v="2025-09-11T21:54:43"/>
    <x v="3"/>
    <x v="3"/>
    <s v="GCIWPX"/>
    <s v="SABRE"/>
    <s v="MARTINS DA PAZ/DIEGO LUIZ"/>
    <s v="Clayton Alves de Rezende"/>
    <s v="Eliane da Silva Souza Paula"/>
    <d v="2025-09-11T12:44:00"/>
    <s v="GCIWPX"/>
    <s v="-"/>
    <s v="ON LINE"/>
    <s v="Cartão de crédito"/>
    <s v="Cartão AMEX"/>
    <x v="3"/>
    <s v="N"/>
    <x v="38"/>
    <s v="Adidas do Brasil Ltda"/>
    <s v="-"/>
    <s v="Lufthansa"/>
    <n v="2953001170"/>
    <x v="15"/>
    <s v="-"/>
    <x v="386"/>
    <n v="59.54"/>
    <n v="1167.68"/>
    <n v="0"/>
    <n v="59.54"/>
    <n v="0"/>
    <n v="0"/>
    <s v="Reserva importada por HubTravel"/>
    <s v="Matrícula não preenchida! (ACC01) Nível funcionário não preenchido! (ACC01)"/>
    <x v="1"/>
    <x v="2"/>
    <s v="Falta de informação Gerencial"/>
    <x v="0"/>
    <s v="Qualidade dos dados"/>
    <s v="GRUPO KONTIK"/>
    <x v="4"/>
  </r>
  <r>
    <n v="22910162"/>
    <n v="23683421"/>
    <s v="ACC"/>
    <x v="468"/>
    <d v="2025-09-11T18:17:07"/>
    <x v="3"/>
    <x v="3"/>
    <s v="W97X77"/>
    <s v="MANUAL"/>
    <s v="SCHREINER DE OLIVEIRA/FELIPE MR"/>
    <s v="Renata Godoy Sant Anna"/>
    <s v="Clayton Alves de Rezende"/>
    <d v="2025-09-10T17:41:00"/>
    <s v="-"/>
    <s v="-"/>
    <s v="OFF LINE"/>
    <s v="Cartão de crédito"/>
    <s v="Cartão AMEX"/>
    <x v="3"/>
    <s v="N"/>
    <x v="31"/>
    <s v="Basf Sa"/>
    <s v="-"/>
    <s v="Lufthansa"/>
    <n v="2953005181"/>
    <x v="25"/>
    <s v="-"/>
    <x v="387"/>
    <n v="1190.3399999999999"/>
    <n v="0"/>
    <n v="0"/>
    <n v="0"/>
    <n v="0"/>
    <n v="0"/>
    <s v="-"/>
    <s v="Accouting aérea não possui trechos (Bilhete: 2953005181)"/>
    <x v="5"/>
    <x v="10"/>
    <s v="Atualização de Trechos"/>
    <x v="0"/>
    <s v="Qualidade dos dados"/>
    <s v="GRUPO KONTIK"/>
    <x v="4"/>
  </r>
  <r>
    <n v="22870599"/>
    <n v="23649859"/>
    <s v="ACC01"/>
    <x v="469"/>
    <d v="2025-09-11T13:25:34"/>
    <x v="3"/>
    <x v="1"/>
    <s v="UNXRYB"/>
    <s v="TMS"/>
    <s v="CLERISTON FERREIRA"/>
    <s v="Catia Leite Oliveira"/>
    <s v="Catia Leite Oliveira"/>
    <d v="2025-09-04T15:07:00"/>
    <n v="41483"/>
    <s v="-"/>
    <s v="OFF LINE"/>
    <s v="Cartão de crédito"/>
    <s v="Cartão AMEX"/>
    <x v="3"/>
    <s v="N"/>
    <x v="55"/>
    <s v="Trilhos Linhas 8e9"/>
    <s v="-"/>
    <s v="Lufthansa"/>
    <n v="2971387947"/>
    <x v="42"/>
    <s v="-"/>
    <x v="388"/>
    <n v="1600.57"/>
    <n v="0"/>
    <n v="0"/>
    <n v="0"/>
    <n v="0"/>
    <n v="0"/>
    <s v="Reserva importada do Sistema TMS. OS: 41483"/>
    <s v="Verificação de bilhetes: Bilhete 2971387947 já sendo utilizado para este fornecedor."/>
    <x v="2"/>
    <x v="5"/>
    <s v="Bilhete Já Contabilizado"/>
    <x v="1"/>
    <s v="Qualidade dos dados"/>
    <s v="GRUPO KONTIK"/>
    <x v="5"/>
  </r>
  <r>
    <n v="22911972"/>
    <n v="23685051"/>
    <s v="ACC01"/>
    <x v="470"/>
    <d v="2025-09-11T21:54:43"/>
    <x v="3"/>
    <x v="3"/>
    <s v="KOQXPU"/>
    <s v="SABRE"/>
    <s v="BENSUSSAN/PRISCILLA MESSODY"/>
    <s v="Wellington Ribeiro da Silva"/>
    <s v="Eliane da Silva Souza Paula"/>
    <d v="2025-09-11T00:00:00"/>
    <s v="KOQXPU"/>
    <s v="-"/>
    <s v="ON LINE"/>
    <s v="Cartão de crédito"/>
    <s v="Cartão AMEX"/>
    <x v="3"/>
    <s v="N"/>
    <x v="38"/>
    <s v="Adidas do Brasil Ltda"/>
    <s v="-"/>
    <s v="Lufthansa"/>
    <n v="2953001171"/>
    <x v="15"/>
    <s v="-"/>
    <x v="386"/>
    <n v="59.54"/>
    <n v="1167.68"/>
    <n v="0"/>
    <n v="59.54"/>
    <n v="0"/>
    <n v="0"/>
    <s v="Reserva importada por HubTravel"/>
    <s v="Centro de custo não preenchido! (ACC01) Matrícula não preenchida! (ACC01) Nível funcionário não preenchido! (ACC01)"/>
    <x v="1"/>
    <x v="2"/>
    <s v="Falta de informação Gerencial"/>
    <x v="0"/>
    <s v="Qualidade dos dados"/>
    <s v="GRUPO KONTIK"/>
    <x v="4"/>
  </r>
  <r>
    <n v="22905477"/>
    <n v="23679418"/>
    <s v="ACC01"/>
    <x v="471"/>
    <d v="2025-09-12T03:03:18"/>
    <x v="3"/>
    <x v="3"/>
    <s v="FIHATK"/>
    <s v="SABRE"/>
    <s v="GARIBIAN/SERGIO ADRIAN"/>
    <s v="Flavia Constanzi do Nascimento"/>
    <s v="Humberto da Fontoura"/>
    <d v="2025-09-09T16:54:00"/>
    <s v="FIHATK"/>
    <s v="-"/>
    <s v="ON LINE"/>
    <s v="Cartão de crédito"/>
    <s v="Cartão de crédito"/>
    <x v="3"/>
    <s v="N"/>
    <x v="43"/>
    <s v="Standard And Poors Ratings do Brasil Ltda"/>
    <s v="Cliente FEE no POS"/>
    <s v="Aerolineas Argentinas"/>
    <n v="2872789884"/>
    <x v="50"/>
    <s v="-"/>
    <x v="389"/>
    <n v="0"/>
    <n v="944.28"/>
    <n v="0"/>
    <n v="0"/>
    <n v="0"/>
    <n v="0"/>
    <s v="Reserva importada por HubTravel"/>
    <s v="Centro de custo não preenchido! (ACC01) Email do passageiro não preenchido! (ACC01) Departamento não preenchido! (ACC01) Finalidade não "/>
    <x v="1"/>
    <x v="2"/>
    <s v="Falta de informação Gerencial"/>
    <x v="0"/>
    <s v="Qualidade dos dados"/>
    <s v="GRUPO KONTIK"/>
    <x v="4"/>
  </r>
  <r>
    <n v="22909284"/>
    <n v="23682487"/>
    <s v="ACC01"/>
    <x v="472"/>
    <d v="2025-09-11T15:32:55"/>
    <x v="3"/>
    <x v="3"/>
    <s v="NHLJKS"/>
    <s v="SABRE"/>
    <s v="MENDES/EMILIANO"/>
    <s v="Beatrys Ferreira Rocha"/>
    <s v="Marcelo de Freitas"/>
    <d v="2025-08-29T11:21:00"/>
    <s v="BA2908251504"/>
    <s v="-"/>
    <s v="OFF LINE"/>
    <s v="Cartão de crédito"/>
    <s v="Cartão AMEX"/>
    <x v="3"/>
    <s v="N"/>
    <x v="31"/>
    <s v="Basf Sa"/>
    <s v="-"/>
    <s v="Aerolineas Argentinas"/>
    <n v="2952949858"/>
    <x v="25"/>
    <s v="-"/>
    <x v="390"/>
    <n v="59.54"/>
    <n v="413.42"/>
    <n v="0"/>
    <n v="59.54"/>
    <n v="0"/>
    <n v="0"/>
    <s v="Reserva importada por HubTravel"/>
    <s v="Verificação de bilhetes: Bilhete 2952949858 já sendo utilizado para este fornecedor."/>
    <x v="1"/>
    <x v="5"/>
    <s v="Bilhete Já Contabilizado"/>
    <x v="1"/>
    <s v="Qualidade dos dados"/>
    <s v="GRUPO KONTIK"/>
    <x v="4"/>
  </r>
  <r>
    <n v="22911938"/>
    <n v="23685022"/>
    <s v="ACC01"/>
    <x v="473"/>
    <d v="2025-09-11T21:36:46"/>
    <x v="3"/>
    <x v="3"/>
    <s v="EWOAMS"/>
    <s v="SABRE"/>
    <s v="BASTOS TABET/MARIANA"/>
    <s v="Flavia Constanzi do Nascimento"/>
    <s v="Nathalia dos Santos Batista"/>
    <d v="2025-09-11T14:01:00"/>
    <s v="EWOAMS"/>
    <s v="-"/>
    <s v="ON LINE"/>
    <s v="Invoice"/>
    <s v="Faturado"/>
    <x v="3"/>
    <s v="N"/>
    <x v="72"/>
    <s v="Avaya Brasil Ltda"/>
    <s v="Cliente FEE no POS"/>
    <s v="Aerolineas Argentinas"/>
    <n v="2953005196"/>
    <x v="53"/>
    <s v="-"/>
    <x v="391"/>
    <n v="60.41"/>
    <n v="413.48"/>
    <n v="0"/>
    <n v="60.41"/>
    <n v="0"/>
    <n v="0"/>
    <s v="Reserva importada por HubTravel"/>
    <s v="Centro de custo não preenchido! (ACC01) Departamento não preenchido! (ACC01)"/>
    <x v="1"/>
    <x v="2"/>
    <s v="Falta de informação Gerencial"/>
    <x v="0"/>
    <s v="Qualidade dos dados"/>
    <s v="GRUPO KONTIK"/>
    <x v="4"/>
  </r>
  <r>
    <n v="22911975"/>
    <n v="23685056"/>
    <s v="ACC01"/>
    <x v="474"/>
    <d v="2025-09-11T21:54:44"/>
    <x v="3"/>
    <x v="3"/>
    <s v="SWIFKD"/>
    <s v="SABRE"/>
    <s v="SANTANA MINJORO/MARIANA"/>
    <s v="Clayton Alves de Rezende"/>
    <s v="Eliane da Silva Souza Paula"/>
    <d v="2025-09-11T00:00:00"/>
    <s v="SWIFKD"/>
    <s v="-"/>
    <s v="ON LINE"/>
    <s v="Cartão de crédito"/>
    <s v="Cartão AMEX"/>
    <x v="3"/>
    <s v="N"/>
    <x v="38"/>
    <s v="Adidas do Brasil Ltda"/>
    <s v="-"/>
    <s v="Air France"/>
    <n v="2953001168"/>
    <x v="15"/>
    <s v="-"/>
    <x v="392"/>
    <n v="59.54"/>
    <n v="1147.8499999999999"/>
    <n v="0"/>
    <n v="59.54"/>
    <n v="0"/>
    <n v="0"/>
    <s v="Reserva importada por HubTravel"/>
    <s v="Centro de custo não preenchido! (ACC01) Matrícula não preenchida! (ACC01) Nível funcionário não preenchido! (ACC01)"/>
    <x v="1"/>
    <x v="2"/>
    <s v="Falta de informação Gerencial"/>
    <x v="0"/>
    <s v="Qualidade dos dados"/>
    <s v="GRUPO KONTIK"/>
    <x v="4"/>
  </r>
  <r>
    <n v="22911974"/>
    <n v="23685054"/>
    <s v="ACC01"/>
    <x v="475"/>
    <d v="2025-09-11T21:40:55"/>
    <x v="3"/>
    <x v="3"/>
    <s v="OYNVZS"/>
    <s v="SABRE"/>
    <s v="DA SILVA ROCHA PAZ/TAINA"/>
    <s v="Clayton Alves de Rezende"/>
    <s v="Adriana Vieira de Freitas dos Santos"/>
    <d v="2025-08-15T14:53:00"/>
    <s v="EMAIL"/>
    <s v="-"/>
    <s v="OFF LINE"/>
    <s v="Invoice"/>
    <s v="Faturado"/>
    <x v="3"/>
    <s v="N"/>
    <x v="67"/>
    <s v="Shell"/>
    <s v="-"/>
    <s v="Copa Airlines"/>
    <n v="2953001169"/>
    <x v="49"/>
    <s v="-"/>
    <x v="393"/>
    <n v="60.41"/>
    <n v="850.5"/>
    <n v="0"/>
    <n v="60.41"/>
    <n v="0"/>
    <n v="0"/>
    <s v="Reserva importada por HubTravel"/>
    <s v="Falta informar o status no trecho da accounting aérea (Bilhete: 2953001169)"/>
    <x v="1"/>
    <x v="10"/>
    <s v="Atualização de Trechos"/>
    <x v="0"/>
    <s v="Qualidade dos dados"/>
    <s v="GRUPO KONTIK"/>
    <x v="4"/>
  </r>
  <r>
    <n v="22911974"/>
    <n v="23685055"/>
    <s v="ACC02"/>
    <x v="475"/>
    <d v="2025-09-11T21:40:55"/>
    <x v="3"/>
    <x v="3"/>
    <s v="OYNVZS"/>
    <s v="SABRE"/>
    <s v="DA SILVA ROCHA PAZ/TAINA"/>
    <s v="Clayton Alves de Rezende"/>
    <s v="Adriana Vieira de Freitas dos Santos"/>
    <d v="2025-08-15T14:53:00"/>
    <s v="EMAIL"/>
    <s v="-"/>
    <s v="OFF LINE"/>
    <s v="?"/>
    <s v="TKT"/>
    <x v="3"/>
    <s v="N"/>
    <x v="67"/>
    <s v="Shell"/>
    <s v="-"/>
    <s v="Copa Airlines"/>
    <n v="2953001169"/>
    <x v="49"/>
    <s v="-"/>
    <x v="6"/>
    <n v="0"/>
    <n v="0"/>
    <n v="0"/>
    <n v="0"/>
    <n v="0"/>
    <n v="0"/>
    <s v="Reserva importada por HubTravel"/>
    <s v="Falta informar o status no trecho da accounting aérea (Bilhete: 2953001169)"/>
    <x v="1"/>
    <x v="10"/>
    <s v="Atualização de Trechos"/>
    <x v="0"/>
    <s v="Qualidade dos dados"/>
    <s v="GRUPO KONTIK"/>
    <x v="4"/>
  </r>
  <r>
    <n v="22905398"/>
    <n v="23679340"/>
    <s v="ACC01"/>
    <x v="476"/>
    <d v="2025-09-11T13:39:45"/>
    <x v="3"/>
    <x v="3"/>
    <s v="KCLSRZ"/>
    <s v="SABRE"/>
    <s v="MENDES VILANOVA E SILVA/ELCIO"/>
    <s v="Clayton Alves de Rezende"/>
    <s v="Emilia Alejandra Pacheco Maraboli"/>
    <d v="2025-09-08T13:09:00"/>
    <s v="KCLSRZ"/>
    <s v="-"/>
    <s v="ON LINE"/>
    <s v="Invoice"/>
    <s v="Faturado"/>
    <x v="3"/>
    <s v="N"/>
    <x v="17"/>
    <s v="Quantiq"/>
    <s v="-"/>
    <s v="Copa Airlines"/>
    <n v="2953001153"/>
    <x v="20"/>
    <s v="-"/>
    <x v="394"/>
    <n v="59.54"/>
    <n v="731.82"/>
    <n v="0"/>
    <n v="59.54"/>
    <n v="0"/>
    <n v="0"/>
    <s v="Reserva importada por HubTravel"/>
    <s v="Centro de custo não preenchido! (ACC01) Matrícula não preenchida! (ACC01) Canal de venda não preenchido! (ACC01)"/>
    <x v="1"/>
    <x v="2"/>
    <s v="Falta de informação Gerencial"/>
    <x v="0"/>
    <s v="Qualidade dos dados"/>
    <s v="GRUPO KONTIK"/>
    <x v="4"/>
  </r>
  <r>
    <n v="22911977"/>
    <n v="23685060"/>
    <s v="ACC03"/>
    <x v="390"/>
    <d v="2025-09-11T21:40:55"/>
    <x v="3"/>
    <x v="3"/>
    <s v="MIDOZN"/>
    <s v="SABRE"/>
    <s v="NEVES/VICTOR BOROTO"/>
    <s v="Clayton Alves de Rezende"/>
    <s v="CT"/>
    <d v="2025-09-05T00:00:00"/>
    <s v="MIDOZN"/>
    <s v="-"/>
    <s v="OFF LINE"/>
    <s v="?"/>
    <s v="TKT"/>
    <x v="3"/>
    <s v="N"/>
    <x v="1"/>
    <s v="Robert Bosch Limitada - 9087"/>
    <s v="Cliente FEE no POS"/>
    <s v="Copa Airlines"/>
    <n v="2953011480"/>
    <x v="1"/>
    <s v="-"/>
    <x v="6"/>
    <n v="0"/>
    <n v="0"/>
    <n v="0"/>
    <n v="0"/>
    <n v="0"/>
    <n v="0"/>
    <s v="Reserva importada por HubTravel"/>
    <s v="Falta informar o status no trecho da accounting aérea (Bilhete: 2953011480)"/>
    <x v="1"/>
    <x v="10"/>
    <s v="Atualização de Trechos"/>
    <x v="0"/>
    <s v="Qualidade dos dados"/>
    <s v="GRUPO KONTIK"/>
    <x v="4"/>
  </r>
  <r>
    <n v="22911977"/>
    <n v="23685058"/>
    <s v="ACC01"/>
    <x v="390"/>
    <d v="2025-09-11T21:40:55"/>
    <x v="3"/>
    <x v="3"/>
    <s v="MIDOZN"/>
    <s v="SABRE"/>
    <s v="NEVES/VICTOR BOROTO"/>
    <s v="Clayton Alves de Rezende"/>
    <s v="CT"/>
    <d v="2025-09-05T00:00:00"/>
    <s v="MIDOZN"/>
    <s v="-"/>
    <s v="OFF LINE"/>
    <s v="Cartão de crédito"/>
    <s v="Cartão AMEX"/>
    <x v="3"/>
    <s v="N"/>
    <x v="1"/>
    <s v="Robert Bosch Limitada - 9087"/>
    <s v="Cliente FEE no POS"/>
    <s v="Copa Airlines"/>
    <n v="2953011480"/>
    <x v="1"/>
    <s v="-"/>
    <x v="395"/>
    <n v="59.54"/>
    <n v="903.34"/>
    <n v="0"/>
    <n v="59.54"/>
    <n v="0"/>
    <n v="0"/>
    <s v="Reserva importada por HubTravel"/>
    <s v="Falta informar o status no trecho da accounting aérea (Bilhete: 2953011480)"/>
    <x v="1"/>
    <x v="10"/>
    <s v="Atualização de Trechos"/>
    <x v="0"/>
    <s v="Qualidade dos dados"/>
    <s v="GRUPO KONTIK"/>
    <x v="4"/>
  </r>
  <r>
    <n v="22912167"/>
    <n v="23685219"/>
    <s v="ACC01"/>
    <x v="477"/>
    <d v="2025-09-11T22:36:29"/>
    <x v="3"/>
    <x v="3"/>
    <s v="GCKBBA-188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09613"/>
    <n v="23682856"/>
    <s v="ACC01"/>
    <x v="478"/>
    <d v="2025-09-11T16:10:56"/>
    <x v="3"/>
    <x v="3"/>
    <s v="GCKBBA-182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08985"/>
    <n v="23682223"/>
    <s v="ACC01"/>
    <x v="479"/>
    <d v="2025-09-11T13:54:28"/>
    <x v="3"/>
    <x v="3"/>
    <s v="GCKBBA-180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09202"/>
    <n v="23682407"/>
    <s v="ACC01"/>
    <x v="480"/>
    <d v="2025-09-11T14:52:32"/>
    <x v="3"/>
    <x v="3"/>
    <s v="GCKBBA-181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0012"/>
    <n v="23683228"/>
    <s v="ACC01"/>
    <x v="481"/>
    <d v="2025-09-11T17:15:37"/>
    <x v="3"/>
    <x v="3"/>
    <s v="GCKBBA-183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0450"/>
    <n v="23683648"/>
    <s v="ACC01"/>
    <x v="482"/>
    <d v="2025-09-11T18:16:10"/>
    <x v="3"/>
    <x v="3"/>
    <s v="GCKBBA-184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1398"/>
    <n v="23684562"/>
    <s v="ACC01"/>
    <x v="483"/>
    <d v="2025-09-11T19:24:39"/>
    <x v="3"/>
    <x v="3"/>
    <s v="GCKBBA-185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1745"/>
    <n v="23684875"/>
    <s v="ACC01"/>
    <x v="484"/>
    <d v="2025-09-11T20:27:22"/>
    <x v="3"/>
    <x v="3"/>
    <s v="GCKBBA-186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1897"/>
    <n v="23684991"/>
    <s v="ACC01"/>
    <x v="485"/>
    <d v="2025-09-11T21:21:21"/>
    <x v="3"/>
    <x v="3"/>
    <s v="GCKBBA-187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2594"/>
    <n v="23685552"/>
    <s v="ACC01"/>
    <x v="486"/>
    <d v="2025-09-12T00:27:07"/>
    <x v="3"/>
    <x v="3"/>
    <s v="GCKBBA-190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2326"/>
    <n v="23685338"/>
    <s v="ACC01"/>
    <x v="487"/>
    <d v="2025-09-11T23:30:34"/>
    <x v="3"/>
    <x v="3"/>
    <s v="GCKBBA-189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2952"/>
    <n v="23685840"/>
    <s v="ACC01"/>
    <x v="488"/>
    <d v="2025-09-12T01:39:31"/>
    <x v="3"/>
    <x v="3"/>
    <s v="GCKBBA-191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3073"/>
    <n v="23685902"/>
    <s v="ACC01"/>
    <x v="489"/>
    <d v="2025-09-12T02:39:42"/>
    <x v="3"/>
    <x v="3"/>
    <s v="GCKBBA-192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3191"/>
    <n v="23685962"/>
    <s v="ACC01"/>
    <x v="490"/>
    <d v="2025-09-12T03:39:21"/>
    <x v="3"/>
    <x v="3"/>
    <s v="GCKBBA-193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3310"/>
    <n v="23686026"/>
    <s v="ACC01"/>
    <x v="491"/>
    <d v="2025-09-12T04:39:27"/>
    <x v="3"/>
    <x v="3"/>
    <s v="GCKBBA-194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913429"/>
    <n v="23686087"/>
    <s v="ACC01"/>
    <x v="492"/>
    <d v="2025-09-12T05:52:56"/>
    <x v="3"/>
    <x v="3"/>
    <s v="GCKBBA-195"/>
    <s v="SABRE"/>
    <s v="PINTO DA COSTA/CRISTIANO"/>
    <s v="Wellington Ribeiro da Silva"/>
    <s v="Wellington Ribeiro da Silva"/>
    <d v="2025-06-03T11:47:00"/>
    <s v="EMAIL"/>
    <s v="-"/>
    <s v="OFF LINE"/>
    <s v="Cartão de crédito"/>
    <s v="Cartão de crédito"/>
    <x v="3"/>
    <s v="N"/>
    <x v="67"/>
    <s v="Shell"/>
    <s v="-"/>
    <s v="British Airways Plc"/>
    <n v="2872755292"/>
    <x v="49"/>
    <s v="-"/>
    <x v="396"/>
    <n v="0"/>
    <n v="2227.5"/>
    <n v="0"/>
    <n v="60.41"/>
    <n v="0"/>
    <n v="0"/>
    <s v="Reserva importada por HubTravel"/>
    <s v="Verificação de bilhetes: Bilhete 2872755292 já sendo utilizado para este fornecedor."/>
    <x v="1"/>
    <x v="5"/>
    <s v="Bilhete Já Contabilizado"/>
    <x v="1"/>
    <s v="Qualidade dos dados"/>
    <s v="GRUPO KONTIK"/>
    <x v="4"/>
  </r>
  <r>
    <n v="22847732"/>
    <n v="23629278"/>
    <s v="ACC01"/>
    <x v="493"/>
    <d v="2025-09-12T06:33:31"/>
    <x v="3"/>
    <x v="2"/>
    <s v="JQJXBP"/>
    <s v="SABRE"/>
    <s v="PRATAVIERA SARTURATO/ANA CARO"/>
    <s v="Beatrys Ferreira Rocha"/>
    <s v="WY"/>
    <d v="2025-03-24T10:26:00"/>
    <s v="JQJXBP"/>
    <s v="-"/>
    <s v="ON LINE"/>
    <s v="?"/>
    <s v="TKT"/>
    <x v="3"/>
    <s v="N"/>
    <x v="73"/>
    <s v="Basell"/>
    <s v="-"/>
    <s v="United"/>
    <n v="2872746912"/>
    <x v="54"/>
    <s v="-"/>
    <x v="6"/>
    <n v="0"/>
    <n v="422.46"/>
    <n v="0"/>
    <n v="55.65"/>
    <n v="0"/>
    <n v="0"/>
    <s v="Reserva importada por HubTravel"/>
    <s v="Falta informar o status no trecho da accounting aérea (Bilhete: 2872746912)"/>
    <x v="1"/>
    <x v="10"/>
    <s v="Atualização de Trechos"/>
    <x v="0"/>
    <s v="Qualidade dos dados"/>
    <s v="GRUPO KONTIK"/>
    <x v="4"/>
  </r>
  <r>
    <n v="22847732"/>
    <n v="23629279"/>
    <s v="ACC02"/>
    <x v="493"/>
    <d v="2025-09-12T06:33:31"/>
    <x v="3"/>
    <x v="2"/>
    <s v="JQJXBP"/>
    <s v="SABRE"/>
    <s v="PRATAVIERA SARTURATO/ANA CARO"/>
    <s v="Beatrys Ferreira Rocha"/>
    <s v="WY"/>
    <d v="2025-03-24T10:26:00"/>
    <s v="JQJXBP"/>
    <s v="-"/>
    <s v="ON LINE"/>
    <s v="?"/>
    <s v="TKT"/>
    <x v="3"/>
    <s v="N"/>
    <x v="73"/>
    <s v="Basell"/>
    <s v="-"/>
    <s v="United"/>
    <n v="2872746912"/>
    <x v="54"/>
    <s v="-"/>
    <x v="6"/>
    <n v="0"/>
    <n v="0"/>
    <n v="0"/>
    <n v="0"/>
    <n v="0"/>
    <n v="0"/>
    <s v="Reserva importada por HubTravel"/>
    <s v="Falta informar o status no trecho da accounting aérea (Bilhete: 2872746912)"/>
    <x v="1"/>
    <x v="10"/>
    <s v="Atualização de Trechos"/>
    <x v="0"/>
    <s v="Qualidade dos dados"/>
    <s v="GRUPO KONTIK"/>
    <x v="4"/>
  </r>
  <r>
    <n v="22788418"/>
    <n v="23579962"/>
    <s v="ACC01"/>
    <x v="494"/>
    <d v="2025-08-21T22:25:37"/>
    <x v="4"/>
    <x v="4"/>
    <s v="UZIARG"/>
    <s v="TMS"/>
    <s v="LEILA SANTOS"/>
    <s v="ADRIANA MIRANDA COUTINHO"/>
    <s v="ADRIANA MIRANDA COUTINHO"/>
    <d v="2025-08-21T17:07:00"/>
    <n v="10835"/>
    <s v="-"/>
    <s v="OFF LINE"/>
    <s v="Cartão de crédito"/>
    <s v="Cartão AMEX"/>
    <x v="3"/>
    <s v="N"/>
    <x v="4"/>
    <s v="Braskem - Camacari"/>
    <s v="-"/>
    <s v="United"/>
    <n v="2952894768"/>
    <x v="4"/>
    <s v="-"/>
    <x v="397"/>
    <n v="497.55"/>
    <n v="0"/>
    <n v="0"/>
    <n v="0"/>
    <n v="0"/>
    <n v="0"/>
    <s v="Reserva importada do Sistema TMS. OS: 10835"/>
    <s v="23Ocorreu o erro 'The INSERT statement conflicted with the FOREIGN KEY constraint &quot;FK_1416_10421&quot;. The conflict occurred in database &quot;Corporativo&quot;, "/>
    <x v="2"/>
    <x v="14"/>
    <s v="Mais de um campo não preenchido"/>
    <x v="0"/>
    <s v="Sistêmico"/>
    <s v="KONTIK BUSINESS TRAVEL"/>
    <x v="1"/>
  </r>
  <r>
    <n v="22874697"/>
    <n v="23653264"/>
    <s v="ACC01"/>
    <x v="495"/>
    <d v="2025-09-11T13:25:38"/>
    <x v="3"/>
    <x v="1"/>
    <s v="WTAUYH"/>
    <s v="TMS"/>
    <s v="GUSTAVO YURI VIANA CICERO"/>
    <s v="Herbert Amancio de Santana"/>
    <s v="Herbert Amancio de Santana"/>
    <d v="2025-09-05T10:26:00"/>
    <n v="79222"/>
    <s v="-"/>
    <s v="OFF LINE"/>
    <s v="Cartão de crédito"/>
    <s v="Cartão AMEX"/>
    <x v="3"/>
    <s v="N"/>
    <x v="62"/>
    <s v="Embratel Tvsat Telecomunicacoes Sa"/>
    <s v="-"/>
    <s v="United"/>
    <n v="2952831844"/>
    <x v="47"/>
    <s v="-"/>
    <x v="398"/>
    <n v="494.87"/>
    <n v="0"/>
    <n v="0"/>
    <n v="0"/>
    <n v="0"/>
    <n v="0"/>
    <s v="Reserva importada do Sistema TMS. OS: 79222"/>
    <s v="Verificação de bilhetes: Bilhete 2952831844 já sendo utilizado para este fornecedor."/>
    <x v="2"/>
    <x v="5"/>
    <s v="Bilhete Já Contabilizado"/>
    <x v="1"/>
    <s v="Qualidade dos dados"/>
    <s v="GRUPO KONTIK"/>
    <x v="5"/>
  </r>
  <r>
    <n v="22899422"/>
    <n v="23674086"/>
    <s v="ACC01"/>
    <x v="496"/>
    <d v="2025-09-11T14:28:45"/>
    <x v="3"/>
    <x v="3"/>
    <s v="5KYVCF"/>
    <s v="TMS"/>
    <s v="MIQUEIAS SILVA COUTINHO"/>
    <s v="Tms"/>
    <s v="Tms"/>
    <d v="2025-09-09T20:03:00"/>
    <n v="80600"/>
    <s v="-"/>
    <s v="ON LINE"/>
    <s v="Cartão de crédito"/>
    <s v="Cartão de crédito"/>
    <x v="0"/>
    <s v="N"/>
    <x v="25"/>
    <s v="Bahiana Distribuidora de Gas"/>
    <s v="-"/>
    <s v="Marinas Pousada"/>
    <s v="-"/>
    <x v="21"/>
    <s v="-"/>
    <x v="399"/>
    <n v="0"/>
    <n v="0"/>
    <n v="0"/>
    <n v="0"/>
    <n v="0"/>
    <n v="0"/>
    <s v="Reserva importada do Sistema TMS. OS: 80600"/>
    <s v="Não foi possível encontrar um contrato válido para o fornecedor 3443 (Código fornecedor) "/>
    <x v="2"/>
    <x v="9"/>
    <s v="Análise Cadastro"/>
    <x v="0"/>
    <s v="Qualidade dos dados"/>
    <s v="KONTIK BUSINESS TRAVEL"/>
    <x v="1"/>
  </r>
  <r>
    <n v="22881972"/>
    <n v="23659336"/>
    <s v="ACC01"/>
    <x v="497"/>
    <d v="2025-09-11T14:01:49"/>
    <x v="3"/>
    <x v="1"/>
    <s v="5KHBH0"/>
    <s v="TMS"/>
    <s v="JORGE PORTO TEIXEIRA"/>
    <s v="Tms"/>
    <s v="Tms"/>
    <d v="2025-09-06T12:50:00"/>
    <n v="80287"/>
    <s v="-"/>
    <s v="ON LINE"/>
    <s v="Cartão de crédito"/>
    <s v="Cartão de crédito"/>
    <x v="0"/>
    <s v="N"/>
    <x v="25"/>
    <s v="Bahiana Distribuidora de Gas"/>
    <s v="-"/>
    <s v="Marinas Pousada"/>
    <s v="-"/>
    <x v="21"/>
    <s v="-"/>
    <x v="33"/>
    <n v="0"/>
    <n v="0"/>
    <n v="0"/>
    <n v="0"/>
    <n v="0"/>
    <n v="0"/>
    <s v="Reserva importada do Sistema TMS. OS: 80287"/>
    <s v="Não foi possível encontrar um contrato válido para o fornecedor 3443 (Código fornecedor) "/>
    <x v="2"/>
    <x v="9"/>
    <s v="Análise Cadastro"/>
    <x v="0"/>
    <s v="Qualidade dos dados"/>
    <s v="KONTIK BUSINESS TRAVEL"/>
    <x v="1"/>
  </r>
  <r>
    <n v="22905634"/>
    <n v="23679582"/>
    <s v="ACC03"/>
    <x v="301"/>
    <d v="2025-09-10T22:52:50"/>
    <x v="3"/>
    <x v="3"/>
    <s v="SQBIFXT"/>
    <s v="SABRE"/>
    <s v="PEREIRA/JOSE"/>
    <s v="Ana Clara Brime"/>
    <s v="Ana Clara Brime"/>
    <d v="2025-09-09T09:01:00"/>
    <s v="LDQM"/>
    <s v="-"/>
    <s v="OFF LINE"/>
    <s v="Cartão de crédito"/>
    <s v="Cartão de crédito"/>
    <x v="0"/>
    <s v="N"/>
    <x v="51"/>
    <s v="Grupo Casas Bahia S.a."/>
    <s v="-"/>
    <s v="Pajucara Praia Hotel"/>
    <s v="-"/>
    <x v="38"/>
    <s v="-"/>
    <x v="400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395"/>
    <n v="23679337"/>
    <s v="ACC01"/>
    <x v="498"/>
    <d v="2025-09-11T13:35:54"/>
    <x v="3"/>
    <x v="3"/>
    <s v="GFPLUQC"/>
    <s v="SABRE"/>
    <s v="COSTA/MARCOS ROGERIO MR"/>
    <s v="Eliane da Silva Souza Paula"/>
    <s v="Eliane da Silva Souza Paula"/>
    <d v="2025-09-08T14:28:00"/>
    <s v="GFPLUQ"/>
    <s v="CNF"/>
    <s v="ON LINE"/>
    <s v="Invoice"/>
    <s v="Faturado"/>
    <x v="1"/>
    <s v="N"/>
    <x v="59"/>
    <s v="Sibelco - Pedra do Indaia - Matriz"/>
    <s v="-"/>
    <s v="Localiza - Br - Mg - Confins - Aeroporto"/>
    <s v="-"/>
    <x v="44"/>
    <s v="-"/>
    <x v="401"/>
    <n v="217.09"/>
    <n v="0"/>
    <n v="0"/>
    <n v="0"/>
    <n v="0"/>
    <n v="0"/>
    <s v="Reserva importada por HubTravel"/>
    <s v="Centro de custo não preenchido! (ACC01) Matrícula não preenchida! (ACC01)"/>
    <x v="1"/>
    <x v="2"/>
    <s v="Falta de informação Gerencial"/>
    <x v="0"/>
    <s v="Qualidade dos dados"/>
    <s v="KONTIK BUSINESS TRAVEL"/>
    <x v="2"/>
  </r>
  <r>
    <n v="22833882"/>
    <n v="23618654"/>
    <s v="ACC01"/>
    <x v="354"/>
    <d v="2025-08-29T12:54:25"/>
    <x v="2"/>
    <x v="2"/>
    <s v="AIZPOZT"/>
    <s v="SABRE"/>
    <s v="BARROS/NILSA"/>
    <s v="Ana Clara Brime"/>
    <s v="Ana Clara Brime"/>
    <d v="2025-08-28T09:18:00"/>
    <s v="AIZPOZ"/>
    <s v="-"/>
    <s v="OFF LINE"/>
    <s v="Cartão de crédito"/>
    <s v="Cartão de crédito"/>
    <x v="0"/>
    <s v="N"/>
    <x v="51"/>
    <s v="Grupo Casas Bahia S.a."/>
    <s v="-"/>
    <s v="Vale Verde Hotel"/>
    <s v="-"/>
    <x v="38"/>
    <s v="-"/>
    <x v="402"/>
    <n v="0"/>
    <n v="0"/>
    <n v="0"/>
    <n v="0"/>
    <n v="0"/>
    <n v="0"/>
    <s v="Reserva importada por HubTravel"/>
    <s v="Fornecedor não preenchido! (ACC03)"/>
    <x v="1"/>
    <x v="0"/>
    <s v="Campo Fornecedor"/>
    <x v="0"/>
    <s v="Qualidade dos dados"/>
    <s v="KONTIK BUSINESS TRAVEL"/>
    <x v="1"/>
  </r>
  <r>
    <n v="22833882"/>
    <n v="23618657"/>
    <s v="ACC04"/>
    <x v="354"/>
    <d v="2025-08-29T12:54:25"/>
    <x v="2"/>
    <x v="2"/>
    <s v="AIZPOZT"/>
    <s v="SABRE"/>
    <s v="BARROS/NILSA"/>
    <s v="Ana Clara Brime"/>
    <s v="Ana Clara Brime"/>
    <d v="2025-08-28T09:18:00"/>
    <s v="AIZPOZ"/>
    <s v="-"/>
    <s v="OFF LINE"/>
    <s v="Cartão de crédito"/>
    <s v="Cartão de crédito"/>
    <x v="0"/>
    <s v="N"/>
    <x v="51"/>
    <s v="Grupo Casas Bahia S.a."/>
    <s v="-"/>
    <s v="Vale Verde Hotel"/>
    <s v="-"/>
    <x v="38"/>
    <s v="-"/>
    <x v="260"/>
    <n v="0"/>
    <n v="0"/>
    <n v="0"/>
    <n v="0"/>
    <n v="0"/>
    <n v="0"/>
    <s v="Reserva importada por HubTravel"/>
    <s v="Fornecedor não preenchido! (ACC03)"/>
    <x v="1"/>
    <x v="0"/>
    <s v="Campo Fornecedor"/>
    <x v="0"/>
    <s v="Qualidade dos dados"/>
    <s v="KONTIK BUSINESS TRAVEL"/>
    <x v="1"/>
  </r>
  <r>
    <n v="22909268"/>
    <n v="23682470"/>
    <s v="ACC01"/>
    <x v="123"/>
    <d v="2025-09-11T15:10:43"/>
    <x v="3"/>
    <x v="3"/>
    <s v="GKSNPUT"/>
    <s v="SABRE"/>
    <s v="ISMAEL/MARCELO MANIERO MR"/>
    <s v="Marcelo de Freitas"/>
    <s v="Marcelo de Freitas"/>
    <d v="2025-09-08T16:55:00"/>
    <s v="BA0909250955"/>
    <s v="-"/>
    <s v="OFF LINE"/>
    <s v="Pagamento direto"/>
    <s v="Pagamento direto"/>
    <x v="0"/>
    <s v="N"/>
    <x v="31"/>
    <s v="Basf Sa"/>
    <s v="-"/>
    <s v="Hotel Bahamas"/>
    <s v="-"/>
    <x v="25"/>
    <s v="-"/>
    <x v="403"/>
    <n v="0"/>
    <n v="0"/>
    <n v="0"/>
    <n v="0"/>
    <n v="0"/>
    <n v="0"/>
    <s v="Reserva importada por HubTravel"/>
    <s v="Fornecedor não preenchido! (ACC02)"/>
    <x v="1"/>
    <x v="0"/>
    <s v="Campo Fornecedor"/>
    <x v="0"/>
    <s v="Qualidade dos dados"/>
    <s v="KONTIK BUSINESS TRAVEL"/>
    <x v="1"/>
  </r>
  <r>
    <n v="22887680"/>
    <n v="23663108"/>
    <s v="ACC01"/>
    <x v="499"/>
    <d v="2025-09-08T10:03:25"/>
    <x v="0"/>
    <x v="0"/>
    <s v="5KXC8B"/>
    <s v="TMS"/>
    <s v="LUCAS SANTOS"/>
    <s v="Tms"/>
    <s v="Tms"/>
    <d v="2025-09-05T17:11:00"/>
    <n v="529"/>
    <s v="-"/>
    <s v="OFF LINE"/>
    <s v="Invoice"/>
    <s v="Faturado"/>
    <x v="0"/>
    <s v="N"/>
    <x v="64"/>
    <s v="Benner Sistemas - Blumenau"/>
    <s v="-"/>
    <s v="55 - Rio Copacabana"/>
    <s v="-"/>
    <x v="20"/>
    <s v="-"/>
    <x v="278"/>
    <n v="0"/>
    <n v="0"/>
    <n v="0"/>
    <n v="0"/>
    <n v="0"/>
    <n v="0"/>
    <s v="Reserva importada do Sistema TMS. OS: 529"/>
    <s v="Empenho/departamento não preenchido! (ACC01) Matrícula não preenchida! (ACC01) Canal de venda não preenchido! (ACC01)"/>
    <x v="2"/>
    <x v="2"/>
    <s v="Falta de informação Gerencial"/>
    <x v="0"/>
    <s v="Qualidade dos dados"/>
    <s v="KONTIK BUSINESS TRAVEL"/>
    <x v="3"/>
  </r>
  <r>
    <n v="22905640"/>
    <n v="23679595"/>
    <s v="ACC02"/>
    <x v="300"/>
    <d v="2025-09-10T22:53:08"/>
    <x v="3"/>
    <x v="3"/>
    <s v="DJCWSAT"/>
    <s v="SABRE"/>
    <s v="MADRUGA/ADENILSON"/>
    <s v="Ana Clara Brime"/>
    <s v="Ana Clara Brime"/>
    <d v="2025-09-05T13:51:00"/>
    <s v="LDKC"/>
    <s v="-"/>
    <s v="OFF LINE"/>
    <s v="Cartão de crédito"/>
    <s v="Cartão de crédito"/>
    <x v="0"/>
    <s v="N"/>
    <x v="51"/>
    <s v="Grupo Casas Bahia S.a."/>
    <s v="-"/>
    <s v="Hotel Stelter"/>
    <s v="-"/>
    <x v="38"/>
    <s v="-"/>
    <x v="327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905483"/>
    <n v="23679424"/>
    <s v="ACC01"/>
    <x v="500"/>
    <d v="2025-09-11T13:47:30"/>
    <x v="3"/>
    <x v="3"/>
    <s v="YZGECUC"/>
    <s v="SABRE"/>
    <s v="DE LIMA/FELIPE AUGUSTO MR"/>
    <s v="Paulo Roberto Mendes da Silva"/>
    <s v="Paulo Roberto Mendes da Silva"/>
    <d v="2025-09-08T09:20:00"/>
    <s v="YZGECU"/>
    <s v="XAP"/>
    <s v="ON LINE"/>
    <s v="Invoice"/>
    <s v="Faturado"/>
    <x v="1"/>
    <s v="N"/>
    <x v="23"/>
    <s v="Honeywell"/>
    <s v="Cliente FEE no POS"/>
    <s v="Localiza - Br - Sc - Chapeco - Aeroporto"/>
    <s v="-"/>
    <x v="18"/>
    <s v="-"/>
    <x v="404"/>
    <n v="110.43"/>
    <n v="0"/>
    <n v="0"/>
    <n v="0"/>
    <n v="0"/>
    <n v="0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888755"/>
    <n v="23664258"/>
    <s v="ACC01"/>
    <x v="501"/>
    <d v="2025-09-11T13:25:42"/>
    <x v="3"/>
    <x v="0"/>
    <s v="UZARHM"/>
    <s v="TMS"/>
    <s v="VINICIUS BARRETO"/>
    <s v="Cintya Cocco Figueiredo"/>
    <s v="Cintya Cocco Figueiredo"/>
    <d v="2025-09-08T09:20:00"/>
    <n v="3807"/>
    <s v="-"/>
    <s v="OFF LINE"/>
    <s v="Cartão de crédito"/>
    <s v="Cartão de crédito"/>
    <x v="3"/>
    <s v="N"/>
    <x v="44"/>
    <s v="Epson"/>
    <s v="-"/>
    <s v="Emirates Airlines"/>
    <n v="2952959220"/>
    <x v="21"/>
    <s v="-"/>
    <x v="405"/>
    <n v="3418.27"/>
    <n v="0"/>
    <n v="0"/>
    <n v="0"/>
    <n v="0"/>
    <n v="0"/>
    <s v="Reserva importada do Sistema TMS. OS: 3807"/>
    <s v="Verificação de bilhetes: Bilhete 2952959220 já sendo utilizado para este fornecedor."/>
    <x v="2"/>
    <x v="5"/>
    <s v="Bilhete Já Contabilizado"/>
    <x v="1"/>
    <s v="Qualidade dos dados"/>
    <s v="GRUPO KONTIK"/>
    <x v="5"/>
  </r>
  <r>
    <n v="22910566"/>
    <n v="23683752"/>
    <s v="ACC01"/>
    <x v="502"/>
    <d v="2025-09-11T18:18:49"/>
    <x v="3"/>
    <x v="3"/>
    <s v="UJ2VYS"/>
    <s v="EBOOKING"/>
    <s v="Rodrigues Pinto/Cristian"/>
    <s v="Kontrip"/>
    <s v="Kontrip"/>
    <d v="2025-09-11T06:13:00"/>
    <s v="-"/>
    <s v="-"/>
    <s v="OFF LINE"/>
    <s v="Cartão de crédito"/>
    <s v="Cartão de crédito"/>
    <x v="3"/>
    <s v="N"/>
    <x v="60"/>
    <s v="Kontrip - Vendas Cartao de Credito"/>
    <s v="-"/>
    <s v="Azul Linhas Aereas"/>
    <n v="852567250"/>
    <x v="45"/>
    <s v="-"/>
    <x v="406"/>
    <n v="0"/>
    <n v="0"/>
    <n v="0"/>
    <n v="0"/>
    <n v="0"/>
    <n v="40"/>
    <s v="obs"/>
    <s v="Pnr já existente. A duplicidade de rloc é permitida apenas 6 meses após o último pnr emitido"/>
    <x v="4"/>
    <x v="4"/>
    <s v="Campo RLOC"/>
    <x v="1"/>
    <s v="Qualidade dos dados"/>
    <s v="KONTRIP VIAGENS"/>
    <x v="6"/>
  </r>
  <r>
    <n v="22909199"/>
    <n v="23682402"/>
    <s v="ACC01"/>
    <x v="503"/>
    <d v="2025-09-11T14:48:57"/>
    <x v="3"/>
    <x v="3"/>
    <s v="PGLMHI"/>
    <s v="EBOOKING"/>
    <s v="FONTELES/WEYDSON"/>
    <s v="Kontrip"/>
    <s v="Kontrip"/>
    <d v="2025-09-11T12:53:00"/>
    <s v="-"/>
    <s v="-"/>
    <s v="OFF LINE"/>
    <s v="Cartão de crédito"/>
    <s v="Cartão de crédito"/>
    <x v="3"/>
    <s v="N"/>
    <x v="60"/>
    <s v="Instituto de Tecnologia Educacional"/>
    <s v="-"/>
    <s v="Azul Linhas Aereas"/>
    <n v="863366431"/>
    <x v="45"/>
    <s v="-"/>
    <x v="407"/>
    <n v="51.67"/>
    <n v="0"/>
    <n v="0"/>
    <n v="0"/>
    <n v="0"/>
    <n v="113.69"/>
    <s v="obs"/>
    <s v="Não foi possível encontrar configuração válida para Administradora de código 1 e Data Emissão 11/09/2025"/>
    <x v="4"/>
    <x v="6"/>
    <s v="Análise Benner"/>
    <x v="2"/>
    <s v="Qualidade dos dados"/>
    <s v="KONTRIP VIAGENS"/>
    <x v="6"/>
  </r>
  <r>
    <n v="22889488"/>
    <n v="23664975"/>
    <s v="ACC01"/>
    <x v="504"/>
    <d v="2025-09-12T05:32:00"/>
    <x v="3"/>
    <x v="0"/>
    <s v="HRJOBA"/>
    <s v="SABRE"/>
    <s v="GRANGEIRO/FERNANDO MORENO"/>
    <s v="CT"/>
    <s v="CT"/>
    <d v="2025-09-08T07:20:00"/>
    <s v="HRJOBA"/>
    <s v="-"/>
    <s v="ON LINE"/>
    <s v="Cartão de crédito"/>
    <s v="Cartão AMEX"/>
    <x v="3"/>
    <s v="N"/>
    <x v="1"/>
    <s v="Robert Bosch Limitada - 908a"/>
    <s v="Cliente FEE no POS"/>
    <s v="Azul Linhas Aereas"/>
    <n v="7700076855"/>
    <x v="1"/>
    <s v="-"/>
    <x v="6"/>
    <n v="0"/>
    <n v="0"/>
    <n v="0"/>
    <n v="0"/>
    <n v="0"/>
    <n v="18.89"/>
    <s v="Reserva importada por HubTravel"/>
    <s v="Tarifa máxima não preenchida! (ACC01)"/>
    <x v="1"/>
    <x v="8"/>
    <s v="Falta de informação Gerencial"/>
    <x v="0"/>
    <s v="Qualidade dos dados"/>
    <s v="KONTIK BUSINESS TRAVEL"/>
    <x v="1"/>
  </r>
  <r>
    <n v="22860018"/>
    <n v="23640055"/>
    <s v="ACC01"/>
    <x v="505"/>
    <d v="2025-09-11T13:28:02"/>
    <x v="3"/>
    <x v="2"/>
    <s v="GZLNFC"/>
    <s v="SABRE"/>
    <s v="SEMEAO/JOAO OTTI"/>
    <s v="CT"/>
    <s v="CT"/>
    <d v="2025-09-02T17:20:00"/>
    <s v="GZLNFC"/>
    <s v="-"/>
    <s v="ON LINE"/>
    <s v="Cartão de crédito"/>
    <s v="Cartão AMEX"/>
    <x v="3"/>
    <s v="N"/>
    <x v="1"/>
    <s v="Robert Bosch Limitada - 9085"/>
    <s v="Cliente FEE no POS"/>
    <s v="Azul Linhas Aereas"/>
    <n v="7700076531"/>
    <x v="1"/>
    <s v="-"/>
    <x v="6"/>
    <n v="0"/>
    <n v="0"/>
    <n v="0"/>
    <n v="0"/>
    <n v="0"/>
    <n v="19.03"/>
    <s v="Reserva importada por HubTravel"/>
    <s v="Tarifa máxima não preenchida! (ACC01)"/>
    <x v="1"/>
    <x v="8"/>
    <s v="Falta de informação Gerencial"/>
    <x v="0"/>
    <s v="Qualidade dos dados"/>
    <s v="KONTIK BUSINESS TRAVEL"/>
    <x v="1"/>
  </r>
  <r>
    <n v="22905554"/>
    <n v="23679492"/>
    <s v="ACC01"/>
    <x v="506"/>
    <d v="2025-09-11T13:44:44"/>
    <x v="3"/>
    <x v="3"/>
    <s v="ISTIWA"/>
    <s v="SABRE"/>
    <s v="OLIVEIRA/ALINE ALVES DE"/>
    <s v="CT"/>
    <s v="CT"/>
    <d v="2025-07-14T17:51:00"/>
    <s v="HMQN2A"/>
    <s v="-"/>
    <s v="ON LINE"/>
    <s v="Cartão de crédito"/>
    <s v="Cartão AMEX"/>
    <x v="3"/>
    <s v="N"/>
    <x v="1"/>
    <s v="Ctp - Planta Curitiba"/>
    <s v="Cliente FEE no POS"/>
    <s v="Azul Linhas Aereas"/>
    <n v="3023447716"/>
    <x v="1"/>
    <s v="-"/>
    <x v="408"/>
    <n v="77.040000000000006"/>
    <n v="0"/>
    <n v="0"/>
    <n v="0"/>
    <n v="0"/>
    <n v="0"/>
    <s v="Reserva importada por HubTravel"/>
    <s v="Pnr já existente. A duplicidade de rloc é permitida apenas 6 meses após o último pnr emitido"/>
    <x v="1"/>
    <x v="4"/>
    <s v="Campo RLOC"/>
    <x v="1"/>
    <s v="Qualidade dos dados"/>
    <s v="GRUPO KONTIK"/>
    <x v="5"/>
  </r>
  <r>
    <n v="22905573"/>
    <n v="23679521"/>
    <s v="ACC01"/>
    <x v="507"/>
    <d v="2025-09-11T13:44:45"/>
    <x v="3"/>
    <x v="3"/>
    <s v="OXGKSW"/>
    <s v="SABRE"/>
    <s v="LICIOTI/MAURICIO DE SOUZA"/>
    <s v="CT"/>
    <s v="CT"/>
    <d v="2025-09-09T09:11:00"/>
    <s v="ZQG4RK"/>
    <s v="-"/>
    <s v="ON LINE"/>
    <s v="Cartão de crédito"/>
    <s v="Cartão AMEX"/>
    <x v="3"/>
    <s v="N"/>
    <x v="1"/>
    <s v="Bosch Solucoes Integradas Brasil Ltda"/>
    <s v="Cliente FEE no POS"/>
    <s v="Azul Linhas Aereas"/>
    <n v="7700076966"/>
    <x v="1"/>
    <s v="-"/>
    <x v="6"/>
    <n v="0"/>
    <n v="0"/>
    <n v="0"/>
    <n v="0"/>
    <n v="0"/>
    <n v="0"/>
    <s v="Reserva importada por HubTravel"/>
    <s v="Tarifa máxima não preenchida! (ACC01)"/>
    <x v="1"/>
    <x v="8"/>
    <s v="Falta de informação Gerencial"/>
    <x v="0"/>
    <s v="Qualidade dos dados"/>
    <s v="KONTIK BUSINESS TRAVEL"/>
    <x v="1"/>
  </r>
  <r>
    <n v="22913624"/>
    <n v="23686213"/>
    <s v="ACC01"/>
    <x v="508"/>
    <d v="2025-09-12T06:54:37"/>
    <x v="3"/>
    <x v="3"/>
    <s v="SATMBD"/>
    <s v="SABRE"/>
    <s v="AFONSO DE AZEVEDO/EVANDRO AFONSO"/>
    <s v="Marcelo Pereira de Melo"/>
    <s v="Marcelo Pereira de Melo"/>
    <d v="2025-09-10T10:54:00"/>
    <s v="BA10092025"/>
    <s v="-"/>
    <s v="OFF LINE"/>
    <s v="Cartão de crédito"/>
    <s v="Cartão AMEX"/>
    <x v="3"/>
    <s v="N"/>
    <x v="31"/>
    <s v="Suvinil"/>
    <s v="-"/>
    <s v="Azul Linhas Aereas"/>
    <n v="7700077102"/>
    <x v="25"/>
    <s v="-"/>
    <x v="409"/>
    <n v="93.5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2"/>
    <s v="Falta de informação Gerencial"/>
    <x v="0"/>
    <s v="Qualidade dos dados"/>
    <s v="KONTIK BUSINESS TRAVEL"/>
    <x v="2"/>
  </r>
  <r>
    <n v="22909646"/>
    <n v="23682890"/>
    <s v="ACC01"/>
    <x v="509"/>
    <d v="2025-09-12T05:52:55"/>
    <x v="3"/>
    <x v="3"/>
    <s v="EFDWLW"/>
    <s v="SABRE"/>
    <s v="ZAGATO SR/GABRIELA PESSOA"/>
    <s v="Nathalia dos Santos Batista"/>
    <s v="Nathalia dos Santos Batista"/>
    <d v="2025-09-11T13:31:00"/>
    <s v="UMBER-"/>
    <s v="-"/>
    <s v="OFF LINE"/>
    <s v="Cartão de crédito"/>
    <s v="Cartão de crédito"/>
    <x v="3"/>
    <s v="N"/>
    <x v="35"/>
    <s v="Nielseniq do Brasil"/>
    <s v="Cliente FEE no POS"/>
    <s v="Azul Linhas Aereas"/>
    <n v="7700077050"/>
    <x v="28"/>
    <s v="-"/>
    <x v="410"/>
    <n v="78.67"/>
    <n v="0"/>
    <n v="0"/>
    <n v="0"/>
    <n v="0"/>
    <n v="64.95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905638"/>
    <n v="23679589"/>
    <s v="ACC02"/>
    <x v="298"/>
    <d v="2025-09-10T22:53:07"/>
    <x v="3"/>
    <x v="3"/>
    <s v="HOOIKPT"/>
    <s v="SABRE"/>
    <s v="BARROS/NILSA"/>
    <s v="Ana Clara Brime"/>
    <s v="Ana Clara Brime"/>
    <d v="2025-09-05T14:17:00"/>
    <s v="LDM3"/>
    <s v="-"/>
    <s v="OFF LINE"/>
    <s v="Cartão de crédito"/>
    <s v="Cartão de crédito"/>
    <x v="0"/>
    <s v="N"/>
    <x v="51"/>
    <s v="Grupo Casas Bahia S.a."/>
    <s v="-"/>
    <s v="Hotel Tokyoin"/>
    <s v="-"/>
    <x v="38"/>
    <s v="-"/>
    <x v="411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33882"/>
    <n v="23618655"/>
    <s v="ACC02"/>
    <x v="354"/>
    <d v="2025-08-29T12:54:25"/>
    <x v="2"/>
    <x v="2"/>
    <s v="AIZPOZT"/>
    <s v="SABRE"/>
    <s v="BARROS/NILSA"/>
    <s v="Ana Clara Brime"/>
    <s v="Ana Clara Brime"/>
    <d v="2025-08-28T09:18:00"/>
    <s v="AIZPOZ"/>
    <s v="-"/>
    <s v="OFF LINE"/>
    <s v="Cartão de crédito"/>
    <s v="Cartão de crédito"/>
    <x v="0"/>
    <s v="N"/>
    <x v="51"/>
    <s v="Grupo Casas Bahia S.a."/>
    <s v="-"/>
    <s v="Hotel Tokyoin"/>
    <s v="-"/>
    <x v="38"/>
    <s v="-"/>
    <x v="411"/>
    <n v="0"/>
    <n v="0"/>
    <n v="0"/>
    <n v="0"/>
    <n v="0"/>
    <n v="0"/>
    <s v="Reserva importada por HubTravel"/>
    <s v="Fornecedor não preenchido! (ACC03)"/>
    <x v="1"/>
    <x v="0"/>
    <s v="Campo Fornecedor"/>
    <x v="0"/>
    <s v="Qualidade dos dados"/>
    <s v="KONTIK BUSINESS TRAVEL"/>
    <x v="1"/>
  </r>
  <r>
    <n v="22905482"/>
    <n v="23679423"/>
    <s v="ACC01"/>
    <x v="510"/>
    <d v="2025-09-11T13:47:30"/>
    <x v="3"/>
    <x v="3"/>
    <s v="YZGECUT"/>
    <s v="SABRE"/>
    <s v="DE LIMA/FELIPE AUGUSTO MR"/>
    <s v="Paulo Roberto Mendes da Silva"/>
    <s v="Paulo Roberto Mendes da Silva"/>
    <d v="2025-09-08T09:20:00"/>
    <s v="YZGECU"/>
    <s v="-"/>
    <s v="ON LINE"/>
    <s v="Invoice"/>
    <s v="Faturado"/>
    <x v="0"/>
    <s v="N"/>
    <x v="23"/>
    <s v="Honeywell"/>
    <s v="Cliente FEE no POS"/>
    <s v="Hotel Joacaba"/>
    <s v="-"/>
    <x v="18"/>
    <s v="-"/>
    <x v="177"/>
    <n v="0"/>
    <n v="0"/>
    <n v="0"/>
    <n v="0"/>
    <n v="0"/>
    <n v="0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793818"/>
    <n v="23584618"/>
    <s v="ACC01"/>
    <x v="511"/>
    <d v="2025-09-11T13:36:14"/>
    <x v="3"/>
    <x v="4"/>
    <s v="CHCYXJT"/>
    <s v="SABRE"/>
    <s v="QUAIATO/DAVI EDVALDO"/>
    <s v="WS"/>
    <s v="WS"/>
    <d v="2025-08-21T20:56:00"/>
    <s v="CHCYXJ"/>
    <s v="-"/>
    <s v="ON LINE"/>
    <s v="Cartão de crédito"/>
    <s v="Cartão de crédito"/>
    <x v="0"/>
    <s v="N"/>
    <x v="63"/>
    <s v="Glory"/>
    <s v="-"/>
    <s v="Fiesta Inn Insurgts Sur"/>
    <s v="-"/>
    <x v="15"/>
    <s v="-"/>
    <x v="412"/>
    <n v="211.96"/>
    <n v="0"/>
    <n v="0"/>
    <n v="0"/>
    <n v="0"/>
    <n v="0"/>
    <s v="Reserva importada por HubTravel"/>
    <s v="Matrícula não preenchida! (ACC01)"/>
    <x v="1"/>
    <x v="15"/>
    <s v="Falta de informação Gerencial"/>
    <x v="0"/>
    <s v="Qualidade dos dados"/>
    <s v="KONTIK BUSINESS TRAVEL"/>
    <x v="1"/>
  </r>
  <r>
    <n v="22889075"/>
    <n v="23664565"/>
    <s v="ACC01"/>
    <x v="512"/>
    <d v="2025-09-11T13:28:08"/>
    <x v="3"/>
    <x v="0"/>
    <s v="DIGGYU"/>
    <s v="SABRE"/>
    <s v="MENDONCA DE BARROS/FERNANDO JOSE"/>
    <s v="Wellington Ribeiro da Silva"/>
    <s v="Renata Rosenthal dos Santos"/>
    <d v="2025-09-01T15:16:00"/>
    <s v="DIGGYU"/>
    <s v="-"/>
    <s v="ON LINE"/>
    <s v="Cartão de crédito"/>
    <s v="Cartão de crédito"/>
    <x v="3"/>
    <s v="N"/>
    <x v="30"/>
    <s v="I - Systems"/>
    <s v="-"/>
    <s v="Tap Air Portugal"/>
    <n v="2952935706"/>
    <x v="15"/>
    <s v="-"/>
    <x v="413"/>
    <n v="59.54"/>
    <n v="899.24"/>
    <n v="0"/>
    <n v="0"/>
    <n v="0"/>
    <n v="0"/>
    <s v="Reserva importada por HubTravel"/>
    <s v="Empenho/departamento não preenchido! (ACC02) Matrícula não preenchi"/>
    <x v="1"/>
    <x v="13"/>
    <s v="Falta de informação Gerencial"/>
    <x v="0"/>
    <s v="Qualidade dos dados"/>
    <s v="GRUPO KONTIK"/>
    <x v="4"/>
  </r>
  <r>
    <n v="22889075"/>
    <n v="23665224"/>
    <s v="ACC02"/>
    <x v="512"/>
    <d v="2025-09-11T13:28:08"/>
    <x v="3"/>
    <x v="0"/>
    <s v="DIGGYU"/>
    <s v="SABRE"/>
    <s v="MENDONCA DE BARROS/FERNANDO J"/>
    <s v="Wellington Ribeiro da Silva"/>
    <s v="Renata Rosenthal dos Santos"/>
    <d v="2025-09-01T15:16:00"/>
    <s v="DIGGYU"/>
    <s v="-"/>
    <s v="ON LINE"/>
    <s v="Invoice"/>
    <s v="Faturado"/>
    <x v="3"/>
    <s v="N"/>
    <x v="30"/>
    <s v="I - Systems"/>
    <s v="-"/>
    <s v="Tap Air Portugal"/>
    <n v="2952935706"/>
    <x v="15"/>
    <s v="-"/>
    <x v="414"/>
    <n v="0"/>
    <n v="818.36"/>
    <n v="0"/>
    <n v="59.54"/>
    <n v="0"/>
    <n v="0"/>
    <s v="Reserva importada por HubTravel"/>
    <s v="Empenho/departamento não preenchido! (ACC02) Matrícula não preenchi"/>
    <x v="1"/>
    <x v="13"/>
    <s v="Falta de informação Gerencial"/>
    <x v="0"/>
    <s v="Qualidade dos dados"/>
    <s v="GRUPO KONTIK"/>
    <x v="4"/>
  </r>
  <r>
    <n v="22889118"/>
    <n v="23664611"/>
    <s v="ACC01"/>
    <x v="513"/>
    <d v="2025-09-11T13:28:08"/>
    <x v="3"/>
    <x v="0"/>
    <s v="DMCHDL"/>
    <s v="SABRE"/>
    <s v="SANTOS/EVAIR SOARES DOS"/>
    <s v="Flavia Constanzi do Nascimento"/>
    <s v="WY"/>
    <d v="2025-09-02T08:41:00"/>
    <s v="DMCHDL"/>
    <s v="-"/>
    <s v="ON LINE"/>
    <s v="Invoice"/>
    <s v="Faturado"/>
    <x v="3"/>
    <s v="N"/>
    <x v="69"/>
    <s v="Syntegon Tecnologia de Embalagem Limitada"/>
    <s v="-"/>
    <s v="Alitalia"/>
    <n v="2952935708"/>
    <x v="20"/>
    <s v="-"/>
    <x v="415"/>
    <n v="59.54"/>
    <n v="178.76"/>
    <n v="0"/>
    <n v="59.54"/>
    <n v="0"/>
    <n v="0"/>
    <s v="Reserva importada por HubTravel"/>
    <s v="Empenho/departamento não preenchido! (ACC01) Matrícula não preenchida! (ACC01) Canal de venda não preenchido! (ACC01) Finalidade não "/>
    <x v="1"/>
    <x v="2"/>
    <s v="Falta de informação Gerencial"/>
    <x v="0"/>
    <s v="Qualidade dos dados"/>
    <s v="GRUPO KONTIK"/>
    <x v="4"/>
  </r>
  <r>
    <n v="22905519"/>
    <n v="23679457"/>
    <s v="ACC01"/>
    <x v="514"/>
    <d v="2025-09-11T13:48:05"/>
    <x v="3"/>
    <x v="3"/>
    <s v="WKHQLXT"/>
    <s v="SABRE"/>
    <s v="DE ALMEIDA BELTRAO/RAPHAEL MARQUES BATISTA"/>
    <s v="Paulo Roberto Mendes da Silva"/>
    <s v="Paulo Roberto Mendes da Silva"/>
    <d v="2025-09-09T17:00:00"/>
    <s v="WKHQLX"/>
    <s v="-"/>
    <s v="ON LINE"/>
    <s v="Invoice"/>
    <s v="Faturado"/>
    <x v="0"/>
    <s v="N"/>
    <x v="23"/>
    <s v="Honeywell"/>
    <s v="Cliente FEE no POS"/>
    <s v="Blue Tree Premium Morumbi"/>
    <s v="-"/>
    <x v="18"/>
    <s v="-"/>
    <x v="416"/>
    <n v="0"/>
    <n v="0"/>
    <n v="0"/>
    <n v="0"/>
    <n v="0"/>
    <n v="0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912002"/>
    <n v="23685092"/>
    <s v="ACC01"/>
    <x v="515"/>
    <d v="2025-09-12T05:20:26"/>
    <x v="3"/>
    <x v="3"/>
    <s v="YKMZCBT"/>
    <s v="SABRE"/>
    <s v="VASCONCELLOS/ROBERTO GOZ"/>
    <s v="Paulo Roberto Mendes da Silva"/>
    <s v="Paulo Roberto Mendes da Silva"/>
    <d v="2025-09-11T16:17:00"/>
    <s v="YKMZCB"/>
    <s v="-"/>
    <s v="ON LINE"/>
    <s v="Cartão de crédito"/>
    <s v="Cartão de crédito"/>
    <x v="0"/>
    <s v="N"/>
    <x v="23"/>
    <s v="Honeywell"/>
    <s v="Cliente FEE no POS"/>
    <s v="Novotel Rio de Janeiro Parque Olimpico"/>
    <s v="-"/>
    <x v="18"/>
    <s v="-"/>
    <x v="417"/>
    <n v="20.3"/>
    <n v="0"/>
    <n v="0"/>
    <n v="0"/>
    <n v="0"/>
    <n v="13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834448"/>
    <n v="23619168"/>
    <s v="ACC01"/>
    <x v="516"/>
    <d v="2025-09-03T14:05:16"/>
    <x v="2"/>
    <x v="2"/>
    <s v="4YGQ3J-F"/>
    <s v="MANUAL"/>
    <s v="IVAN TOLDO"/>
    <s v="Tms"/>
    <s v="Demetrius Pepe Miguel"/>
    <d v="2025-08-28T13:06:00"/>
    <n v="3972"/>
    <s v="Campinas / CPQ"/>
    <s v="OFF LINE"/>
    <s v="Invoice"/>
    <s v="Faturado"/>
    <x v="1"/>
    <s v="S"/>
    <x v="4"/>
    <s v="Braskem - Camacari"/>
    <s v="-"/>
    <s v="Movida - Br - Sp - Campinas - Parque Viracopos"/>
    <s v="-"/>
    <x v="4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x v="5"/>
    <x v="14"/>
    <s v="Mais de um campo não preenchido"/>
    <x v="0"/>
    <s v="Sistêmico"/>
    <s v="KONTIK BUSINESS TRAVEL"/>
    <x v="1"/>
  </r>
  <r>
    <n v="22826117"/>
    <n v="23611361"/>
    <s v="ACC01"/>
    <x v="517"/>
    <d v="2025-09-03T13:45:44"/>
    <x v="2"/>
    <x v="2"/>
    <s v="4YGQ3J-F1"/>
    <s v="MANUAL"/>
    <s v="IVAN TOLDO"/>
    <s v="Tms"/>
    <s v="Tms"/>
    <d v="2025-08-27T13:06:00"/>
    <n v="3972"/>
    <s v="Campinas / CPQ"/>
    <s v="OFF LINE"/>
    <s v="Invoice"/>
    <s v="Faturado"/>
    <x v="1"/>
    <s v="N"/>
    <x v="4"/>
    <s v="Braskem - Camacari"/>
    <s v="-"/>
    <s v="Movida - Br - Sp - Campinas - Parque Viracopos"/>
    <s v="-"/>
    <x v="4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x v="5"/>
    <x v="14"/>
    <s v="Mais de um campo não preenchido"/>
    <x v="0"/>
    <s v="Sistêmico"/>
    <s v="KONTIK BUSINESS TRAVEL"/>
    <x v="1"/>
  </r>
  <r>
    <n v="22911994"/>
    <n v="23685081"/>
    <s v="ACC01"/>
    <x v="518"/>
    <d v="2025-09-11T21:45:39"/>
    <x v="3"/>
    <x v="3"/>
    <s v="JCFRXLT"/>
    <s v="SABRE"/>
    <s v="GAUTHIER/FREDERIC"/>
    <s v="Poliana Cardoso da Silva"/>
    <s v="Poliana Cardoso da Silva"/>
    <d v="2025-09-10T13:12:00"/>
    <s v="JCFRXL"/>
    <s v="-"/>
    <s v="ON LINE"/>
    <s v="Cartão de crédito"/>
    <s v="Cartão de crédito"/>
    <x v="0"/>
    <s v="N"/>
    <x v="51"/>
    <s v="Grupo Casas Bahia S.a."/>
    <s v="-"/>
    <s v="Grand Mercure Rio de Janeiro Copacabana"/>
    <s v="-"/>
    <x v="38"/>
    <s v="-"/>
    <x v="419"/>
    <n v="101.5"/>
    <n v="0"/>
    <n v="0"/>
    <n v="0"/>
    <n v="0"/>
    <n v="0"/>
    <s v="Reserva importada por HubTravel"/>
    <s v="Centro de custo não preenchido! (ACC01) Empenho/departamento não preenchido! (ACC01) Matrícula não preenchida! (ACC01)"/>
    <x v="1"/>
    <x v="2"/>
    <s v="Falta de informação Gerencial"/>
    <x v="0"/>
    <s v="Qualidade dos dados"/>
    <s v="KONTIK BUSINESS TRAVEL"/>
    <x v="3"/>
  </r>
  <r>
    <n v="22902605"/>
    <n v="23676677"/>
    <s v="ACC01"/>
    <x v="519"/>
    <d v="2025-09-11T04:02:00"/>
    <x v="3"/>
    <x v="3"/>
    <s v="H4595529"/>
    <s v="GOVER"/>
    <s v="LEONARDO  DE SOUZA BOREGIO"/>
    <s v="Ingrid Vianna Vargas de Oliveira"/>
    <s v="Ingrid Vianna Vargas de Oliveira"/>
    <d v="2025-09-10T14:41:00"/>
    <n v="4595529"/>
    <s v="-"/>
    <s v="OFF LINE"/>
    <s v="Invoice"/>
    <s v="Cartão de crédito"/>
    <x v="0"/>
    <s v="N"/>
    <x v="48"/>
    <s v="Souza Cruz"/>
    <s v="-"/>
    <s v="Hotel Napoli"/>
    <s v="-"/>
    <x v="37"/>
    <s v="-"/>
    <x v="420"/>
    <n v="0"/>
    <n v="0"/>
    <n v="0"/>
    <n v="0"/>
    <n v="0"/>
    <n v="0"/>
    <s v="Reserva importada do sistema Gover. Id: 4595529"/>
    <s v=" Módulo Operações    -&gt; Configurações      -&gt; Configurações do sistema turismo        -&gt; Importação das vendas          -&gt; Entradas/Saídas  Para o "/>
    <x v="0"/>
    <x v="11"/>
    <s v="Forma PG. e REC."/>
    <x v="0"/>
    <s v="Qualidade dos dados"/>
    <s v="KONTIK BUSINESS TRAVEL"/>
    <x v="2"/>
  </r>
  <r>
    <n v="22829835"/>
    <n v="23615261"/>
    <s v="ACC01"/>
    <x v="520"/>
    <d v="2025-08-28T19:01:20"/>
    <x v="2"/>
    <x v="2"/>
    <n v="5007631"/>
    <s v="GOVER"/>
    <s v="Felipe Furini Soares"/>
    <s v="Marcos de Oliveira Miklos"/>
    <s v="Marcos de Oliveira Miklos"/>
    <d v="2025-08-28T00:00:00"/>
    <n v="4589678"/>
    <s v="-"/>
    <s v="OFF LINE"/>
    <s v="Invoice"/>
    <s v="Faturado"/>
    <x v="0"/>
    <s v="N"/>
    <x v="2"/>
    <s v="Iic - Instituto Intercement"/>
    <s v="-"/>
    <s v="Hotel Pousada Mahon Mar"/>
    <s v="-"/>
    <x v="2"/>
    <s v="-"/>
    <x v="421"/>
    <n v="0"/>
    <n v="0"/>
    <n v="0"/>
    <n v="0"/>
    <n v="0"/>
    <n v="0"/>
    <s v="Reserva importada do sistema Gover. Id: 4589678"/>
    <s v="Não foi possível encontrar um contrato válido para o fornecedor 46955 (Código fornecedor) "/>
    <x v="0"/>
    <x v="9"/>
    <s v="Análise Cadastro"/>
    <x v="0"/>
    <s v="Qualidade dos dados"/>
    <s v="KONTIK BUSINESS TRAVEL"/>
    <x v="1"/>
  </r>
  <r>
    <n v="22905638"/>
    <n v="23679590"/>
    <s v="ACC03"/>
    <x v="298"/>
    <d v="2025-09-10T22:53:07"/>
    <x v="3"/>
    <x v="3"/>
    <s v="HOOIKPT"/>
    <s v="SABRE"/>
    <s v="BARROS/NILSA"/>
    <s v="Ana Clara Brime"/>
    <s v="Ana Clara Brime"/>
    <d v="2025-09-05T14:17:00"/>
    <s v="LDM3"/>
    <s v="-"/>
    <s v="OFF LINE"/>
    <s v="Cartão de crédito"/>
    <s v="Cartão de crédito"/>
    <x v="0"/>
    <s v="N"/>
    <x v="51"/>
    <s v="Grupo Casas Bahia S.a."/>
    <s v="-"/>
    <s v="Emmis Park Hotel"/>
    <s v="-"/>
    <x v="38"/>
    <s v="-"/>
    <x v="422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76719"/>
    <n v="23655327"/>
    <s v="ACC01"/>
    <x v="521"/>
    <d v="2025-09-05T18:07:01"/>
    <x v="1"/>
    <x v="1"/>
    <s v="5J03VN"/>
    <s v="LEMONTECH"/>
    <s v="BARBOSA/KARLA"/>
    <s v="Danilo dos Santos Alves Cardoso"/>
    <s v="Danilo dos Santos Alves Cardoso"/>
    <d v="2025-09-05T00:00:00"/>
    <n v="17474494"/>
    <s v="-"/>
    <s v="ON LINE"/>
    <s v="Invoice"/>
    <s v="Faturado"/>
    <x v="0"/>
    <s v="N"/>
    <x v="64"/>
    <s v="Benner Sistemas - Blumenau"/>
    <s v="-"/>
    <s v="55/rio Hotel"/>
    <s v="-"/>
    <x v="55"/>
    <s v="-"/>
    <x v="423"/>
    <n v="0"/>
    <n v="0"/>
    <n v="0"/>
    <n v="0"/>
    <n v="0"/>
    <n v="0"/>
    <s v="Reserva importada do Sistema Lemontech. Solicitação: 17474494"/>
    <s v="Empenho/departamento não preenchido! (ACC01)"/>
    <x v="3"/>
    <x v="13"/>
    <s v="Falta de informação Gerencial"/>
    <x v="0"/>
    <s v="Qualidade dos dados"/>
    <s v="KONTIK BUSINESS TRAVEL"/>
    <x v="3"/>
  </r>
  <r>
    <n v="22833314"/>
    <n v="23618084"/>
    <s v="ACC01"/>
    <x v="522"/>
    <d v="2025-08-29T12:55:11"/>
    <x v="2"/>
    <x v="2"/>
    <n v="19779693"/>
    <s v="GOVER"/>
    <s v="ALINE OLIVEIRA DA ROCHA"/>
    <s v="Gover"/>
    <s v="Gover"/>
    <d v="2025-08-29T11:44:00"/>
    <n v="4590013"/>
    <s v="-"/>
    <s v="ON LINE"/>
    <s v="Pagamento direto"/>
    <s v="Pagamento direto"/>
    <x v="0"/>
    <s v="N"/>
    <x v="74"/>
    <s v="Rps"/>
    <s v="Cliente FEE no POS"/>
    <s v="Hyatt Place Sao Jose do Rio Preto"/>
    <s v="-"/>
    <x v="56"/>
    <s v="-"/>
    <x v="424"/>
    <n v="32.4"/>
    <n v="0"/>
    <n v="0"/>
    <n v="0"/>
    <n v="0"/>
    <n v="0"/>
    <s v="Reserva importada do sistema Gover. Id: 4590013"/>
    <s v="Este cliente não possui permissão para usar este tipo de pagamento e recebimento para este produto."/>
    <x v="0"/>
    <x v="1"/>
    <s v="Forma PG. e REC."/>
    <x v="0"/>
    <s v="Sistêmico"/>
    <s v="GRUPO KONTIK"/>
    <x v="0"/>
  </r>
  <r>
    <n v="22847886"/>
    <n v="23629437"/>
    <s v="ACC01"/>
    <x v="523"/>
    <d v="2025-09-02T19:40:47"/>
    <x v="2"/>
    <x v="2"/>
    <s v="5J5LIA"/>
    <s v="TMS"/>
    <s v="ALOISIO AZEVEDO"/>
    <s v="Bruna Carlos da Silva"/>
    <s v="Bruna Carlos da Silva"/>
    <d v="2025-09-01T12:16:00"/>
    <n v="11375"/>
    <s v="Houston / TX, Estados Unidos - Aeroporto Internacional George Bush (IAH)"/>
    <s v="OFF LINE"/>
    <s v="Invoice"/>
    <s v="Faturado"/>
    <x v="1"/>
    <s v="N"/>
    <x v="4"/>
    <s v="Braskem - Camacari"/>
    <s v="-"/>
    <s v="Alamo - Eua - Ex - Texas - Ex"/>
    <s v="-"/>
    <x v="4"/>
    <s v="-"/>
    <x v="425"/>
    <n v="0"/>
    <n v="0"/>
    <n v="0"/>
    <n v="0"/>
    <n v="0"/>
    <n v="0"/>
    <s v="Reserva importada do Sistema TMS. OS: 11375"/>
    <s v="23Ocorreu o erro 'The INSERT statement conflicted with the FOREIGN KEY constraint &quot;FK_1416_10421&quot;. The conflict occurred in database &quot;Corporativo&quot;, "/>
    <x v="2"/>
    <x v="14"/>
    <s v="Mais de um campo não preenchido"/>
    <x v="0"/>
    <s v="Sistêmico"/>
    <s v="KONTIK BUSINESS TRAVEL"/>
    <x v="1"/>
  </r>
  <r>
    <n v="22815024"/>
    <n v="23601789"/>
    <s v="ACC01"/>
    <x v="302"/>
    <d v="2025-08-26T16:39:41"/>
    <x v="4"/>
    <x v="4"/>
    <s v="SHBZUTT"/>
    <s v="SABRE"/>
    <s v="PEREIRA/JOSE"/>
    <s v="Ana Clara Brime"/>
    <s v="Ana Clara Brime"/>
    <d v="2025-08-26T14:24:00"/>
    <s v="SHBZUT"/>
    <s v="-"/>
    <s v="OFF LINE"/>
    <s v="Cartão de crédito"/>
    <s v="Cartão de crédito"/>
    <x v="0"/>
    <s v="N"/>
    <x v="51"/>
    <s v="Grupo Casas Bahia S.a."/>
    <s v="-"/>
    <s v="Ibis Natal"/>
    <s v="-"/>
    <x v="38"/>
    <s v="-"/>
    <x v="426"/>
    <n v="0"/>
    <n v="0"/>
    <n v="0"/>
    <n v="0"/>
    <n v="0"/>
    <n v="0"/>
    <s v="Reserva importada por HubTravel"/>
    <s v="Fornecedor não preenchido! (ACC02)"/>
    <x v="1"/>
    <x v="0"/>
    <s v="Campo Fornecedor"/>
    <x v="0"/>
    <s v="Qualidade dos dados"/>
    <s v="KONTIK BUSINESS TRAVEL"/>
    <x v="1"/>
  </r>
  <r>
    <n v="22905638"/>
    <n v="23679591"/>
    <s v="ACC04"/>
    <x v="298"/>
    <d v="2025-09-10T22:53:07"/>
    <x v="3"/>
    <x v="3"/>
    <s v="HOOIKPT"/>
    <s v="SABRE"/>
    <s v="BARROS/NILSA"/>
    <s v="Ana Clara Brime"/>
    <s v="Ana Clara Brime"/>
    <d v="2025-09-05T14:17:00"/>
    <s v="LDM3"/>
    <s v="-"/>
    <s v="OFF LINE"/>
    <s v="Cartão de crédito"/>
    <s v="Cartão de crédito"/>
    <x v="0"/>
    <s v="N"/>
    <x v="51"/>
    <s v="Grupo Casas Bahia S.a."/>
    <s v="-"/>
    <s v="Cast Comfort Hotel"/>
    <s v="-"/>
    <x v="38"/>
    <s v="-"/>
    <x v="276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99370"/>
    <n v="23674036"/>
    <s v="ACC01"/>
    <x v="524"/>
    <d v="2025-09-11T14:22:50"/>
    <x v="3"/>
    <x v="3"/>
    <s v="5K2ZD4"/>
    <s v="TMS"/>
    <s v="JOEL CANDIDO BORGES"/>
    <s v="Marcia Fernandes de Sousa"/>
    <s v="Marcia Fernandes de Sousa"/>
    <d v="2025-09-09T20:02:00"/>
    <n v="23923"/>
    <s v="-"/>
    <s v="OFF LINE"/>
    <s v="Invoice"/>
    <s v="Faturado"/>
    <x v="2"/>
    <s v="N"/>
    <x v="42"/>
    <s v="Tsn - Transmissora Sudeste Nordeste"/>
    <s v="-"/>
    <s v="Itamarati Hotel"/>
    <s v="-"/>
    <x v="34"/>
    <s v="-"/>
    <x v="427"/>
    <n v="0"/>
    <n v="0"/>
    <n v="0"/>
    <n v="0"/>
    <n v="0"/>
    <n v="0"/>
    <s v="Reserva importada do Sistema TMS. OS: 23923"/>
    <s v="Não foi possível encontrar um contrato válido para o fornecedor 67595 (Código fornecedor) "/>
    <x v="2"/>
    <x v="9"/>
    <s v="Análise Cadastro"/>
    <x v="0"/>
    <s v="Qualidade dos dados"/>
    <s v="KONTIK BUSINESS TRAVEL"/>
    <x v="1"/>
  </r>
  <r>
    <n v="22913667"/>
    <n v="23686259"/>
    <s v="ACC01"/>
    <x v="525"/>
    <d v="2025-09-12T06:56:43"/>
    <x v="3"/>
    <x v="3"/>
    <s v="IBUDQNC"/>
    <s v="SABRE"/>
    <s v="DRIGO/MARCELO AUGUSTO DE OLIVEIRA MR"/>
    <s v="Marcelo Pereira de Melo"/>
    <s v="Marcelo Pereira de Melo"/>
    <d v="2025-09-11T09:23:00"/>
    <s v="N"/>
    <s v="SAO"/>
    <s v="OFF LINE"/>
    <s v="Invoice"/>
    <s v="Faturado"/>
    <x v="1"/>
    <s v="N"/>
    <x v="31"/>
    <s v="Basf Sa"/>
    <s v="-"/>
    <s v="Movida - Br - Sp - Sao Bernardo do Campo - Centro"/>
    <s v="-"/>
    <x v="25"/>
    <s v="-"/>
    <x v="428"/>
    <n v="430.82"/>
    <n v="0"/>
    <n v="0"/>
    <n v="0"/>
    <n v="0"/>
    <n v="0"/>
    <s v="Reserva importada por HubTravel"/>
    <s v="Informação de controle não preenchida! (ACC01)"/>
    <x v="1"/>
    <x v="16"/>
    <s v="Falta de informação Gerencial"/>
    <x v="0"/>
    <s v="Qualidade dos dados"/>
    <s v="KONTIK BUSINESS TRAVEL"/>
    <x v="2"/>
  </r>
  <r>
    <n v="22860126"/>
    <n v="23640147"/>
    <s v="ACC01"/>
    <x v="526"/>
    <d v="2025-09-03T10:45:26"/>
    <x v="2"/>
    <x v="2"/>
    <n v="19839915"/>
    <s v="GOVER"/>
    <s v="ELLIZIANE PAULA DE OLIVEIRA"/>
    <s v="Gover"/>
    <s v="Gover"/>
    <d v="2025-09-03T10:04:00"/>
    <n v="4591932"/>
    <s v="-"/>
    <s v="ON LINE"/>
    <s v="Pagamento direto"/>
    <s v="Pagamento direto"/>
    <x v="0"/>
    <s v="N"/>
    <x v="74"/>
    <s v="Rps"/>
    <s v="Cliente FEE no POS"/>
    <s v="Barretos Park Hotel"/>
    <s v="-"/>
    <x v="56"/>
    <s v="-"/>
    <x v="429"/>
    <n v="0"/>
    <n v="0"/>
    <n v="0"/>
    <n v="0"/>
    <n v="0"/>
    <n v="0"/>
    <s v="Reserva importada do sistema Gover. Id: 4591932"/>
    <s v="Este cliente não possui permissão para usar este tipo de pagamento e recebimento para este produto."/>
    <x v="0"/>
    <x v="1"/>
    <s v="Forma PG. e REC."/>
    <x v="0"/>
    <s v="Sistêmico"/>
    <s v="GRUPO KONTIK"/>
    <x v="0"/>
  </r>
  <r>
    <n v="22910035"/>
    <n v="23683243"/>
    <s v="ACC01"/>
    <x v="527"/>
    <d v="2025-09-11T18:05:32"/>
    <x v="3"/>
    <x v="3"/>
    <s v="AV1BV544OBA"/>
    <s v="GOVER"/>
    <s v="ANA CAROLINA MELLO MENDES"/>
    <s v="Valeria Domingues Cavalcante"/>
    <s v="Valeria Domingues Cavalcante"/>
    <d v="2025-09-11T17:03:00"/>
    <n v="4596380"/>
    <s v="Localiza - Br - Mg - Uberlandia - Tibery Endereço: Avenida Rondon Pacheco, 4900 4900 Tibery"/>
    <s v="OFF LINE"/>
    <s v="Invoice"/>
    <s v="Faturado"/>
    <x v="1"/>
    <s v="N"/>
    <x v="56"/>
    <s v="Bosch Concierge"/>
    <s v="-"/>
    <s v="Localiza - Br - Mg - Uberlandia - Tibery - Inativo"/>
    <s v="-"/>
    <x v="1"/>
    <s v="-"/>
    <x v="430"/>
    <n v="0"/>
    <n v="0"/>
    <n v="0"/>
    <n v="0"/>
    <n v="0"/>
    <n v="0"/>
    <s v="Reserva importada do sistema Gover. Id: 4596380"/>
    <s v="Não foi possível encontrar um contrato válido para o fornecedor 70672 (Código fornecedor) "/>
    <x v="0"/>
    <x v="9"/>
    <s v="Análise Cadastro"/>
    <x v="0"/>
    <s v="Qualidade dos dados"/>
    <s v="KONTIK BUSINESS TRAVEL"/>
    <x v="1"/>
  </r>
  <r>
    <n v="22834460"/>
    <n v="23619182"/>
    <s v="ACC01"/>
    <x v="528"/>
    <d v="2025-08-29T15:10:19"/>
    <x v="2"/>
    <x v="2"/>
    <s v="4YGQ3J-F"/>
    <s v="MANUAL"/>
    <s v="IVAN TOLDO"/>
    <s v="Tms"/>
    <s v="Demetrius Pepe Miguel"/>
    <d v="2025-08-28T13:06:00"/>
    <n v="3972"/>
    <s v="Campinas / CPQ"/>
    <s v="OFF LINE"/>
    <s v="Invoice"/>
    <s v="Faturado"/>
    <x v="1"/>
    <s v="S"/>
    <x v="4"/>
    <s v="Braskem - Camacari"/>
    <s v="-"/>
    <s v="Movida - Br - Sp - Sao Paulo - Itaim Bibi"/>
    <s v="-"/>
    <x v="4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x v="5"/>
    <x v="14"/>
    <s v="Mais de um campo não preenchido"/>
    <x v="0"/>
    <s v="Sistêmico"/>
    <s v="KONTIK BUSINESS TRAVEL"/>
    <x v="1"/>
  </r>
  <r>
    <n v="22835394"/>
    <n v="23620092"/>
    <s v="ACC01"/>
    <x v="529"/>
    <d v="2025-09-10T17:32:04"/>
    <x v="3"/>
    <x v="2"/>
    <s v="4YGQ3J-F"/>
    <s v="MANUAL"/>
    <s v="IVAN TOLDO"/>
    <s v="Tms"/>
    <s v="Demetrius Pepe Miguel"/>
    <d v="2025-08-28T13:06:00"/>
    <n v="3972"/>
    <s v="Campinas / CPQ"/>
    <s v="OFF LINE"/>
    <s v="Invoice"/>
    <s v="Faturado"/>
    <x v="1"/>
    <s v="S"/>
    <x v="4"/>
    <s v="Braskem - Camacari"/>
    <s v="-"/>
    <s v="Movida - Br - Sp - Sao Paulo - Itaim Bibi"/>
    <s v="-"/>
    <x v="4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x v="5"/>
    <x v="14"/>
    <s v="Mais de um campo não preenchido"/>
    <x v="0"/>
    <s v="Sistêmico"/>
    <s v="KONTIK BUSINESS TRAVEL"/>
    <x v="1"/>
  </r>
  <r>
    <n v="22910159"/>
    <n v="23683369"/>
    <s v="ACC01"/>
    <x v="530"/>
    <d v="2025-09-11T17:45:00"/>
    <x v="3"/>
    <x v="3"/>
    <s v="4YGQ3J-F1"/>
    <s v="MANUAL"/>
    <s v="IVAN TOLDO"/>
    <s v="Tms"/>
    <s v="Tms"/>
    <d v="2025-09-09T13:06:00"/>
    <n v="3972"/>
    <s v="Campinas / CPQ"/>
    <s v="OFF LINE"/>
    <s v="Invoice"/>
    <s v="Faturado"/>
    <x v="1"/>
    <s v="N"/>
    <x v="4"/>
    <s v="Braskem - Camacari"/>
    <s v="-"/>
    <s v="Movida - Br - Sp - Sao Paulo - Itaim Bibi"/>
    <s v="-"/>
    <x v="4"/>
    <s v="-"/>
    <x v="418"/>
    <n v="0"/>
    <n v="0"/>
    <n v="0"/>
    <n v="0"/>
    <n v="0"/>
    <n v="0"/>
    <s v="Reserva importada do Sistema TMS. OS: 3972"/>
    <s v="23Ocorreu o erro 'The INSERT statement conflicted with the FOREIGN KEY constraint &quot;FK_1416_10421&quot;. The conflict occurred in database &quot;Corporativo&quot;, "/>
    <x v="5"/>
    <x v="14"/>
    <s v="Mais de um campo não preenchido"/>
    <x v="0"/>
    <s v="Sistêmico"/>
    <s v="KONTIK BUSINESS TRAVEL"/>
    <x v="1"/>
  </r>
  <r>
    <n v="22833316"/>
    <n v="23618085"/>
    <s v="ACC01"/>
    <x v="531"/>
    <d v="2025-08-29T12:55:11"/>
    <x v="2"/>
    <x v="2"/>
    <n v="19779807"/>
    <s v="GOVER"/>
    <s v="ALINE OLIVEIRA DA ROCHA"/>
    <s v="Gover"/>
    <s v="Gover"/>
    <d v="2025-08-29T11:49:00"/>
    <n v="4590020"/>
    <s v="-"/>
    <s v="ON LINE"/>
    <s v="Pagamento direto"/>
    <s v="Pagamento direto"/>
    <x v="0"/>
    <s v="N"/>
    <x v="74"/>
    <s v="Rps"/>
    <s v="Cliente FEE no POS"/>
    <s v="Hilton Garden Inn Sao Jose do Rio Preto"/>
    <s v="-"/>
    <x v="56"/>
    <s v="-"/>
    <x v="69"/>
    <n v="12.24"/>
    <n v="0"/>
    <n v="0"/>
    <n v="0"/>
    <n v="0"/>
    <n v="0"/>
    <s v="Reserva importada do sistema Gover. Id: 4590020"/>
    <s v="Este cliente não possui permissão para usar este tipo de pagamento e recebimento para este produto."/>
    <x v="0"/>
    <x v="1"/>
    <s v="Forma PG. e REC."/>
    <x v="0"/>
    <s v="Sistêmico"/>
    <s v="GRUPO KONTIK"/>
    <x v="0"/>
  </r>
  <r>
    <n v="22894440"/>
    <n v="23669359"/>
    <s v="ACC01"/>
    <x v="532"/>
    <d v="2025-09-09T10:45:24"/>
    <x v="0"/>
    <x v="0"/>
    <n v="19916771"/>
    <s v="GOVER"/>
    <s v="ALINE OLIVEIRA DA ROCHA"/>
    <s v="Gover"/>
    <s v="Gover"/>
    <d v="2025-09-09T09:45:00"/>
    <n v="4594646"/>
    <s v="-"/>
    <s v="ON LINE"/>
    <s v="Pagamento direto"/>
    <s v="Pagamento direto"/>
    <x v="0"/>
    <s v="N"/>
    <x v="74"/>
    <s v="Rps"/>
    <s v="Cliente FEE no POS"/>
    <s v="Hilton Garden Inn Sao Jose do Rio Preto"/>
    <s v="-"/>
    <x v="56"/>
    <s v="-"/>
    <x v="431"/>
    <n v="12.51"/>
    <n v="0"/>
    <n v="0"/>
    <n v="0"/>
    <n v="0"/>
    <n v="0"/>
    <s v="Reserva importada do sistema Gover. Id: 4594646"/>
    <s v="Este cliente não possui permissão para usar este tipo de pagamento e recebimento para este produto."/>
    <x v="0"/>
    <x v="1"/>
    <s v="Forma PG. e REC."/>
    <x v="0"/>
    <s v="Sistêmico"/>
    <s v="GRUPO KONTIK"/>
    <x v="0"/>
  </r>
  <r>
    <n v="22905051"/>
    <n v="23679024"/>
    <s v="ACC01"/>
    <x v="533"/>
    <d v="2025-09-11T13:27:52"/>
    <x v="3"/>
    <x v="3"/>
    <s v="FYOOTJT"/>
    <s v="SABRE"/>
    <s v="BERNARDI/JACKSON ALBERTO"/>
    <s v="Nathalia dos Santos Batista"/>
    <s v="Nathalia dos Santos Batista"/>
    <d v="2025-09-08T08:33:00"/>
    <s v="FYOOTJ"/>
    <s v="-"/>
    <s v="ON LINE"/>
    <s v="Invoice"/>
    <s v="Faturado"/>
    <x v="0"/>
    <s v="N"/>
    <x v="21"/>
    <s v="Bdb Ferramentas do Brasil Ltda"/>
    <s v="Cliente FEE no POS"/>
    <s v="Bonito Ecotel"/>
    <s v="-"/>
    <x v="15"/>
    <s v="-"/>
    <x v="432"/>
    <n v="0"/>
    <n v="0"/>
    <n v="0"/>
    <n v="0"/>
    <n v="0"/>
    <n v="0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905059"/>
    <n v="23679032"/>
    <s v="ACC01"/>
    <x v="534"/>
    <d v="2025-09-11T13:31:50"/>
    <x v="3"/>
    <x v="3"/>
    <s v="FLBROYT"/>
    <s v="SABRE"/>
    <s v="DA CRUZ/JEFFERSON MARQUES"/>
    <s v="Nathalia dos Santos Batista"/>
    <s v="Nathalia dos Santos Batista"/>
    <d v="2025-09-08T08:29:00"/>
    <s v="FLBROY"/>
    <s v="-"/>
    <s v="ON LINE"/>
    <s v="Invoice"/>
    <s v="Faturado"/>
    <x v="0"/>
    <s v="N"/>
    <x v="21"/>
    <s v="Bdb Ferramentas do Brasil Ltda"/>
    <s v="Cliente FEE no POS"/>
    <s v="Bonito Ecotel"/>
    <s v="-"/>
    <x v="15"/>
    <s v="-"/>
    <x v="432"/>
    <n v="0"/>
    <n v="0"/>
    <n v="0"/>
    <n v="0"/>
    <n v="0"/>
    <n v="0"/>
    <s v="Reserva importada por HubTravel"/>
    <s v="Centro de custo não preenchido! (ACC01)"/>
    <x v="1"/>
    <x v="7"/>
    <s v="Falta de informação Gerencial"/>
    <x v="0"/>
    <s v="Qualidade dos dados"/>
    <s v="KONTIK BUSINESS TRAVEL"/>
    <x v="2"/>
  </r>
  <r>
    <n v="22876132"/>
    <n v="23654682"/>
    <s v="ACC02"/>
    <x v="306"/>
    <d v="2025-09-05T16:39:44"/>
    <x v="1"/>
    <x v="1"/>
    <s v="EHCZUWT"/>
    <s v="SABRE"/>
    <s v="SILVA/ROSEANE"/>
    <s v="Ana Clara Brime"/>
    <s v="Ana Clara Brime"/>
    <d v="2025-09-05T14:03:00"/>
    <s v="LDLX"/>
    <s v="-"/>
    <s v="OFF LINE"/>
    <s v="Cartão de crédito"/>
    <s v="Cartão de crédito"/>
    <x v="0"/>
    <s v="N"/>
    <x v="51"/>
    <s v="Grupo Casas Bahia S.a."/>
    <s v="-"/>
    <s v="Summit Suites Hotel Cruzeiro"/>
    <s v="-"/>
    <x v="38"/>
    <s v="-"/>
    <x v="272"/>
    <n v="0"/>
    <n v="0"/>
    <n v="0"/>
    <n v="0"/>
    <n v="0"/>
    <n v="0"/>
    <s v="Reserva importada por HubTravel"/>
    <s v="Fornecedor não preenchido! (ACC01)"/>
    <x v="1"/>
    <x v="0"/>
    <s v="Campo Fornecedor"/>
    <x v="0"/>
    <s v="Qualidade dos dados"/>
    <s v="KONTIK BUSINESS TRAVEL"/>
    <x v="1"/>
  </r>
  <r>
    <n v="22848692"/>
    <n v="23630269"/>
    <s v="ACC01"/>
    <x v="126"/>
    <d v="2025-09-11T13:36:21"/>
    <x v="3"/>
    <x v="2"/>
    <s v="LSFUAVT"/>
    <s v="SABRE"/>
    <s v="ZANON/RENATA BOCCI MISS"/>
    <s v="CT"/>
    <s v="CT"/>
    <d v="2025-09-01T08:55:00"/>
    <s v="183733836-76587"/>
    <s v="-"/>
    <s v="ON LINE"/>
    <s v="Pagamento direto"/>
    <s v="Pagamento direto"/>
    <x v="0"/>
    <s v="N"/>
    <x v="31"/>
    <s v="Basf Sa"/>
    <s v="-"/>
    <s v="Hilton Garden Inn Ames"/>
    <s v="-"/>
    <x v="25"/>
    <s v="-"/>
    <x v="433"/>
    <n v="0"/>
    <n v="0"/>
    <n v="0"/>
    <n v="0"/>
    <n v="0"/>
    <n v="0"/>
    <s v="Reserva importada por HubTravel"/>
    <s v="Fornecedor não preenchido! (ACC03)"/>
    <x v="1"/>
    <x v="0"/>
    <s v="Campo Fornecedor"/>
    <x v="0"/>
    <s v="Sistêmico"/>
    <s v="GRUPO KONTIK"/>
    <x v="0"/>
  </r>
  <r>
    <n v="22848692"/>
    <n v="23630270"/>
    <s v="ACC02"/>
    <x v="126"/>
    <d v="2025-09-11T13:36:21"/>
    <x v="3"/>
    <x v="2"/>
    <s v="LSFUAVT"/>
    <s v="SABRE"/>
    <s v="ZANON/RENATA BOCCI MISS"/>
    <s v="CT"/>
    <s v="CT"/>
    <d v="2025-09-01T08:55:00"/>
    <s v="183733836-76587"/>
    <s v="-"/>
    <s v="ON LINE"/>
    <s v="Pagamento direto"/>
    <s v="Pagamento direto"/>
    <x v="0"/>
    <s v="N"/>
    <x v="31"/>
    <s v="Basf Sa"/>
    <s v="-"/>
    <s v="Hampton Inn Cedar Falls Downtown"/>
    <s v="-"/>
    <x v="25"/>
    <s v="-"/>
    <x v="434"/>
    <n v="22.6"/>
    <n v="0"/>
    <n v="0"/>
    <n v="0"/>
    <n v="0"/>
    <n v="0"/>
    <s v="Reserva importada por HubTravel"/>
    <s v="Fornecedor não preenchido! (ACC03)"/>
    <x v="1"/>
    <x v="0"/>
    <s v="Campo Fornecedor"/>
    <x v="0"/>
    <s v="Sistêmico"/>
    <s v="GRUPO KONTIK"/>
    <x v="0"/>
  </r>
  <r>
    <m/>
    <m/>
    <m/>
    <x v="535"/>
    <m/>
    <x v="5"/>
    <x v="5"/>
    <m/>
    <m/>
    <m/>
    <m/>
    <m/>
    <m/>
    <m/>
    <m/>
    <m/>
    <m/>
    <m/>
    <x v="4"/>
    <m/>
    <x v="75"/>
    <m/>
    <m/>
    <m/>
    <m/>
    <x v="57"/>
    <m/>
    <x v="435"/>
    <m/>
    <m/>
    <m/>
    <m/>
    <m/>
    <m/>
    <m/>
    <m/>
    <x v="6"/>
    <x v="17"/>
    <m/>
    <x v="5"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9" cacheId="4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1:Q125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414"/>
        <item m="1" x="7998"/>
        <item m="1" x="6856"/>
        <item m="1" x="4674"/>
        <item m="1" x="7988"/>
        <item m="1" x="7959"/>
        <item m="1" x="1168"/>
        <item m="1" x="5710"/>
        <item m="1" x="6855"/>
        <item m="1" x="7205"/>
        <item m="1" x="6857"/>
        <item m="1" x="6129"/>
        <item m="1" x="4649"/>
        <item m="1" x="6944"/>
        <item m="1" x="7992"/>
        <item m="1" x="7986"/>
        <item m="1" x="6860"/>
        <item m="1" x="6858"/>
        <item m="1" x="6947"/>
        <item m="1" x="6946"/>
        <item m="1" x="6945"/>
        <item m="1" x="6948"/>
        <item m="1" x="6949"/>
        <item m="1" x="7987"/>
        <item m="1" x="6859"/>
        <item m="1" x="6943"/>
        <item m="1" x="6950"/>
        <item m="1" x="6942"/>
        <item m="1" x="6952"/>
        <item m="1" x="7790"/>
        <item m="1" x="5034"/>
        <item m="1" x="7984"/>
        <item m="1" x="7204"/>
        <item m="1" x="6689"/>
        <item m="1" x="7714"/>
        <item m="1" x="5733"/>
        <item m="1" x="5726"/>
        <item m="1" x="7930"/>
        <item m="1" x="6342"/>
        <item m="1" x="6114"/>
        <item m="1" x="4976"/>
        <item m="1" x="7969"/>
        <item m="1" x="7968"/>
        <item m="1" x="7762"/>
        <item m="1" x="7997"/>
        <item m="1" x="6136"/>
        <item m="1" x="7994"/>
        <item m="1" x="7955"/>
        <item m="1" x="5725"/>
        <item m="1" x="7941"/>
        <item m="1" x="7937"/>
        <item m="1" x="7995"/>
        <item m="1" x="7935"/>
        <item m="1" x="7931"/>
        <item m="1" x="7971"/>
        <item m="1" x="7976"/>
        <item m="1" x="7990"/>
        <item m="1" x="7993"/>
        <item m="1" x="7975"/>
        <item m="1" x="1409"/>
        <item m="1" x="7915"/>
        <item m="1" x="7936"/>
        <item m="1" x="7933"/>
        <item m="1" x="7934"/>
        <item m="1" x="7963"/>
        <item m="1" x="7977"/>
        <item m="1" x="7950"/>
        <item m="1" x="7946"/>
        <item m="1" x="7958"/>
        <item m="1" x="7981"/>
        <item m="1" x="2909"/>
        <item m="1" x="7974"/>
        <item m="1" x="7967"/>
        <item m="1" x="7947"/>
        <item m="1" x="7951"/>
        <item m="1" x="2154"/>
        <item m="1" x="5843"/>
        <item m="1" x="7341"/>
        <item m="1" x="7996"/>
        <item m="1" x="7957"/>
        <item m="1" x="7945"/>
        <item m="1" x="7962"/>
        <item m="1" x="7758"/>
        <item m="1" x="1186"/>
        <item m="1" x="7938"/>
        <item m="1" x="7932"/>
        <item m="1" x="7939"/>
        <item m="1" x="7985"/>
        <item m="1" x="7989"/>
        <item m="1" x="7965"/>
        <item m="1" x="7944"/>
        <item m="1" x="7954"/>
        <item m="1" x="7943"/>
        <item m="1" x="7956"/>
        <item m="1" x="7978"/>
        <item m="1" x="7961"/>
        <item m="1" x="7982"/>
        <item m="1" x="7983"/>
        <item m="1" x="7942"/>
        <item m="1" x="5288"/>
        <item m="1" x="7709"/>
        <item m="1" x="7964"/>
        <item m="1" x="7970"/>
        <item m="1" x="7952"/>
        <item m="1" x="7966"/>
        <item m="1" x="7980"/>
        <item m="1" x="7973"/>
        <item m="1" x="7979"/>
        <item m="1" x="7999"/>
        <item m="1" x="7953"/>
        <item m="1" x="6531"/>
        <item m="1" x="6243"/>
        <item m="1" x="7991"/>
        <item m="1" x="7920"/>
        <item m="1" x="7919"/>
        <item m="1" x="7921"/>
        <item m="1" x="4653"/>
        <item m="1" x="6412"/>
        <item m="1" x="7444"/>
        <item m="1" x="7913"/>
        <item m="1" x="7914"/>
        <item m="1" x="4891"/>
        <item m="1" x="7767"/>
        <item m="1" x="5746"/>
        <item m="1" x="5736"/>
        <item m="1" x="6958"/>
        <item m="1" x="7972"/>
        <item m="1" x="2383"/>
        <item m="1" x="5132"/>
        <item m="1" x="7445"/>
        <item m="1" x="7446"/>
        <item m="1" x="4778"/>
        <item m="1" x="4793"/>
        <item m="1" x="4792"/>
        <item m="1" x="4858"/>
        <item m="1" x="4857"/>
        <item m="1" x="4856"/>
        <item m="1" x="4084"/>
        <item m="1" x="4855"/>
        <item m="1" x="4854"/>
        <item m="1" x="4853"/>
        <item m="1" x="7656"/>
        <item m="1" x="7374"/>
        <item m="1" x="4925"/>
        <item m="1" x="7916"/>
        <item m="1" x="4815"/>
        <item m="1" x="7779"/>
        <item m="1" x="4989"/>
        <item m="1" x="4766"/>
        <item m="1" x="7252"/>
        <item m="1" x="4860"/>
        <item m="1" x="4859"/>
        <item m="1" x="4900"/>
        <item m="1" x="4926"/>
        <item m="1" x="4671"/>
        <item m="1" x="5267"/>
        <item m="1" x="5709"/>
        <item m="1" x="6959"/>
        <item m="1" x="5031"/>
        <item m="1" x="7778"/>
        <item m="1" x="4927"/>
        <item m="1" x="7794"/>
        <item m="1" x="4897"/>
        <item m="1" x="7532"/>
        <item m="1" x="7522"/>
        <item m="1" x="7529"/>
        <item m="1" x="7741"/>
        <item m="1" x="7437"/>
        <item m="1" x="7438"/>
        <item m="1" x="5442"/>
        <item m="1" x="7712"/>
        <item m="1" x="4895"/>
        <item m="1" x="7780"/>
        <item m="1" x="7769"/>
        <item m="1" x="4991"/>
        <item m="1" x="4794"/>
        <item m="1" x="7340"/>
        <item m="1" x="7355"/>
        <item m="1" x="4662"/>
        <item m="1" x="4814"/>
        <item m="1" x="7165"/>
        <item m="1" x="3679"/>
        <item m="1" x="7457"/>
        <item m="1" x="7844"/>
        <item m="1" x="6960"/>
        <item m="1" x="6521"/>
        <item m="1" x="1092"/>
        <item m="1" x="7740"/>
        <item m="1" x="7439"/>
        <item m="1" x="7801"/>
        <item m="1" x="6539"/>
        <item m="1" x="5045"/>
        <item m="1" x="4820"/>
        <item m="1" x="7732"/>
        <item m="1" x="4732"/>
        <item m="1" x="6538"/>
        <item m="1" x="7381"/>
        <item m="1" x="4893"/>
        <item m="1" x="6961"/>
        <item m="1" x="4776"/>
        <item m="1" x="4863"/>
        <item m="1" x="4871"/>
        <item m="1" x="4841"/>
        <item m="1" x="7786"/>
        <item m="1" x="7774"/>
        <item m="1" x="1463"/>
        <item m="1" x="1460"/>
        <item m="1" x="7772"/>
        <item m="1" x="4756"/>
        <item m="1" x="7796"/>
        <item m="1" x="7647"/>
        <item m="1" x="4736"/>
        <item m="1" x="4737"/>
        <item m="1" x="5508"/>
        <item m="1" x="4752"/>
        <item m="1" x="4751"/>
        <item m="1" x="7810"/>
        <item m="1" x="7729"/>
        <item m="1" x="5245"/>
        <item m="1" x="6131"/>
        <item m="1" x="7852"/>
        <item m="1" x="3835"/>
        <item m="1" x="7343"/>
        <item m="1" x="7711"/>
        <item m="1" x="1499"/>
        <item m="1" x="6133"/>
        <item m="1" x="7773"/>
        <item m="1" x="7771"/>
        <item m="1" x="7785"/>
        <item m="1" x="7789"/>
        <item m="1" x="4924"/>
        <item m="1" x="4787"/>
        <item m="1" x="4777"/>
        <item m="1" x="7845"/>
        <item m="1" x="7853"/>
        <item m="1" x="7832"/>
        <item m="1" x="7797"/>
        <item m="1" x="7371"/>
        <item m="1" x="7817"/>
        <item m="1" x="6144"/>
        <item m="1" x="4996"/>
        <item m="1" x="7757"/>
        <item m="1" x="4472"/>
        <item m="1" x="4783"/>
        <item m="1" x="4767"/>
        <item m="1" x="4992"/>
        <item m="1" x="7354"/>
        <item m="1" x="7811"/>
        <item m="1" x="7812"/>
        <item m="1" x="7813"/>
        <item m="1" x="7820"/>
        <item m="1" x="4738"/>
        <item m="1" x="7856"/>
        <item m="1" x="7851"/>
        <item m="1" x="4904"/>
        <item m="1" x="717"/>
        <item m="1" x="5265"/>
        <item m="1" x="6962"/>
        <item m="1" x="4972"/>
        <item m="1" x="7847"/>
        <item m="1" x="7928"/>
        <item m="1" x="7940"/>
        <item m="1" x="6787"/>
        <item m="1" x="4946"/>
        <item m="1" x="4993"/>
        <item m="1" x="4994"/>
        <item m="1" x="5037"/>
        <item m="1" x="7534"/>
        <item m="1" x="7720"/>
        <item m="1" x="7721"/>
        <item m="1" x="4983"/>
        <item m="1" x="7734"/>
        <item m="1" x="4894"/>
        <item m="1" x="6132"/>
        <item m="1" x="7850"/>
        <item m="1" x="7737"/>
        <item m="1" x="7270"/>
        <item m="1" x="4870"/>
        <item m="1" x="4881"/>
        <item m="1" x="6879"/>
        <item m="1" x="4832"/>
        <item m="1" x="4678"/>
        <item m="1" x="6204"/>
        <item m="1" x="4754"/>
        <item m="1" x="4755"/>
        <item m="1" x="4995"/>
        <item m="1" x="4775"/>
        <item m="1" x="5033"/>
        <item m="1" x="7730"/>
        <item m="1" x="7292"/>
        <item m="1" x="7662"/>
        <item m="1" x="7838"/>
        <item m="1" x="7837"/>
        <item m="1" x="7586"/>
        <item m="1" x="4743"/>
        <item m="1" x="7666"/>
        <item m="1" x="7672"/>
        <item m="1" x="7673"/>
        <item m="1" x="7376"/>
        <item m="1" x="4852"/>
        <item m="1" x="7854"/>
        <item m="1" x="7602"/>
        <item m="1" x="4973"/>
        <item m="1" x="6963"/>
        <item m="1" x="1492"/>
        <item m="1" x="7448"/>
        <item m="1" x="7443"/>
        <item m="1" x="7693"/>
        <item m="1" x="7887"/>
        <item m="1" x="7654"/>
        <item m="1" x="7883"/>
        <item m="1" x="7752"/>
        <item m="1" x="7633"/>
        <item m="1" x="7917"/>
        <item m="1" x="7760"/>
        <item m="1" x="4839"/>
        <item m="1" x="7763"/>
        <item m="1" x="6505"/>
        <item m="1" x="4735"/>
        <item m="1" x="2184"/>
        <item m="1" x="6524"/>
        <item m="1" x="6526"/>
        <item m="1" x="4864"/>
        <item m="1" x="7655"/>
        <item m="1" x="6957"/>
        <item m="1" x="7819"/>
        <item m="1" x="6965"/>
        <item m="1" x="7827"/>
        <item m="1" x="7830"/>
        <item m="1" x="7831"/>
        <item m="1" x="7833"/>
        <item m="1" x="7834"/>
        <item m="1" x="7835"/>
        <item m="1" x="7836"/>
        <item m="1" x="7667"/>
        <item m="1" x="7842"/>
        <item m="1" x="7668"/>
        <item m="1" x="7739"/>
        <item m="1" x="7370"/>
        <item m="1" x="7736"/>
        <item m="1" x="6861"/>
        <item m="1" x="7846"/>
        <item m="1" x="6862"/>
        <item m="1" x="7869"/>
        <item m="1" x="7868"/>
        <item m="1" x="7855"/>
        <item m="1" x="7859"/>
        <item m="1" x="6442"/>
        <item m="1" x="7871"/>
        <item m="1" x="7293"/>
        <item m="1" x="2896"/>
        <item m="1" x="7881"/>
        <item m="1" x="7788"/>
        <item m="1" x="7888"/>
        <item m="1" x="6718"/>
        <item m="1" x="7884"/>
        <item m="1" x="7885"/>
        <item m="1" x="7896"/>
        <item m="1" x="7899"/>
        <item m="1" x="7910"/>
        <item m="1" x="7906"/>
        <item m="1" x="7907"/>
        <item m="1" x="7908"/>
        <item m="1" x="7912"/>
        <item m="1" x="6026"/>
        <item m="1" x="7918"/>
        <item m="1" x="7556"/>
        <item m="1" x="4681"/>
        <item m="1" x="7768"/>
        <item m="1" x="7777"/>
        <item m="1" x="7775"/>
        <item m="1" x="7776"/>
        <item m="1" x="4987"/>
        <item m="1" x="7784"/>
        <item m="1" x="7793"/>
        <item m="1" x="7792"/>
        <item m="1" x="7328"/>
        <item m="1" x="4099"/>
        <item m="1" x="4842"/>
        <item m="1" x="4866"/>
        <item m="1" x="4865"/>
        <item m="1" x="6525"/>
        <item m="1" x="4867"/>
        <item m="1" x="4851"/>
        <item m="1" x="7798"/>
        <item m="1" x="7799"/>
        <item m="1" x="6964"/>
        <item m="1" x="7349"/>
        <item m="1" x="7347"/>
        <item m="1" x="4648"/>
        <item m="1" x="7561"/>
        <item m="1" x="5741"/>
        <item m="1" x="5747"/>
        <item m="1" x="7664"/>
        <item m="1" x="7823"/>
        <item m="1" x="7824"/>
        <item m="1" x="7825"/>
        <item m="1" x="7826"/>
        <item m="1" x="7828"/>
        <item m="1" x="7829"/>
        <item m="1" x="4768"/>
        <item m="1" x="7839"/>
        <item m="1" x="7840"/>
        <item m="1" x="7841"/>
        <item m="1" x="7843"/>
        <item m="1" x="7735"/>
        <item m="1" x="7742"/>
        <item m="1" x="7743"/>
        <item m="1" x="7744"/>
        <item m="1" x="7746"/>
        <item m="1" x="7747"/>
        <item m="1" x="7748"/>
        <item m="1" x="7749"/>
        <item m="1" x="7745"/>
        <item m="1" x="7848"/>
        <item m="1" x="7849"/>
        <item m="1" x="7949"/>
        <item m="1" x="7857"/>
        <item m="1" x="7858"/>
        <item m="1" x="7860"/>
        <item m="1" x="7861"/>
        <item m="1" x="7862"/>
        <item m="1" x="7863"/>
        <item m="1" x="7864"/>
        <item m="1" x="7865"/>
        <item m="1" x="7866"/>
        <item m="1" x="7867"/>
        <item m="1" x="7870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2"/>
        <item m="1" x="2185"/>
        <item m="1" x="7886"/>
        <item m="1" x="7889"/>
        <item m="1" x="7890"/>
        <item m="1" x="7891"/>
        <item m="1" x="7892"/>
        <item m="1" x="7699"/>
        <item m="1" x="7893"/>
        <item m="1" x="7894"/>
        <item m="1" x="7895"/>
        <item m="1" x="7897"/>
        <item m="1" x="7898"/>
        <item m="1" x="7900"/>
        <item m="1" x="7901"/>
        <item m="1" x="6972"/>
        <item m="1" x="7902"/>
        <item m="1" x="7903"/>
        <item m="1" x="7904"/>
        <item m="1" x="7905"/>
        <item m="1" x="7909"/>
        <item m="1" x="7911"/>
        <item m="1" x="7922"/>
        <item m="1" x="7923"/>
        <item m="1" x="7924"/>
        <item m="1" x="7925"/>
        <item m="1" x="4878"/>
        <item m="1" x="7926"/>
        <item m="1" x="7927"/>
        <item m="1" x="7929"/>
        <item m="1" x="6033"/>
        <item m="1" x="7761"/>
        <item m="1" x="7948"/>
        <item m="1" x="7764"/>
        <item m="1" x="7960"/>
        <item m="1" x="7781"/>
        <item m="1" x="4940"/>
        <item m="1" x="7787"/>
        <item m="1" x="7791"/>
        <item m="1" x="4808"/>
        <item m="1" x="7330"/>
        <item m="1" x="7795"/>
        <item m="1" x="7353"/>
        <item m="1" x="5724"/>
        <item m="1" x="6055"/>
        <item m="1" x="4872"/>
        <item m="1" x="5735"/>
        <item m="1" x="7815"/>
        <item m="1" x="7818"/>
        <item m="1" x="7562"/>
        <item m="1" x="7733"/>
        <item m="1" x="7657"/>
        <item m="1" x="7548"/>
        <item m="1" x="7669"/>
        <item m="1" x="7670"/>
        <item m="1" x="7364"/>
        <item m="1" x="7375"/>
        <item m="1" x="7738"/>
        <item m="1" x="7660"/>
        <item m="1" x="7682"/>
        <item m="1" x="7688"/>
        <item m="1" x="7750"/>
        <item m="1" x="7751"/>
        <item m="1" x="7694"/>
        <item m="1" x="7605"/>
        <item m="1" x="7606"/>
        <item m="1" x="7607"/>
        <item m="1" x="7603"/>
        <item m="1" x="7604"/>
        <item m="1" x="7753"/>
        <item m="1" x="7427"/>
        <item m="1" x="7428"/>
        <item m="1" x="7620"/>
        <item m="1" x="7719"/>
        <item m="1" x="7754"/>
        <item m="1" x="7493"/>
        <item m="1" x="7755"/>
        <item m="1" x="7538"/>
        <item m="1" x="7756"/>
        <item m="1" x="4883"/>
        <item m="1" x="7759"/>
        <item m="1" x="7322"/>
        <item m="1" x="7323"/>
        <item m="1" x="6529"/>
        <item m="1" x="4969"/>
        <item m="1" x="7765"/>
        <item m="1" x="7766"/>
        <item m="1" x="7770"/>
        <item m="1" x="7782"/>
        <item m="1" x="7783"/>
        <item m="1" x="7716"/>
        <item m="1" x="7715"/>
        <item m="1" x="7325"/>
        <item m="1" x="4905"/>
        <item m="1" x="7338"/>
        <item m="1" x="4779"/>
        <item m="1" x="4780"/>
        <item m="1" x="4734"/>
        <item m="1" x="7800"/>
        <item m="1" x="5707"/>
        <item m="1" x="5705"/>
        <item m="1" x="5706"/>
        <item m="1" x="7802"/>
        <item m="1" x="7803"/>
        <item m="1" x="7544"/>
        <item m="1" x="7804"/>
        <item m="1" x="7352"/>
        <item m="1" x="7805"/>
        <item m="1" x="7806"/>
        <item m="1" x="7807"/>
        <item m="1" x="7808"/>
        <item m="1" x="7809"/>
        <item m="1" x="5715"/>
        <item m="1" x="7814"/>
        <item m="1" x="7816"/>
        <item m="1" x="7565"/>
        <item m="1" x="7821"/>
        <item m="1" x="7822"/>
        <item m="1" x="7489"/>
        <item m="1" x="7658"/>
        <item m="1" x="7659"/>
        <item m="1" x="7504"/>
        <item m="1" x="7661"/>
        <item m="1" x="7663"/>
        <item m="1" x="7665"/>
        <item m="1" x="7366"/>
        <item m="1" x="7429"/>
        <item m="1" x="7671"/>
        <item m="1" x="6954"/>
        <item m="1" x="7372"/>
        <item m="1" x="7373"/>
        <item m="1" x="7674"/>
        <item m="1" x="7675"/>
        <item m="1" x="7676"/>
        <item m="1" x="7677"/>
        <item m="1" x="7678"/>
        <item m="1" x="7475"/>
        <item m="1" x="7679"/>
        <item m="1" x="7680"/>
        <item m="1" x="7681"/>
        <item m="1" x="7683"/>
        <item m="1" x="7393"/>
        <item m="1" x="7684"/>
        <item m="1" x="7685"/>
        <item m="1" x="7686"/>
        <item m="1" x="7687"/>
        <item m="1" x="7689"/>
        <item m="1" x="7690"/>
        <item m="1" x="7691"/>
        <item m="1" x="7692"/>
        <item m="1" x="7406"/>
        <item m="1" x="7411"/>
        <item m="1" x="7177"/>
        <item m="1" x="7695"/>
        <item m="1" x="7696"/>
        <item m="1" x="7456"/>
        <item m="1" x="7697"/>
        <item m="1" x="7698"/>
        <item m="1" x="7700"/>
        <item m="1" x="7625"/>
        <item m="1" x="7701"/>
        <item m="1" x="7465"/>
        <item m="1" x="6970"/>
        <item m="1" x="4757"/>
        <item m="1" x="7702"/>
        <item m="1" x="7703"/>
        <item m="1" x="7485"/>
        <item m="1" x="7704"/>
        <item m="1" x="7705"/>
        <item m="1" x="7486"/>
        <item m="1" x="7626"/>
        <item m="1" x="7627"/>
        <item m="1" x="7517"/>
        <item m="1" x="7706"/>
        <item m="1" x="7707"/>
        <item m="1" x="7708"/>
        <item m="1" x="7195"/>
        <item m="1" x="7710"/>
        <item m="1" x="7199"/>
        <item m="1" x="6863"/>
        <item m="1" x="7713"/>
        <item m="1" x="7329"/>
        <item m="1" x="7333"/>
        <item m="1" x="4873"/>
        <item m="1" x="7717"/>
        <item m="1" x="7718"/>
        <item m="1" x="7524"/>
        <item m="1" x="4657"/>
        <item m="1" x="4770"/>
        <item m="1" x="6523"/>
        <item m="1" x="4769"/>
        <item m="1" x="6528"/>
        <item m="1" x="4876"/>
        <item m="1" x="4874"/>
        <item m="1" x="7535"/>
        <item m="1" x="7536"/>
        <item m="1" x="6207"/>
        <item m="1" x="7539"/>
        <item m="1" x="7541"/>
        <item m="1" x="7542"/>
        <item m="1" x="3273"/>
        <item m="1" x="7346"/>
        <item m="1" x="7350"/>
        <item m="1" x="7220"/>
        <item m="1" x="7722"/>
        <item m="1" x="7723"/>
        <item m="1" x="7724"/>
        <item m="1" x="7725"/>
        <item m="1" x="7726"/>
        <item m="1" x="7727"/>
        <item m="1" x="7728"/>
        <item m="1" x="7549"/>
        <item m="1" x="7554"/>
        <item m="1" x="7555"/>
        <item m="1" x="7557"/>
        <item m="1" x="7559"/>
        <item m="1" x="7579"/>
        <item m="1" x="7563"/>
        <item m="1" x="6939"/>
        <item m="1" x="7566"/>
        <item m="1" x="7731"/>
        <item m="1" x="6935"/>
        <item m="1" x="7569"/>
        <item m="1" x="7570"/>
        <item m="1" x="7571"/>
        <item m="1" x="7572"/>
        <item m="1" x="7573"/>
        <item m="1" x="7574"/>
        <item m="1" x="5708"/>
        <item m="1" x="7575"/>
        <item m="1" x="7576"/>
        <item m="1" x="7577"/>
        <item m="1" x="7362"/>
        <item m="1" x="7578"/>
        <item m="1" x="7580"/>
        <item m="1" x="7581"/>
        <item m="1" x="7582"/>
        <item m="1" x="7583"/>
        <item m="1" x="7584"/>
        <item m="1" x="7410"/>
        <item m="1" x="7585"/>
        <item m="1" x="7587"/>
        <item m="1" x="7365"/>
        <item m="1" x="7588"/>
        <item m="1" x="7589"/>
        <item m="1" x="6966"/>
        <item m="1" x="6156"/>
        <item m="1" x="7590"/>
        <item m="1" x="7441"/>
        <item m="1" x="7591"/>
        <item m="1" x="7592"/>
        <item m="1" x="7369"/>
        <item m="1" x="7301"/>
        <item m="1" x="7593"/>
        <item m="1" x="6969"/>
        <item m="1" x="5439"/>
        <item m="1" x="7594"/>
        <item m="1" x="7595"/>
        <item m="1" x="7596"/>
        <item m="1" x="7597"/>
        <item m="1" x="7598"/>
        <item m="1" x="7394"/>
        <item m="1" x="7400"/>
        <item m="1" x="7401"/>
        <item m="1" x="7599"/>
        <item m="1" x="7600"/>
        <item m="1" x="7601"/>
        <item m="1" x="7413"/>
        <item m="1" x="7418"/>
        <item m="1" x="7430"/>
        <item m="1" x="7421"/>
        <item m="1" x="7431"/>
        <item m="1" x="7608"/>
        <item m="1" x="6681"/>
        <item m="1" x="7609"/>
        <item m="1" x="7610"/>
        <item m="1" x="6200"/>
        <item m="1" x="7419"/>
        <item m="1" x="7611"/>
        <item m="1" x="7435"/>
        <item m="1" x="7436"/>
        <item m="1" x="7450"/>
        <item m="1" x="7452"/>
        <item m="1" x="7453"/>
        <item m="1" x="6967"/>
        <item m="1" x="6968"/>
        <item m="1" x="7451"/>
        <item m="1" x="7612"/>
        <item m="1" x="7613"/>
        <item m="1" x="6355"/>
        <item m="1" x="7454"/>
        <item m="1" x="7614"/>
        <item m="1" x="7389"/>
        <item m="1" x="7025"/>
        <item m="1" x="7615"/>
        <item m="1" x="7616"/>
        <item m="1" x="7617"/>
        <item m="1" x="7461"/>
        <item m="1" x="7618"/>
        <item m="1" x="7619"/>
        <item m="1" x="7462"/>
        <item m="1" x="7470"/>
        <item m="1" x="7471"/>
        <item m="1" x="7472"/>
        <item m="1" x="7468"/>
        <item m="1" x="7469"/>
        <item m="1" x="7481"/>
        <item m="1" x="7474"/>
        <item m="1" x="7621"/>
        <item m="1" x="7622"/>
        <item m="1" x="7623"/>
        <item m="1" x="7624"/>
        <item m="1" x="7484"/>
        <item m="1" x="7495"/>
        <item m="1" x="7492"/>
        <item m="1" x="7488"/>
        <item m="1" x="7494"/>
        <item m="1" x="7491"/>
        <item m="1" x="7500"/>
        <item m="1" x="7501"/>
        <item m="1" x="7506"/>
        <item m="1" x="7628"/>
        <item m="1" x="7502"/>
        <item m="1" x="7511"/>
        <item m="1" x="7503"/>
        <item m="1" x="7505"/>
        <item m="1" x="7507"/>
        <item m="1" x="7629"/>
        <item m="1" x="7630"/>
        <item m="1" x="7513"/>
        <item m="1" x="7514"/>
        <item m="1" x="7515"/>
        <item m="1" x="7516"/>
        <item m="1" x="6546"/>
        <item m="1" x="6547"/>
        <item m="1" x="5648"/>
        <item m="1" x="7249"/>
        <item m="1" x="7631"/>
        <item m="1" x="7632"/>
        <item m="1" x="7520"/>
        <item m="1" x="7634"/>
        <item m="1" x="7635"/>
        <item m="1" x="7636"/>
        <item m="1" x="7531"/>
        <item m="1" x="6955"/>
        <item m="1" x="4742"/>
        <item m="1" x="7637"/>
        <item m="1" x="7638"/>
        <item m="1" x="4812"/>
        <item m="1" x="4804"/>
        <item m="1" x="4805"/>
        <item m="1" x="6408"/>
        <item m="1" x="4811"/>
        <item m="1" x="7326"/>
        <item m="1" x="7327"/>
        <item m="1" x="4833"/>
        <item m="1" x="4655"/>
        <item m="1" x="4656"/>
        <item m="1" x="6130"/>
        <item m="1" x="7639"/>
        <item m="1" x="7640"/>
        <item m="1" x="7641"/>
        <item m="1" x="7642"/>
        <item m="1" x="7643"/>
        <item m="1" x="7644"/>
        <item m="1" x="7645"/>
        <item m="1" x="7214"/>
        <item m="1" x="4758"/>
        <item m="1" x="7646"/>
        <item m="1" x="4923"/>
        <item m="1" x="5010"/>
        <item m="1" x="4781"/>
        <item m="1" x="5241"/>
        <item m="1" x="4807"/>
        <item m="1" x="4774"/>
        <item m="1" x="7273"/>
        <item m="1" x="4898"/>
        <item m="1" x="4828"/>
        <item m="1" x="7648"/>
        <item m="1" x="7440"/>
        <item m="1" x="7649"/>
        <item m="1" x="7650"/>
        <item m="1" x="7651"/>
        <item m="1" x="5716"/>
        <item m="1" x="6548"/>
        <item m="1" x="7547"/>
        <item m="1" x="6956"/>
        <item m="1" x="7473"/>
        <item m="1" x="4038"/>
        <item m="1" x="7652"/>
        <item m="1" x="4782"/>
        <item m="1" x="4875"/>
        <item m="1" x="6534"/>
        <item m="1" x="5731"/>
        <item m="1" x="7653"/>
        <item m="1" x="4886"/>
        <item m="1" x="5737"/>
        <item m="1" x="5751"/>
        <item m="1" x="5752"/>
        <item m="1" x="7359"/>
        <item m="1" x="6976"/>
        <item m="1" x="6977"/>
        <item m="1" x="6978"/>
        <item m="1" x="7291"/>
        <item m="1" x="7360"/>
        <item m="1" x="7361"/>
        <item m="1" x="7290"/>
        <item m="1" x="7297"/>
        <item m="1" x="7363"/>
        <item m="1" x="5758"/>
        <item m="1" x="7367"/>
        <item m="1" x="7298"/>
        <item m="1" x="7294"/>
        <item m="1" x="4948"/>
        <item m="1" x="7368"/>
        <item m="1" x="7377"/>
        <item m="1" x="6196"/>
        <item m="1" x="7378"/>
        <item m="1" x="7379"/>
        <item m="1" x="7380"/>
        <item m="1" x="7382"/>
        <item m="1" x="7383"/>
        <item m="1" x="7384"/>
        <item m="1" x="7385"/>
        <item m="1" x="7386"/>
        <item m="1" x="7387"/>
        <item m="1" x="7388"/>
        <item m="1" x="6998"/>
        <item m="1" x="7390"/>
        <item m="1" x="7391"/>
        <item m="1" x="7392"/>
        <item m="1" x="7001"/>
        <item m="1" x="7395"/>
        <item m="1" x="7396"/>
        <item m="1" x="7397"/>
        <item m="1" x="7398"/>
        <item m="1" x="7399"/>
        <item m="1" x="7402"/>
        <item m="1" x="7403"/>
        <item m="1" x="7404"/>
        <item m="1" x="7308"/>
        <item m="1" x="7405"/>
        <item m="1" x="7407"/>
        <item m="1" x="7408"/>
        <item m="1" x="7409"/>
        <item m="1" x="7412"/>
        <item m="1" x="7414"/>
        <item m="1" x="7415"/>
        <item m="1" x="7416"/>
        <item m="1" x="7417"/>
        <item m="1" x="7007"/>
        <item m="1" x="7420"/>
        <item m="1" x="7422"/>
        <item m="1" x="7423"/>
        <item m="1" x="7424"/>
        <item m="1" x="7425"/>
        <item m="1" x="7426"/>
        <item m="1" x="7311"/>
        <item m="1" x="7432"/>
        <item m="1" x="7433"/>
        <item m="1" x="7434"/>
        <item m="1" x="7442"/>
        <item m="1" x="7447"/>
        <item m="1" x="7449"/>
        <item m="1" x="7455"/>
        <item m="1" x="7313"/>
        <item m="1" x="7458"/>
        <item m="1" x="7459"/>
        <item m="1" x="7460"/>
        <item m="1" x="7463"/>
        <item m="1" x="7464"/>
        <item m="1" x="7466"/>
        <item m="1" x="7467"/>
        <item m="1" x="4802"/>
        <item m="1" x="7024"/>
        <item m="1" x="7476"/>
        <item m="1" x="7477"/>
        <item m="1" x="7345"/>
        <item m="1" x="7478"/>
        <item m="1" x="7479"/>
        <item m="1" x="7480"/>
        <item m="1" x="7314"/>
        <item m="1" x="7482"/>
        <item m="1" x="7483"/>
        <item m="1" x="7317"/>
        <item m="1" x="7487"/>
        <item m="1" x="6971"/>
        <item m="1" x="7490"/>
        <item m="1" x="7036"/>
        <item m="1" x="7496"/>
        <item m="1" x="7497"/>
        <item m="1" x="7498"/>
        <item m="1" x="7499"/>
        <item m="1" x="7508"/>
        <item m="1" x="7509"/>
        <item m="1" x="7510"/>
        <item m="1" x="7512"/>
        <item m="1" x="7319"/>
        <item m="1" x="6545"/>
        <item m="1" x="5651"/>
        <item m="1" x="5032"/>
        <item m="1" x="7518"/>
        <item m="1" x="7519"/>
        <item m="1" x="7521"/>
        <item m="1" x="4879"/>
        <item m="1" x="4968"/>
        <item m="1" x="6198"/>
        <item m="1" x="7332"/>
        <item m="1" x="7331"/>
        <item m="1" x="7200"/>
        <item m="1" x="7523"/>
        <item m="1" x="7525"/>
        <item m="1" x="6864"/>
        <item m="1" x="7526"/>
        <item m="1" x="7527"/>
        <item m="1" x="7528"/>
        <item m="1" x="5402"/>
        <item m="1" x="7530"/>
        <item m="1" x="4971"/>
        <item m="1" x="7266"/>
        <item m="1" x="4920"/>
        <item m="1" x="6882"/>
        <item m="1" x="7533"/>
        <item m="1" x="5927"/>
        <item m="1" x="6973"/>
        <item m="1" x="6974"/>
        <item m="1" x="7537"/>
        <item m="1" x="7540"/>
        <item m="1" x="6975"/>
        <item m="1" x="7543"/>
        <item m="1" x="7216"/>
        <item m="1" x="7545"/>
        <item m="1" x="7546"/>
        <item m="1" x="7356"/>
        <item m="1" x="6865"/>
        <item m="1" x="7284"/>
        <item m="1" x="6549"/>
        <item m="1" x="7550"/>
        <item m="1" x="7551"/>
        <item m="1" x="7552"/>
        <item m="1" x="7553"/>
        <item m="1" x="7558"/>
        <item m="1" x="7358"/>
        <item m="1" x="7560"/>
        <item m="1" x="6688"/>
        <item m="1" x="7564"/>
        <item m="1" x="7567"/>
        <item m="1" x="7568"/>
        <item m="1" x="6690"/>
        <item m="1" x="6691"/>
        <item m="1" x="7227"/>
        <item m="1" x="6979"/>
        <item m="1" x="6983"/>
        <item m="1" x="6984"/>
        <item m="1" x="6985"/>
        <item m="1" x="6987"/>
        <item m="1" x="6994"/>
        <item m="1" x="6992"/>
        <item m="1" x="6988"/>
        <item m="1" x="6989"/>
        <item m="1" x="6990"/>
        <item m="1" x="6991"/>
        <item m="1" x="5264"/>
        <item m="1" x="7295"/>
        <item m="1" x="7296"/>
        <item m="1" x="7299"/>
        <item m="1" x="7300"/>
        <item m="1" x="7155"/>
        <item m="1" x="4724"/>
        <item m="1" x="7302"/>
        <item m="1" x="4953"/>
        <item m="1" x="7163"/>
        <item m="1" x="7164"/>
        <item m="1" x="7303"/>
        <item m="1" x="7304"/>
        <item m="1" x="7305"/>
        <item m="1" x="7306"/>
        <item m="1" x="7225"/>
        <item m="1" x="7162"/>
        <item m="1" x="6870"/>
        <item m="1" x="7307"/>
        <item m="1" x="7309"/>
        <item m="1" x="7310"/>
        <item m="1" x="7002"/>
        <item m="1" x="5181"/>
        <item m="1" x="7312"/>
        <item m="1" x="7006"/>
        <item m="1" x="4974"/>
        <item m="1" x="7238"/>
        <item m="1" x="2783"/>
        <item m="1" x="7014"/>
        <item m="1" x="7015"/>
        <item m="1" x="7016"/>
        <item m="1" x="7018"/>
        <item m="1" x="7240"/>
        <item m="1" x="7019"/>
        <item m="1" x="7241"/>
        <item m="1" x="5182"/>
        <item m="1" x="7029"/>
        <item m="1" x="7030"/>
        <item m="1" x="7031"/>
        <item m="1" x="7032"/>
        <item m="1" x="7027"/>
        <item m="1" x="7315"/>
        <item m="1" x="7316"/>
        <item m="1" x="7034"/>
        <item m="1" x="6285"/>
        <item m="1" x="6677"/>
        <item m="1" x="6678"/>
        <item m="1" x="6377"/>
        <item m="1" x="6106"/>
        <item m="1" x="7318"/>
        <item m="1" x="7035"/>
        <item m="1" x="7037"/>
        <item m="1" x="7038"/>
        <item m="1" x="7039"/>
        <item m="1" x="7043"/>
        <item m="1" x="7044"/>
        <item m="1" x="6679"/>
        <item m="1" x="4921"/>
        <item m="1" x="7320"/>
        <item m="1" x="7321"/>
        <item m="1" x="6877"/>
        <item m="1" x="6878"/>
        <item m="1" x="7196"/>
        <item m="1" x="7194"/>
        <item m="1" x="7193"/>
        <item m="1" x="7197"/>
        <item m="1" x="7324"/>
        <item m="1" x="7253"/>
        <item m="1" x="6680"/>
        <item m="1" x="7198"/>
        <item m="1" x="7207"/>
        <item m="1" x="7210"/>
        <item m="1" x="7211"/>
        <item m="1" x="7206"/>
        <item m="1" x="7209"/>
        <item m="1" x="7208"/>
        <item m="1" x="7201"/>
        <item m="1" x="5407"/>
        <item m="1" x="4935"/>
        <item m="1" x="4938"/>
        <item m="1" x="6427"/>
        <item m="1" x="7334"/>
        <item m="1" x="4970"/>
        <item m="1" x="4978"/>
        <item m="1" x="7335"/>
        <item m="1" x="7336"/>
        <item m="1" x="7337"/>
        <item m="1" x="4545"/>
        <item m="1" x="7213"/>
        <item m="1" x="7268"/>
        <item m="1" x="5857"/>
        <item m="1" x="7339"/>
        <item m="1" x="7272"/>
        <item m="1" x="4834"/>
        <item m="1" x="4771"/>
        <item m="1" x="7274"/>
        <item m="1" x="6227"/>
        <item m="1" x="7342"/>
        <item m="1" x="7344"/>
        <item m="1" x="7348"/>
        <item m="1" x="7351"/>
        <item m="1" x="6685"/>
        <item m="1" x="6684"/>
        <item m="1" x="6686"/>
        <item m="1" x="6687"/>
        <item m="1" x="7357"/>
        <item m="1" x="6884"/>
        <item m="1" x="6683"/>
        <item m="1" x="6682"/>
        <item m="1" x="6252"/>
        <item m="1" x="5738"/>
        <item m="1" x="6270"/>
        <item m="1" x="6692"/>
        <item m="1" x="1171"/>
        <item m="1" x="6993"/>
        <item m="1" x="6986"/>
        <item m="1" x="7228"/>
        <item m="1" x="7229"/>
        <item m="1" x="6997"/>
        <item m="1" x="7000"/>
        <item m="1" x="7230"/>
        <item m="1" x="7171"/>
        <item m="1" x="7169"/>
        <item m="1" x="7231"/>
        <item m="1" x="7232"/>
        <item m="1" x="7233"/>
        <item m="1" x="7170"/>
        <item m="1" x="7161"/>
        <item m="1" x="7174"/>
        <item m="1" x="7158"/>
        <item m="1" x="4975"/>
        <item m="1" x="7234"/>
        <item m="1" x="6241"/>
        <item m="1" x="7235"/>
        <item m="1" x="7236"/>
        <item m="1" x="7237"/>
        <item m="1" x="7003"/>
        <item m="1" x="7011"/>
        <item m="1" x="7012"/>
        <item m="1" x="7008"/>
        <item m="1" x="7017"/>
        <item m="1" x="7178"/>
        <item m="1" x="7239"/>
        <item m="1" x="7020"/>
        <item m="1" x="7021"/>
        <item m="1" x="7242"/>
        <item m="1" x="7022"/>
        <item m="1" x="7033"/>
        <item m="1" x="7243"/>
        <item m="1" x="7244"/>
        <item m="1" x="7026"/>
        <item m="1" x="7180"/>
        <item m="1" x="7245"/>
        <item m="1" x="7246"/>
        <item m="1" x="7185"/>
        <item m="1" x="7181"/>
        <item m="1" x="7182"/>
        <item m="1" x="7184"/>
        <item m="1" x="7183"/>
        <item m="1" x="6542"/>
        <item m="1" x="6541"/>
        <item m="1" x="6474"/>
        <item m="1" x="6710"/>
        <item m="1" x="6475"/>
        <item m="1" x="6540"/>
        <item m="1" x="6476"/>
        <item m="1" x="6543"/>
        <item m="1" x="6544"/>
        <item m="1" x="7247"/>
        <item m="1" x="7187"/>
        <item m="1" x="7041"/>
        <item m="1" x="7188"/>
        <item m="1" x="7248"/>
        <item m="1" x="5652"/>
        <item m="1" x="5840"/>
        <item m="1" x="7250"/>
        <item m="1" x="6875"/>
        <item m="1" x="7190"/>
        <item m="1" x="3605"/>
        <item m="1" x="6876"/>
        <item m="1" x="7251"/>
        <item m="1" x="7045"/>
        <item m="1" x="480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6564"/>
        <item m="1" x="4672"/>
        <item m="1" x="6880"/>
        <item m="1" x="4977"/>
        <item m="1" x="7264"/>
        <item m="1" x="7265"/>
        <item m="1" x="7267"/>
        <item m="1" x="6719"/>
        <item m="1" x="7269"/>
        <item m="1" x="7215"/>
        <item m="1" x="7271"/>
        <item m="1" x="6218"/>
        <item m="1" x="7275"/>
        <item m="1" x="6232"/>
        <item m="1" x="6235"/>
        <item m="1" x="5712"/>
        <item m="1" x="7276"/>
        <item m="1" x="6885"/>
        <item m="1" x="7277"/>
        <item m="1" x="7278"/>
        <item m="1" x="7279"/>
        <item m="1" x="7280"/>
        <item m="1" x="7281"/>
        <item m="1" x="7282"/>
        <item m="1" x="7283"/>
        <item m="1" x="6727"/>
        <item m="1" x="6886"/>
        <item m="1" x="5727"/>
        <item m="1" x="6250"/>
        <item m="1" x="6253"/>
        <item m="1" x="7221"/>
        <item m="1" x="6260"/>
        <item m="1" x="6261"/>
        <item m="1" x="6262"/>
        <item m="1" x="7222"/>
        <item m="1" x="7224"/>
        <item m="1" x="7285"/>
        <item m="1" x="7226"/>
        <item m="1" x="7286"/>
        <item m="1" x="7287"/>
        <item m="1" x="7288"/>
        <item m="1" x="7289"/>
        <item m="1" x="6274"/>
        <item m="1" x="5744"/>
        <item m="1" x="6279"/>
        <item m="1" x="6280"/>
        <item m="1" x="6281"/>
        <item m="1" x="6695"/>
        <item m="1" x="6693"/>
        <item m="1" x="6694"/>
        <item m="1" x="7052"/>
        <item m="1" x="6980"/>
        <item m="1" x="6981"/>
        <item m="1" x="6982"/>
        <item m="1" x="7154"/>
        <item m="1" x="7058"/>
        <item m="1" x="7059"/>
        <item m="1" x="6697"/>
        <item m="1" x="6995"/>
        <item m="1" x="6996"/>
        <item m="1" x="6702"/>
        <item m="1" x="5169"/>
        <item m="1" x="7156"/>
        <item m="1" x="7157"/>
        <item m="1" x="7159"/>
        <item m="1" x="7160"/>
        <item m="1" x="6871"/>
        <item m="1" x="7166"/>
        <item m="1" x="7167"/>
        <item m="1" x="7168"/>
        <item m="1" x="7172"/>
        <item m="1" x="7173"/>
        <item m="1" x="6873"/>
        <item m="1" x="4263"/>
        <item m="1" x="7005"/>
        <item m="1" x="7004"/>
        <item m="1" x="7175"/>
        <item m="1" x="7176"/>
        <item m="1" x="7079"/>
        <item m="1" x="7084"/>
        <item m="1" x="7085"/>
        <item m="1" x="7009"/>
        <item m="1" x="7010"/>
        <item m="1" x="7013"/>
        <item m="1" x="7089"/>
        <item m="1" x="7100"/>
        <item m="1" x="7179"/>
        <item m="1" x="7095"/>
        <item m="1" x="7023"/>
        <item m="1" x="7097"/>
        <item m="1" x="7028"/>
        <item m="1" x="6477"/>
        <item m="1" x="7186"/>
        <item m="1" x="6478"/>
        <item m="1" x="6479"/>
        <item m="1" x="6105"/>
        <item m="1" x="6463"/>
        <item m="1" x="6375"/>
        <item m="1" x="6499"/>
        <item m="1" x="6395"/>
        <item m="1" x="6460"/>
        <item m="1" x="6461"/>
        <item m="1" x="6462"/>
        <item m="1" x="6711"/>
        <item m="1" x="7040"/>
        <item m="1" x="7140"/>
        <item m="1" x="7145"/>
        <item m="1" x="7042"/>
        <item m="1" x="6272"/>
        <item m="1" x="7189"/>
        <item m="1" x="7191"/>
        <item m="1" x="7192"/>
        <item m="1" x="4822"/>
        <item m="1" x="6717"/>
        <item m="1" x="6563"/>
        <item m="1" x="6838"/>
        <item m="1" x="7202"/>
        <item m="1" x="7203"/>
        <item m="1" x="5213"/>
        <item m="1" x="7141"/>
        <item m="1" x="4719"/>
        <item m="1" x="2796"/>
        <item m="1" x="7212"/>
        <item m="1" x="4903"/>
        <item m="1" x="6618"/>
        <item m="1" x="6048"/>
        <item m="1" x="5236"/>
        <item m="1" x="6438"/>
        <item m="1" x="6208"/>
        <item m="1" x="7217"/>
        <item m="1" x="7218"/>
        <item m="1" x="6093"/>
        <item m="1" x="6724"/>
        <item m="1" x="7219"/>
        <item m="1" x="7125"/>
        <item m="1" x="4889"/>
        <item m="1" x="7223"/>
        <item m="1" x="6275"/>
        <item m="1" x="6887"/>
        <item m="1" x="6999"/>
        <item m="1" x="7046"/>
        <item m="1" x="7047"/>
        <item m="1" x="7048"/>
        <item m="1" x="7049"/>
        <item m="1" x="7050"/>
        <item m="1" x="7051"/>
        <item m="1" x="7053"/>
        <item m="1" x="7054"/>
        <item m="1" x="7055"/>
        <item m="1" x="7056"/>
        <item m="1" x="7057"/>
        <item m="1" x="7060"/>
        <item m="1" x="5106"/>
        <item m="1" x="7061"/>
        <item m="1" x="7062"/>
        <item m="1" x="7063"/>
        <item m="1" x="7064"/>
        <item m="1" x="7065"/>
        <item m="1" x="7066"/>
        <item m="1" x="7067"/>
        <item m="1" x="5767"/>
        <item m="1" x="6699"/>
        <item m="1" x="6700"/>
        <item m="1" x="6701"/>
        <item m="1" x="6867"/>
        <item m="1" x="7068"/>
        <item m="1" x="6705"/>
        <item m="1" x="4683"/>
        <item m="1" x="6557"/>
        <item m="1" x="6868"/>
        <item m="1" x="6869"/>
        <item m="1" x="5123"/>
        <item m="1" x="5790"/>
        <item m="1" x="6872"/>
        <item m="1" x="6907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80"/>
        <item m="1" x="7081"/>
        <item m="1" x="7082"/>
        <item m="1" x="7083"/>
        <item m="1" x="7086"/>
        <item m="1" x="7087"/>
        <item m="1" x="4650"/>
        <item m="1" x="7088"/>
        <item m="1" x="5750"/>
        <item m="1" x="7090"/>
        <item m="1" x="7091"/>
        <item m="1" x="6157"/>
        <item m="1" x="7092"/>
        <item m="1" x="7093"/>
        <item m="1" x="7094"/>
        <item m="1" x="7096"/>
        <item m="1" x="7098"/>
        <item m="1" x="7099"/>
        <item m="1" x="6214"/>
        <item m="1" x="6916"/>
        <item m="1" x="6216"/>
        <item m="1" x="7101"/>
        <item m="1" x="6376"/>
        <item m="1" x="6485"/>
        <item m="1" x="6101"/>
        <item m="1" x="6483"/>
        <item m="1" x="6484"/>
        <item m="1" x="6471"/>
        <item m="1" x="6472"/>
        <item m="1" x="6473"/>
        <item m="1" x="6464"/>
        <item m="1" x="6465"/>
        <item m="1" x="6466"/>
        <item m="1" x="6467"/>
        <item m="1" x="6468"/>
        <item m="1" x="6469"/>
        <item m="1" x="6470"/>
        <item m="1" x="6481"/>
        <item m="1" x="6482"/>
        <item m="1" x="6486"/>
        <item m="1" x="6480"/>
        <item m="1" x="7102"/>
        <item m="1" x="7103"/>
        <item m="1" x="7104"/>
        <item m="1" x="6712"/>
        <item m="1" x="6874"/>
        <item m="1" x="7105"/>
        <item m="1" x="6713"/>
        <item m="1" x="6714"/>
        <item m="1" x="6715"/>
        <item m="1" x="6716"/>
        <item m="1" x="7106"/>
        <item m="1" x="7107"/>
        <item m="1" x="7108"/>
        <item m="1" x="7109"/>
        <item m="1" x="7110"/>
        <item m="1" x="7111"/>
        <item m="1" x="4838"/>
        <item m="1" x="7112"/>
        <item m="1" x="7113"/>
        <item m="1" x="6913"/>
        <item m="1" x="6914"/>
        <item m="1" x="4892"/>
        <item m="1" x="7114"/>
        <item m="1" x="7115"/>
        <item m="1" x="7116"/>
        <item m="1" x="6617"/>
        <item m="1" x="7117"/>
        <item m="1" x="7118"/>
        <item m="1" x="6881"/>
        <item m="1" x="4725"/>
        <item m="1" x="7119"/>
        <item m="1" x="6917"/>
        <item m="1" x="7120"/>
        <item m="1" x="4965"/>
        <item m="1" x="7121"/>
        <item m="1" x="6927"/>
        <item m="1" x="6883"/>
        <item m="1" x="7122"/>
        <item m="1" x="7123"/>
        <item m="1" x="7124"/>
        <item m="1" x="6723"/>
        <item m="1" x="6565"/>
        <item m="1" x="4503"/>
        <item m="1" x="6728"/>
        <item m="1" x="7126"/>
        <item m="1" x="7127"/>
        <item m="1" x="7128"/>
        <item m="1" x="7129"/>
        <item m="1" x="7130"/>
        <item m="1" x="7131"/>
        <item m="1" x="6902"/>
        <item m="1" x="7132"/>
        <item m="1" x="7133"/>
        <item m="1" x="7134"/>
        <item m="1" x="7135"/>
        <item m="1" x="7136"/>
        <item m="1" x="7137"/>
        <item m="1" x="6188"/>
        <item m="1" x="7138"/>
        <item m="1" x="7139"/>
        <item m="1" x="7142"/>
        <item m="1" x="7143"/>
        <item m="1" x="7144"/>
        <item m="1" x="7146"/>
        <item m="1" x="7147"/>
        <item m="1" x="7148"/>
        <item m="1" x="7149"/>
        <item m="1" x="7150"/>
        <item m="1" x="7151"/>
        <item m="1" x="7152"/>
        <item m="1" x="7153"/>
        <item m="1" x="6936"/>
        <item m="1" x="6937"/>
        <item m="1" x="6938"/>
        <item m="1" x="6940"/>
        <item m="1" x="6941"/>
        <item m="1" x="6951"/>
        <item m="1" x="6953"/>
        <item m="1" x="6866"/>
        <item m="1" x="6704"/>
        <item m="1" x="6553"/>
        <item m="1" x="6554"/>
        <item m="1" x="6888"/>
        <item m="1" x="6889"/>
        <item m="1" x="5153"/>
        <item m="1" x="6890"/>
        <item m="1" x="6891"/>
        <item m="1" x="6892"/>
        <item m="1" x="6893"/>
        <item m="1" x="6550"/>
        <item m="1" x="6551"/>
        <item m="1" x="6730"/>
        <item m="1" x="6731"/>
        <item m="1" x="6732"/>
        <item m="1" x="6734"/>
        <item m="1" x="6735"/>
        <item m="1" x="6736"/>
        <item m="1" x="6737"/>
        <item m="1" x="6738"/>
        <item m="1" x="6733"/>
        <item m="1" x="6696"/>
        <item m="1" x="6894"/>
        <item m="1" x="6698"/>
        <item m="1" x="6895"/>
        <item m="1" x="6896"/>
        <item m="1" x="5572"/>
        <item m="1" x="6897"/>
        <item m="1" x="6898"/>
        <item m="1" x="6899"/>
        <item m="1" x="5777"/>
        <item m="1" x="6900"/>
        <item m="1" x="6901"/>
        <item m="1" x="6703"/>
        <item m="1" x="6552"/>
        <item m="1" x="6739"/>
        <item m="1" x="6741"/>
        <item m="1" x="4597"/>
        <item m="1" x="6788"/>
        <item m="1" x="6706"/>
        <item m="1" x="6707"/>
        <item m="1" x="6903"/>
        <item m="1" x="6904"/>
        <item m="1" x="6905"/>
        <item m="1" x="6906"/>
        <item m="1" x="6908"/>
        <item m="1" x="6909"/>
        <item m="1" x="6178"/>
        <item m="1" x="6910"/>
        <item m="1" x="6758"/>
        <item m="1" x="763"/>
        <item m="1" x="6354"/>
        <item m="1" x="6756"/>
        <item m="1" x="6182"/>
        <item m="1" x="6763"/>
        <item m="1" x="6558"/>
        <item m="1" x="4922"/>
        <item m="1" x="4763"/>
        <item m="1" x="6768"/>
        <item m="1" x="6708"/>
        <item m="1" x="6709"/>
        <item m="1" x="6487"/>
        <item m="1" x="6773"/>
        <item m="1" x="6778"/>
        <item m="1" x="6803"/>
        <item m="1" x="6029"/>
        <item m="1" x="6032"/>
        <item m="1" x="6911"/>
        <item m="1" x="6912"/>
        <item m="1" x="5484"/>
        <item m="1" x="5235"/>
        <item m="1" x="4599"/>
        <item m="1" x="6915"/>
        <item m="1" x="6918"/>
        <item m="1" x="6919"/>
        <item m="1" x="6920"/>
        <item m="1" x="6921"/>
        <item m="1" x="6770"/>
        <item m="1" x="6922"/>
        <item m="1" x="6923"/>
        <item m="1" x="6924"/>
        <item m="1" x="6925"/>
        <item m="1" x="6926"/>
        <item m="1" x="6928"/>
        <item m="1" x="4723"/>
        <item m="1" x="6929"/>
        <item m="1" x="6930"/>
        <item m="1" x="5505"/>
        <item m="1" x="5506"/>
        <item m="1" x="5242"/>
        <item m="1" x="6931"/>
        <item m="1" x="6206"/>
        <item m="1" x="6210"/>
        <item m="1" x="6215"/>
        <item m="1" x="6211"/>
        <item m="1" x="5107"/>
        <item m="1" x="6219"/>
        <item m="1" x="6720"/>
        <item m="1" x="6233"/>
        <item m="1" x="6234"/>
        <item m="1" x="6721"/>
        <item m="1" x="6722"/>
        <item m="1" x="6236"/>
        <item m="1" x="6726"/>
        <item m="1" x="6725"/>
        <item m="1" x="6932"/>
        <item m="1" x="6933"/>
        <item m="1" x="4887"/>
        <item m="1" x="6251"/>
        <item m="1" x="6256"/>
        <item m="1" x="6258"/>
        <item m="1" x="5440"/>
        <item m="1" x="6259"/>
        <item m="1" x="6263"/>
        <item m="1" x="4489"/>
        <item m="1" x="6273"/>
        <item m="1" x="6277"/>
        <item m="1" x="5742"/>
        <item m="1" x="5743"/>
        <item m="1" x="5748"/>
        <item m="1" x="6934"/>
        <item m="1" x="6567"/>
        <item m="1" x="6568"/>
        <item m="1" x="6569"/>
        <item m="1" x="6570"/>
        <item m="1" x="6729"/>
        <item m="1" x="6576"/>
        <item m="1" x="6740"/>
        <item m="1" x="6742"/>
        <item m="1" x="6555"/>
        <item m="1" x="6743"/>
        <item m="1" x="6744"/>
        <item m="1" x="6745"/>
        <item m="1" x="6080"/>
        <item m="1" x="5768"/>
        <item m="1" x="6746"/>
        <item m="1" x="6747"/>
        <item m="1" x="6748"/>
        <item m="1" x="6749"/>
        <item m="1" x="5028"/>
        <item m="1" x="5026"/>
        <item m="1" x="6750"/>
        <item m="1" x="6751"/>
        <item m="1" x="2784"/>
        <item m="1" x="6559"/>
        <item m="1" x="6340"/>
        <item m="1" x="6752"/>
        <item m="1" x="6753"/>
        <item m="1" x="6754"/>
        <item m="1" x="6012"/>
        <item m="1" x="5317"/>
        <item m="1" x="6351"/>
        <item m="1" x="6349"/>
        <item m="1" x="6352"/>
        <item m="1" x="6347"/>
        <item m="1" x="6348"/>
        <item m="1" x="6755"/>
        <item m="1" x="6757"/>
        <item m="1" x="6759"/>
        <item m="1" x="6760"/>
        <item m="1" x="6761"/>
        <item m="1" x="6762"/>
        <item m="1" x="6560"/>
        <item m="1" x="6764"/>
        <item m="1" x="6765"/>
        <item m="1" x="6766"/>
        <item m="1" x="5806"/>
        <item m="1" x="6767"/>
        <item m="1" x="6769"/>
        <item m="1" x="6771"/>
        <item m="1" x="5703"/>
        <item m="1" x="6289"/>
        <item m="1" x="6490"/>
        <item m="1" x="6488"/>
        <item m="1" x="6489"/>
        <item m="1" x="6383"/>
        <item m="1" x="6381"/>
        <item m="1" x="6382"/>
        <item m="1" x="6102"/>
        <item m="1" x="6493"/>
        <item m="1" x="6103"/>
        <item m="1" x="6104"/>
        <item m="1" x="6492"/>
        <item m="1" x="6491"/>
        <item m="1" x="6384"/>
        <item m="1" x="6385"/>
        <item m="1" x="6772"/>
        <item m="1" x="6774"/>
        <item m="1" x="6775"/>
        <item m="1" x="6776"/>
        <item m="1" x="6777"/>
        <item m="1" x="6186"/>
        <item m="1" x="6779"/>
        <item m="1" x="6780"/>
        <item m="1" x="6396"/>
        <item m="1" x="6397"/>
        <item m="1" x="6781"/>
        <item m="1" x="6782"/>
        <item m="1" x="6783"/>
        <item m="1" x="6784"/>
        <item m="1" x="6195"/>
        <item m="1" x="6194"/>
        <item m="1" x="6785"/>
        <item m="1" x="6786"/>
        <item m="1" x="6562"/>
        <item m="1" x="4759"/>
        <item m="1" x="6043"/>
        <item m="1" x="6789"/>
        <item m="1" x="4666"/>
        <item m="1" x="6614"/>
        <item m="1" x="6615"/>
        <item m="1" x="6790"/>
        <item m="1" x="6212"/>
        <item m="1" x="6213"/>
        <item m="1" x="6221"/>
        <item m="1" x="6225"/>
        <item m="1" x="6228"/>
        <item m="1" x="6240"/>
        <item m="1" x="6791"/>
        <item m="1" x="5714"/>
        <item m="1" x="6641"/>
        <item m="1" x="6642"/>
        <item m="1" x="6792"/>
        <item m="1" x="6793"/>
        <item m="1" x="6794"/>
        <item m="1" x="6638"/>
        <item m="1" x="6639"/>
        <item m="1" x="6795"/>
        <item m="1" x="6796"/>
        <item m="1" x="6797"/>
        <item m="1" x="6798"/>
        <item m="1" x="6645"/>
        <item m="1" x="6799"/>
        <item m="1" x="6637"/>
        <item m="1" x="6800"/>
        <item m="1" x="6636"/>
        <item m="1" x="6350"/>
        <item m="1" x="6801"/>
        <item m="1" x="6255"/>
        <item m="1" x="6257"/>
        <item m="1" x="6267"/>
        <item m="1" x="6566"/>
        <item m="1" x="4727"/>
        <item m="1" x="6278"/>
        <item m="1" x="6286"/>
        <item m="1" x="5443"/>
        <item m="1" x="6802"/>
        <item m="1" x="6804"/>
        <item m="1" x="6805"/>
        <item m="1" x="6806"/>
        <item m="1" x="6807"/>
        <item m="1" x="6581"/>
        <item m="1" x="6579"/>
        <item m="1" x="6580"/>
        <item m="1" x="6584"/>
        <item m="1" x="6808"/>
        <item m="1" x="6809"/>
        <item m="1" x="6810"/>
        <item m="1" x="6811"/>
        <item m="1" x="6812"/>
        <item m="1" x="6593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449"/>
        <item m="1" x="6824"/>
        <item m="1" x="6825"/>
        <item m="1" x="6826"/>
        <item m="1" x="6827"/>
        <item m="1" x="4269"/>
        <item m="1" x="6828"/>
        <item m="1" x="6605"/>
        <item m="1" x="6829"/>
        <item m="1" x="6606"/>
        <item m="1" x="4917"/>
        <item m="1" x="6830"/>
        <item m="1" x="4880"/>
        <item m="1" x="6268"/>
        <item m="1" x="6831"/>
        <item m="1" x="6832"/>
        <item m="1" x="6833"/>
        <item m="1" x="6834"/>
        <item m="1" x="4967"/>
        <item m="1" x="6634"/>
        <item m="1" x="6835"/>
        <item m="1" x="6629"/>
        <item m="1" x="6628"/>
        <item m="1" x="6836"/>
        <item m="1" x="6630"/>
        <item m="1" x="6624"/>
        <item m="1" x="6837"/>
        <item m="1" x="6506"/>
        <item m="1" x="6673"/>
        <item m="1" x="6672"/>
        <item m="1" x="5672"/>
        <item m="1" x="6839"/>
        <item m="1" x="6840"/>
        <item m="1" x="6841"/>
        <item m="1" x="6842"/>
        <item m="1" x="6520"/>
        <item m="1" x="6843"/>
        <item m="1" x="5904"/>
        <item m="1" x="6205"/>
        <item m="1" x="4919"/>
        <item m="1" x="6229"/>
        <item m="1" x="6844"/>
        <item m="1" x="6845"/>
        <item m="1" x="5027"/>
        <item m="1" x="5029"/>
        <item m="1" x="6239"/>
        <item m="1" x="6846"/>
        <item m="1" x="6847"/>
        <item m="1" x="6848"/>
        <item m="1" x="6849"/>
        <item m="1" x="6850"/>
        <item m="1" x="6644"/>
        <item m="1" x="6851"/>
        <item m="1" x="6852"/>
        <item m="1" x="6536"/>
        <item m="1" x="6853"/>
        <item m="1" x="6854"/>
        <item m="1" x="6556"/>
        <item m="1" x="6561"/>
        <item m="1" x="4647"/>
        <item m="1" x="4646"/>
        <item m="1" x="4985"/>
        <item m="1" x="6571"/>
        <item m="1" x="6572"/>
        <item m="1" x="6573"/>
        <item m="1" x="6574"/>
        <item m="1" x="5754"/>
        <item m="1" x="6575"/>
        <item m="1" x="6450"/>
        <item m="1" x="6577"/>
        <item m="1" x="6578"/>
        <item m="1" x="6582"/>
        <item m="1" x="6583"/>
        <item m="1" x="4581"/>
        <item m="1" x="6158"/>
        <item m="1" x="6159"/>
        <item m="1" x="6585"/>
        <item m="1" x="6586"/>
        <item m="1" x="6587"/>
        <item m="1" x="6588"/>
        <item m="1" x="6589"/>
        <item m="1" x="6590"/>
        <item m="1" x="6454"/>
        <item m="1" x="5059"/>
        <item m="1" x="6591"/>
        <item m="1" x="6592"/>
        <item m="1" x="5784"/>
        <item m="1" x="5785"/>
        <item m="1" x="5971"/>
        <item m="1" x="5864"/>
        <item m="1" x="6594"/>
        <item m="1" x="6595"/>
        <item m="1" x="6596"/>
        <item m="1" x="6458"/>
        <item m="1" x="6597"/>
        <item m="1" x="6598"/>
        <item m="1" x="6332"/>
        <item m="1" x="1405"/>
        <item m="1" x="6455"/>
        <item m="1" x="6599"/>
        <item m="1" x="6600"/>
        <item m="1" x="6141"/>
        <item m="1" x="6601"/>
        <item m="1" x="6362"/>
        <item m="1" x="6602"/>
        <item m="1" x="6368"/>
        <item m="1" x="5270"/>
        <item m="1" x="6603"/>
        <item m="1" x="6604"/>
        <item m="1" x="6353"/>
        <item m="1" x="6497"/>
        <item m="1" x="6496"/>
        <item m="1" x="6380"/>
        <item m="1" x="6495"/>
        <item m="1" x="6494"/>
        <item m="1" x="6389"/>
        <item m="1" x="6386"/>
        <item m="1" x="6387"/>
        <item m="1" x="6388"/>
        <item m="1" x="4949"/>
        <item m="1" x="5658"/>
        <item m="1" x="6607"/>
        <item m="1" x="6608"/>
        <item m="1" x="6609"/>
        <item m="1" x="6610"/>
        <item m="1" x="6611"/>
        <item m="1" x="6425"/>
        <item m="1" x="6612"/>
        <item m="1" x="6613"/>
        <item m="1" x="6616"/>
        <item m="1" x="4809"/>
        <item m="1" x="6619"/>
        <item m="1" x="6620"/>
        <item m="1" x="6621"/>
        <item m="1" x="6622"/>
        <item m="1" x="6623"/>
        <item m="1" x="6625"/>
        <item m="1" x="6626"/>
        <item m="1" x="6507"/>
        <item m="1" x="6627"/>
        <item m="1" x="6631"/>
        <item m="1" x="6632"/>
        <item m="1" x="6633"/>
        <item m="1" x="5704"/>
        <item m="1" x="6635"/>
        <item m="1" x="6231"/>
        <item m="1" x="6640"/>
        <item m="1" x="6643"/>
        <item m="1" x="6646"/>
        <item m="1" x="6140"/>
        <item m="1" x="6647"/>
        <item m="1" x="6648"/>
        <item m="1" x="6649"/>
        <item m="1" x="6650"/>
        <item m="1" x="6651"/>
        <item m="1" x="6652"/>
        <item m="1" x="6266"/>
        <item m="1" x="6653"/>
        <item m="1" x="6067"/>
        <item m="1" x="630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1747"/>
        <item m="1" x="6667"/>
        <item m="1" x="6668"/>
        <item m="1" x="6669"/>
        <item m="1" x="6670"/>
        <item m="1" x="6671"/>
        <item m="1" x="6674"/>
        <item m="1" x="6675"/>
        <item m="1" x="6530"/>
        <item m="1" x="6676"/>
        <item m="1" x="6271"/>
        <item m="1" x="6295"/>
        <item m="1" x="6298"/>
        <item m="1" x="6296"/>
        <item m="1" x="6297"/>
        <item m="1" x="6150"/>
        <item m="1" x="6299"/>
        <item m="1" x="6069"/>
        <item m="1" x="6068"/>
        <item m="1" x="6304"/>
        <item m="1" x="6301"/>
        <item m="1" x="6302"/>
        <item m="1" x="6070"/>
        <item m="1" x="6364"/>
        <item m="1" x="6451"/>
        <item m="1" x="6452"/>
        <item m="1" x="6310"/>
        <item m="1" x="6311"/>
        <item m="1" x="6453"/>
        <item m="1" x="5764"/>
        <item m="1" x="6077"/>
        <item m="1" x="6081"/>
        <item m="1" x="6249"/>
        <item m="1" x="6315"/>
        <item m="1" x="6316"/>
        <item m="1" x="6161"/>
        <item m="1" x="6318"/>
        <item m="1" x="6325"/>
        <item m="1" x="6326"/>
        <item m="1" x="6324"/>
        <item m="1" x="6328"/>
        <item m="1" x="5783"/>
        <item m="1" x="6331"/>
        <item m="1" x="5575"/>
        <item m="1" x="5133"/>
        <item m="1" x="6147"/>
        <item m="1" x="5713"/>
        <item m="1" x="6456"/>
        <item m="1" x="6457"/>
        <item m="1" x="6177"/>
        <item m="1" x="6335"/>
        <item m="1" x="6336"/>
        <item m="1" x="4795"/>
        <item m="1" x="6341"/>
        <item m="1" x="6343"/>
        <item m="1" x="6459"/>
        <item m="1" x="6366"/>
        <item m="1" x="6361"/>
        <item m="1" x="6237"/>
        <item m="1" x="6359"/>
        <item m="1" x="6360"/>
        <item m="1" x="6358"/>
        <item m="1" x="4614"/>
        <item m="1" x="6357"/>
        <item m="1" x="6367"/>
        <item m="1" x="6371"/>
        <item m="1" x="6379"/>
        <item m="1" x="6378"/>
        <item m="1" x="6498"/>
        <item m="1" x="6394"/>
        <item m="1" x="6399"/>
        <item m="1" x="6402"/>
        <item m="1" x="6403"/>
        <item m="1" x="5649"/>
        <item m="1" x="5650"/>
        <item m="1" x="6500"/>
        <item m="1" x="6501"/>
        <item m="1" x="6502"/>
        <item m="1" x="6503"/>
        <item m="1" x="6504"/>
        <item m="1" x="5666"/>
        <item m="1" x="4813"/>
        <item m="1" x="4631"/>
        <item m="1" x="6199"/>
        <item m="1" x="4626"/>
        <item m="1" x="4632"/>
        <item m="1" x="4627"/>
        <item m="1" x="4628"/>
        <item m="1" x="4630"/>
        <item m="1" x="6508"/>
        <item m="1" x="6509"/>
        <item m="1" x="6510"/>
        <item m="1" x="6511"/>
        <item m="1" x="6512"/>
        <item m="1" x="6513"/>
        <item m="1" x="6514"/>
        <item m="1" x="4950"/>
        <item m="1" x="4939"/>
        <item m="1" x="6515"/>
        <item m="1" x="6516"/>
        <item m="1" x="6517"/>
        <item m="1" x="6518"/>
        <item m="1" x="6519"/>
        <item m="1" x="4901"/>
        <item m="1" x="4902"/>
        <item m="1" x="6203"/>
        <item m="1" x="6522"/>
        <item m="1" x="5886"/>
        <item m="1" x="4772"/>
        <item m="1" x="5882"/>
        <item m="1" x="5884"/>
        <item m="1" x="6527"/>
        <item m="1" x="6139"/>
        <item m="1" x="6224"/>
        <item m="1" x="6226"/>
        <item m="1" x="6247"/>
        <item m="1" x="4633"/>
        <item m="1" x="4629"/>
        <item m="1" x="6446"/>
        <item m="1" x="6052"/>
        <item m="1" x="6532"/>
        <item m="1" x="6533"/>
        <item m="1" x="6535"/>
        <item m="1" x="5515"/>
        <item m="1" x="6537"/>
        <item m="1" x="4728"/>
        <item m="1" x="6276"/>
        <item m="1" x="6283"/>
        <item m="1" x="6284"/>
        <item m="1" x="6145"/>
        <item m="1" x="6287"/>
        <item m="1" x="6288"/>
        <item m="1" x="6290"/>
        <item m="1" x="6148"/>
        <item m="1" x="6291"/>
        <item m="1" x="6292"/>
        <item m="1" x="5976"/>
        <item m="1" x="6293"/>
        <item m="1" x="6294"/>
        <item m="1" x="6300"/>
        <item m="1" x="6071"/>
        <item m="1" x="6305"/>
        <item m="1" x="6306"/>
        <item m="1" x="6307"/>
        <item m="1" x="6308"/>
        <item m="1" x="6309"/>
        <item m="1" x="6312"/>
        <item m="1" x="6073"/>
        <item m="1" x="6313"/>
        <item m="1" x="6314"/>
        <item m="1" x="6075"/>
        <item m="1" x="6078"/>
        <item m="1" x="6079"/>
        <item m="1" x="6082"/>
        <item m="1" x="6317"/>
        <item m="1" x="6319"/>
        <item m="1" x="6320"/>
        <item m="1" x="5298"/>
        <item m="1" x="6160"/>
        <item m="1" x="6163"/>
        <item m="1" x="6321"/>
        <item m="1" x="6322"/>
        <item m="1" x="6323"/>
        <item m="1" x="6087"/>
        <item m="1" x="4260"/>
        <item m="1" x="6327"/>
        <item m="1" x="5778"/>
        <item m="1" x="5779"/>
        <item m="1" x="5780"/>
        <item m="1" x="5786"/>
        <item m="1" x="6329"/>
        <item m="1" x="6330"/>
        <item m="1" x="5129"/>
        <item m="1" x="5237"/>
        <item m="1" x="6333"/>
        <item m="1" x="6174"/>
        <item m="1" x="6334"/>
        <item m="1" x="6337"/>
        <item m="1" x="6338"/>
        <item m="1" x="6339"/>
        <item m="1" x="6181"/>
        <item m="1" x="6344"/>
        <item m="1" x="6345"/>
        <item m="1" x="6346"/>
        <item m="1" x="6356"/>
        <item m="1" x="6363"/>
        <item m="1" x="6365"/>
        <item m="1" x="5805"/>
        <item m="1" x="6369"/>
        <item m="1" x="6370"/>
        <item m="1" x="6372"/>
        <item m="1" x="6373"/>
        <item m="1" x="6374"/>
        <item m="1" x="6390"/>
        <item m="1" x="6391"/>
        <item m="1" x="6392"/>
        <item m="1" x="6393"/>
        <item m="1" x="6398"/>
        <item m="1" x="5671"/>
        <item m="1" x="6400"/>
        <item m="1" x="6401"/>
        <item m="1" x="5931"/>
        <item m="1" x="6115"/>
        <item m="1" x="6190"/>
        <item m="1" x="6404"/>
        <item m="1" x="6405"/>
        <item m="1" x="6406"/>
        <item m="1" x="4830"/>
        <item m="1" x="6407"/>
        <item m="1" x="4625"/>
        <item m="1" x="6409"/>
        <item m="1" x="6410"/>
        <item m="1" x="6411"/>
        <item m="1" x="6413"/>
        <item m="1" x="4722"/>
        <item m="1" x="4664"/>
        <item m="1" x="4661"/>
        <item m="1" x="6414"/>
        <item m="1" x="4673"/>
        <item m="1" x="6415"/>
        <item m="1" x="6416"/>
        <item m="1" x="6417"/>
        <item m="1" x="5915"/>
        <item m="1" x="6418"/>
        <item m="1" x="6419"/>
        <item m="1" x="6420"/>
        <item m="1" x="6421"/>
        <item m="1" x="6422"/>
        <item m="1" x="6423"/>
        <item m="1" x="6424"/>
        <item m="1" x="6426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4981"/>
        <item m="1" x="6439"/>
        <item m="1" x="6440"/>
        <item m="1" x="6209"/>
        <item m="1" x="6220"/>
        <item m="1" x="6441"/>
        <item m="1" x="6230"/>
        <item m="1" x="6246"/>
        <item m="1" x="5933"/>
        <item m="1" x="6443"/>
        <item m="1" x="6444"/>
        <item m="1" x="6445"/>
        <item m="1" x="6447"/>
        <item m="1" x="5943"/>
        <item m="1" x="6248"/>
        <item m="1" x="6448"/>
        <item m="1" x="5972"/>
        <item m="1" x="5974"/>
        <item m="1" x="6282"/>
        <item m="1" x="5521"/>
        <item m="1" x="6149"/>
        <item m="1" x="422"/>
        <item m="1" x="6058"/>
        <item m="1" x="6059"/>
        <item m="1" x="6065"/>
        <item m="1" x="5987"/>
        <item m="1" x="6151"/>
        <item m="1" x="6072"/>
        <item m="1" x="5759"/>
        <item m="1" x="5988"/>
        <item m="1" x="6152"/>
        <item m="1" x="6153"/>
        <item m="1" x="6154"/>
        <item m="1" x="6155"/>
        <item m="1" x="479"/>
        <item m="1" x="6076"/>
        <item m="1" x="5766"/>
        <item m="1" x="5994"/>
        <item m="1" x="6001"/>
        <item m="1" x="6002"/>
        <item m="1" x="5558"/>
        <item m="1" x="6162"/>
        <item m="1" x="5556"/>
        <item m="1" x="5557"/>
        <item m="1" x="5561"/>
        <item m="1" x="6164"/>
        <item m="1" x="6165"/>
        <item m="1" x="6166"/>
        <item m="1" x="6167"/>
        <item m="1" x="6168"/>
        <item m="1" x="5178"/>
        <item m="1" x="6084"/>
        <item m="1" x="6169"/>
        <item m="1" x="6170"/>
        <item m="1" x="6085"/>
        <item m="1" x="6171"/>
        <item m="1" x="6172"/>
        <item m="1" x="6173"/>
        <item m="1" x="6094"/>
        <item m="1" x="3998"/>
        <item m="1" x="6175"/>
        <item m="1" x="6176"/>
        <item m="1" x="6088"/>
        <item m="1" x="6089"/>
        <item m="1" x="5791"/>
        <item m="1" x="6009"/>
        <item m="1" x="6008"/>
        <item m="1" x="6179"/>
        <item m="1" x="6180"/>
        <item m="1" x="5583"/>
        <item m="1" x="5584"/>
        <item m="1" x="5325"/>
        <item m="1" x="5324"/>
        <item m="1" x="5587"/>
        <item m="1" x="2785"/>
        <item m="1" x="5586"/>
        <item m="1" x="6097"/>
        <item m="1" x="5799"/>
        <item m="1" x="5810"/>
        <item m="1" x="5609"/>
        <item m="1" x="5610"/>
        <item m="1" x="5611"/>
        <item m="1" x="5185"/>
        <item m="1" x="6108"/>
        <item m="1" x="5616"/>
        <item m="1" x="6183"/>
        <item m="1" x="5815"/>
        <item m="1" x="6184"/>
        <item m="1" x="5814"/>
        <item m="1" x="6107"/>
        <item m="1" x="6185"/>
        <item m="1" x="6187"/>
        <item m="1" x="6111"/>
        <item m="1" x="6112"/>
        <item m="1" x="5821"/>
        <item m="1" x="5645"/>
        <item m="1" x="6024"/>
        <item m="1" x="5646"/>
        <item m="1" x="5656"/>
        <item m="1" x="5036"/>
        <item m="1" x="6189"/>
        <item m="1" x="5844"/>
        <item m="1" x="6191"/>
        <item m="1" x="6192"/>
        <item m="1" x="6193"/>
        <item m="1" x="4869"/>
        <item m="1" x="6197"/>
        <item m="1" x="6201"/>
        <item m="1" x="5695"/>
        <item m="1" x="6202"/>
        <item m="1" x="5860"/>
        <item m="1" x="6217"/>
        <item m="1" x="6222"/>
        <item m="1" x="6223"/>
        <item m="1" x="5929"/>
        <item m="1" x="6238"/>
        <item m="1" x="6242"/>
        <item m="1" x="6244"/>
        <item m="1" x="6245"/>
        <item m="1" x="6142"/>
        <item m="1" x="5913"/>
        <item m="1" x="5940"/>
        <item m="1" x="5941"/>
        <item m="1" x="4890"/>
        <item m="1" x="5977"/>
        <item m="1" x="5969"/>
        <item m="1" x="6254"/>
        <item m="1" x="4731"/>
        <item m="1" x="6264"/>
        <item m="1" x="6265"/>
        <item m="1" x="6269"/>
        <item m="1" x="5978"/>
        <item m="1" x="5979"/>
        <item m="1" x="415"/>
        <item m="1" x="5523"/>
        <item m="1" x="5140"/>
        <item m="1" x="5981"/>
        <item m="1" x="5982"/>
        <item m="1" x="416"/>
        <item m="1" x="1925"/>
        <item m="1" x="6060"/>
        <item m="1" x="6061"/>
        <item m="1" x="6062"/>
        <item m="1" x="6063"/>
        <item m="1" x="6064"/>
        <item m="1" x="6066"/>
        <item m="1" x="5536"/>
        <item m="1" x="5917"/>
        <item m="1" x="5761"/>
        <item m="1" x="5760"/>
        <item m="1" x="5990"/>
        <item m="1" x="6074"/>
        <item m="1" x="5992"/>
        <item m="1" x="5995"/>
        <item m="1" x="5996"/>
        <item m="1" x="5997"/>
        <item m="1" x="6003"/>
        <item m="1" x="5770"/>
        <item m="1" x="5772"/>
        <item m="1" x="5773"/>
        <item m="1" x="5771"/>
        <item m="1" x="6083"/>
        <item m="1" x="5781"/>
        <item m="1" x="5782"/>
        <item m="1" x="3340"/>
        <item m="1" x="6086"/>
        <item m="1" x="6090"/>
        <item m="1" x="2794"/>
        <item m="1" x="6091"/>
        <item m="1" x="6092"/>
        <item m="1" x="5582"/>
        <item m="1" x="5326"/>
        <item m="1" x="6095"/>
        <item m="1" x="1934"/>
        <item m="1" x="5795"/>
        <item m="1" x="6013"/>
        <item m="1" x="6096"/>
        <item m="1" x="5800"/>
        <item m="1" x="6098"/>
        <item m="1" x="5802"/>
        <item m="1" x="6099"/>
        <item m="1" x="5801"/>
        <item m="1" x="1927"/>
        <item m="1" x="6015"/>
        <item m="1" x="6016"/>
        <item m="1" x="5808"/>
        <item m="1" x="6100"/>
        <item m="1" x="5615"/>
        <item m="1" x="5816"/>
        <item m="1" x="5817"/>
        <item m="1" x="5820"/>
        <item m="1" x="5629"/>
        <item m="1" x="5818"/>
        <item m="1" x="5819"/>
        <item m="1" x="6109"/>
        <item m="1" x="6110"/>
        <item m="1" x="6023"/>
        <item m="1" x="6113"/>
        <item m="1" x="6025"/>
        <item m="1" x="5827"/>
        <item m="1" x="5832"/>
        <item m="1" x="5653"/>
        <item m="1" x="6027"/>
        <item m="1" x="6116"/>
        <item m="1" x="6117"/>
        <item m="1" x="6118"/>
        <item m="1" x="5664"/>
        <item m="1" x="5667"/>
        <item m="1" x="2699"/>
        <item m="1" x="4357"/>
        <item m="1" x="6119"/>
        <item m="1" x="6034"/>
        <item m="1" x="5215"/>
        <item m="1" x="6120"/>
        <item m="1" x="6121"/>
        <item m="1" x="4721"/>
        <item m="1" x="6122"/>
        <item m="1" x="6123"/>
        <item m="1" x="6037"/>
        <item m="1" x="6124"/>
        <item m="1" x="6125"/>
        <item m="1" x="6126"/>
        <item m="1" x="6127"/>
        <item m="1" x="6128"/>
        <item m="1" x="3202"/>
        <item m="1" x="1219"/>
        <item m="1" x="5238"/>
        <item m="1" x="6134"/>
        <item m="1" x="6135"/>
        <item m="1" x="4634"/>
        <item m="1" x="6137"/>
        <item m="1" x="6138"/>
        <item m="1" x="6143"/>
        <item m="1" x="5968"/>
        <item m="1" x="5441"/>
        <item m="1" x="6056"/>
        <item m="1" x="6146"/>
        <item m="1" x="5983"/>
        <item m="1" x="5984"/>
        <item m="1" x="5985"/>
        <item m="1" x="5986"/>
        <item m="1" x="5756"/>
        <item m="1" x="5762"/>
        <item m="1" x="5989"/>
        <item m="1" x="5991"/>
        <item m="1" x="4682"/>
        <item m="1" x="5544"/>
        <item m="1" x="5553"/>
        <item m="1" x="5993"/>
        <item m="1" x="5998"/>
        <item m="1" x="5999"/>
        <item m="1" x="6000"/>
        <item m="1" x="5568"/>
        <item m="1" x="5570"/>
        <item m="1" x="5454"/>
        <item m="1" x="5569"/>
        <item m="1" x="6004"/>
        <item m="1" x="5729"/>
        <item m="1" x="5728"/>
        <item m="1" x="5565"/>
        <item m="1" x="5566"/>
        <item m="1" x="5573"/>
        <item m="1" x="5307"/>
        <item m="1" x="6005"/>
        <item m="1" x="6006"/>
        <item m="1" x="6007"/>
        <item m="1" x="6010"/>
        <item m="1" x="6011"/>
        <item m="1" x="5792"/>
        <item m="1" x="5588"/>
        <item m="1" x="3986"/>
        <item m="1" x="3985"/>
        <item m="1" x="5589"/>
        <item m="1" x="5595"/>
        <item m="1" x="5596"/>
        <item m="1" x="5334"/>
        <item m="1" x="5336"/>
        <item m="1" x="6014"/>
        <item m="1" x="5804"/>
        <item m="1" x="5809"/>
        <item m="1" x="5807"/>
        <item m="1" x="5608"/>
        <item m="1" x="6017"/>
        <item m="1" x="6018"/>
        <item m="1" x="5614"/>
        <item m="1" x="5813"/>
        <item m="1" x="5822"/>
        <item m="1" x="6019"/>
        <item m="1" x="6020"/>
        <item m="1" x="6021"/>
        <item m="1" x="5823"/>
        <item m="1" x="5824"/>
        <item m="1" x="6022"/>
        <item m="1" x="5647"/>
        <item m="1" x="5655"/>
        <item m="1" x="5654"/>
        <item m="1" x="5842"/>
        <item m="1" x="5841"/>
        <item m="1" x="6028"/>
        <item m="1" x="5201"/>
        <item m="1" x="6030"/>
        <item m="1" x="6031"/>
        <item m="1" x="4861"/>
        <item m="1" x="6035"/>
        <item m="1" x="6036"/>
        <item m="1" x="6038"/>
        <item m="1" x="5223"/>
        <item m="1" x="4622"/>
        <item m="1" x="6039"/>
        <item m="1" x="6040"/>
        <item m="1" x="6041"/>
        <item m="1" x="6042"/>
        <item m="1" x="5910"/>
        <item m="1" x="4786"/>
        <item m="1" x="5519"/>
        <item m="1" x="6044"/>
        <item m="1" x="5850"/>
        <item m="1" x="4684"/>
        <item m="1" x="6045"/>
        <item m="1" x="5693"/>
        <item m="1" x="6046"/>
        <item m="1" x="6047"/>
        <item m="1" x="6049"/>
        <item m="1" x="6050"/>
        <item m="1" x="5928"/>
        <item m="1" x="6051"/>
        <item m="1" x="5250"/>
        <item m="1" x="5934"/>
        <item m="1" x="5942"/>
        <item m="1" x="4810"/>
        <item m="1" x="6053"/>
        <item m="1" x="6054"/>
        <item m="1" x="5965"/>
        <item m="1" x="5970"/>
        <item m="1" x="5973"/>
        <item m="1" x="2259"/>
        <item m="1" x="5749"/>
        <item m="1" x="6057"/>
        <item m="1" x="5522"/>
        <item m="1" x="4072"/>
        <item m="1" x="4297"/>
        <item m="1" x="417"/>
        <item m="1" x="5753"/>
        <item m="1" x="5527"/>
        <item m="1" x="5528"/>
        <item m="1" x="5529"/>
        <item m="1" x="5530"/>
        <item m="1" x="5526"/>
        <item m="1" x="5532"/>
        <item m="1" x="4868"/>
        <item m="1" x="5155"/>
        <item m="1" x="5281"/>
        <item m="1" x="5533"/>
        <item m="1" x="5156"/>
        <item m="1" x="5157"/>
        <item m="1" x="5158"/>
        <item m="1" x="5154"/>
        <item m="1" x="5534"/>
        <item m="1" x="5755"/>
        <item m="1" x="5757"/>
        <item m="1" x="5763"/>
        <item m="1" x="5266"/>
        <item m="1" x="5765"/>
        <item m="1" x="5639"/>
        <item m="1" x="5549"/>
        <item m="1" x="5550"/>
        <item m="1" x="5551"/>
        <item m="1" x="5769"/>
        <item m="1" x="5554"/>
        <item m="1" x="5555"/>
        <item m="1" x="5774"/>
        <item m="1" x="5775"/>
        <item m="1" x="5776"/>
        <item m="1" x="5571"/>
        <item m="1" x="5564"/>
        <item m="1" x="5787"/>
        <item m="1" x="5788"/>
        <item m="1" x="3235"/>
        <item m="1" x="5789"/>
        <item m="1" x="5563"/>
        <item m="1" x="5574"/>
        <item m="1" x="5577"/>
        <item m="1" x="5579"/>
        <item m="1" x="2263"/>
        <item m="1" x="2264"/>
        <item m="1" x="2265"/>
        <item m="1" x="2266"/>
        <item m="1" x="1930"/>
        <item m="1" x="2267"/>
        <item m="1" x="2268"/>
        <item m="1" x="5351"/>
        <item m="1" x="5793"/>
        <item m="1" x="5794"/>
        <item m="1" x="5796"/>
        <item m="1" x="5797"/>
        <item m="1" x="5335"/>
        <item m="1" x="5798"/>
        <item m="1" x="4914"/>
        <item m="1" x="5600"/>
        <item m="1" x="5601"/>
        <item m="1" x="5803"/>
        <item m="1" x="5607"/>
        <item m="1" x="5811"/>
        <item m="1" x="5812"/>
        <item m="1" x="5627"/>
        <item m="1" x="5188"/>
        <item m="1" x="5189"/>
        <item m="1" x="5825"/>
        <item m="1" x="5631"/>
        <item m="1" x="5465"/>
        <item m="1" x="5640"/>
        <item m="1" x="5636"/>
        <item m="1" x="742"/>
        <item m="1" x="5638"/>
        <item m="1" x="5637"/>
        <item m="1" x="5826"/>
        <item m="1" x="5828"/>
        <item m="1" x="5829"/>
        <item m="1" x="5830"/>
        <item m="1" x="5831"/>
        <item m="1" x="5833"/>
        <item m="1" x="5834"/>
        <item m="1" x="5835"/>
        <item m="1" x="5836"/>
        <item m="1" x="5837"/>
        <item m="1" x="5838"/>
        <item m="1" x="5839"/>
        <item m="1" x="5200"/>
        <item m="1" x="5207"/>
        <item m="1" x="5845"/>
        <item m="1" x="5665"/>
        <item m="1" x="5846"/>
        <item m="1" x="5847"/>
        <item m="1" x="5848"/>
        <item m="1" x="5478"/>
        <item m="1" x="5849"/>
        <item m="1" x="5408"/>
        <item m="1" x="5486"/>
        <item m="1" x="5674"/>
        <item m="1" x="4624"/>
        <item m="1" x="5489"/>
        <item m="1" x="4816"/>
        <item m="1" x="5675"/>
        <item m="1" x="5216"/>
        <item m="1" x="5851"/>
        <item m="1" x="5852"/>
        <item m="1" x="5853"/>
        <item m="1" x="5854"/>
        <item m="1" x="5855"/>
        <item m="1" x="5856"/>
        <item m="1" x="5858"/>
        <item m="1" x="5859"/>
        <item m="1" x="5861"/>
        <item m="1" x="5862"/>
        <item m="1" x="5863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3"/>
        <item m="1" x="5885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699"/>
        <item m="1" x="5905"/>
        <item m="1" x="5906"/>
        <item m="1" x="5907"/>
        <item m="1" x="5700"/>
        <item m="1" x="5701"/>
        <item m="1" x="5702"/>
        <item m="1" x="5908"/>
        <item m="1" x="5909"/>
        <item m="1" x="5911"/>
        <item m="1" x="5912"/>
        <item m="1" x="5914"/>
        <item m="1" x="5916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035"/>
        <item m="1" x="4837"/>
        <item m="1" x="5930"/>
        <item m="1" x="5932"/>
        <item m="1" x="5935"/>
        <item m="1" x="5936"/>
        <item m="1" x="5937"/>
        <item m="1" x="5938"/>
        <item m="1" x="5939"/>
        <item m="1" x="462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6"/>
        <item m="1" x="5967"/>
        <item m="1" x="4645"/>
        <item m="1" x="4729"/>
        <item m="1" x="5975"/>
        <item m="1" x="4730"/>
        <item m="1" x="5980"/>
        <item m="1" x="4598"/>
        <item m="1" x="5524"/>
        <item m="1" x="4621"/>
        <item m="1" x="5038"/>
        <item m="1" x="5525"/>
        <item m="1" x="5444"/>
        <item m="1" x="5531"/>
        <item m="1" x="5535"/>
        <item m="1" x="5537"/>
        <item m="1" x="5538"/>
        <item m="1" x="5539"/>
        <item m="1" x="5540"/>
        <item m="1" x="5541"/>
        <item m="1" x="5542"/>
        <item m="1" x="5179"/>
        <item m="1" x="5543"/>
        <item m="1" x="5545"/>
        <item m="1" x="5546"/>
        <item m="1" x="5547"/>
        <item m="1" x="5548"/>
        <item m="1" x="5552"/>
        <item m="1" x="4229"/>
        <item m="1" x="5559"/>
        <item m="1" x="5450"/>
        <item m="1" x="5560"/>
        <item m="1" x="5562"/>
        <item m="1" x="5175"/>
        <item m="1" x="5567"/>
        <item m="1" x="4680"/>
        <item m="1" x="5576"/>
        <item m="1" x="5578"/>
        <item m="1" x="5315"/>
        <item m="1" x="5580"/>
        <item m="1" x="5581"/>
        <item m="1" x="5585"/>
        <item m="1" x="5330"/>
        <item m="1" x="5329"/>
        <item m="1" x="5590"/>
        <item m="1" x="5591"/>
        <item m="1" x="5592"/>
        <item m="1" x="5593"/>
        <item m="1" x="5594"/>
        <item m="1" x="5459"/>
        <item m="1" x="4063"/>
        <item m="1" x="5597"/>
        <item m="1" x="5598"/>
        <item m="1" x="5599"/>
        <item m="1" x="5602"/>
        <item m="1" x="5603"/>
        <item m="1" x="5604"/>
        <item m="1" x="5605"/>
        <item m="1" x="5606"/>
        <item m="1" x="5612"/>
        <item m="1" x="5613"/>
        <item m="1" x="426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8"/>
        <item m="1" x="5041"/>
        <item m="1" x="5630"/>
        <item m="1" x="5632"/>
        <item m="1" x="5633"/>
        <item m="1" x="5634"/>
        <item m="1" x="5635"/>
        <item m="1" x="5641"/>
        <item m="1" x="5642"/>
        <item m="1" x="5464"/>
        <item m="1" x="5643"/>
        <item m="1" x="5644"/>
        <item m="1" x="4918"/>
        <item m="1" x="5657"/>
        <item m="1" x="5466"/>
        <item m="1" x="4658"/>
        <item m="1" x="4654"/>
        <item m="1" x="5659"/>
        <item m="1" x="5660"/>
        <item m="1" x="5661"/>
        <item m="1" x="5662"/>
        <item m="1" x="5663"/>
        <item m="1" x="5380"/>
        <item m="1" x="5378"/>
        <item m="1" x="5379"/>
        <item m="1" x="4862"/>
        <item m="1" x="5668"/>
        <item m="1" x="5669"/>
        <item m="1" x="5670"/>
        <item m="1" x="5673"/>
        <item m="1" x="4882"/>
        <item m="1" x="4659"/>
        <item m="1" x="5676"/>
        <item m="1" x="5677"/>
        <item m="1" x="5411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221"/>
        <item m="1" x="5222"/>
        <item m="1" x="5689"/>
        <item m="1" x="5690"/>
        <item m="1" x="5494"/>
        <item m="1" x="5495"/>
        <item m="1" x="4960"/>
        <item m="1" x="5691"/>
        <item m="1" x="5692"/>
        <item m="1" x="5694"/>
        <item m="1" x="4798"/>
        <item m="1" x="5696"/>
        <item m="1" x="5697"/>
        <item m="1" x="5400"/>
        <item m="1" x="5698"/>
        <item m="1" x="5057"/>
        <item m="1" x="5050"/>
        <item m="1" x="4896"/>
        <item m="1" x="5711"/>
        <item m="1" x="5025"/>
        <item m="1" x="5717"/>
        <item m="1" x="5718"/>
        <item m="1" x="5719"/>
        <item m="1" x="5720"/>
        <item m="1" x="5721"/>
        <item m="1" x="5722"/>
        <item m="1" x="5723"/>
        <item m="1" x="5024"/>
        <item m="1" x="5730"/>
        <item m="1" x="4667"/>
        <item m="1" x="5732"/>
        <item m="1" x="5734"/>
        <item m="1" x="4668"/>
        <item m="1" x="5739"/>
        <item m="1" x="5740"/>
        <item m="1" x="5745"/>
        <item m="1" x="5271"/>
        <item m="1" x="5275"/>
        <item m="1" x="5280"/>
        <item m="1" x="5445"/>
        <item m="1" x="5446"/>
        <item m="1" x="5282"/>
        <item m="1" x="4407"/>
        <item m="1" x="5447"/>
        <item m="1" x="5448"/>
        <item m="1" x="5449"/>
        <item m="1" x="4583"/>
        <item m="1" x="5285"/>
        <item m="1" x="5286"/>
        <item m="1" x="5287"/>
        <item m="1" x="5291"/>
        <item m="1" x="5292"/>
        <item m="1" x="5294"/>
        <item m="1" x="5295"/>
        <item m="1" x="5296"/>
        <item m="1" x="5297"/>
        <item m="1" x="5451"/>
        <item m="1" x="5452"/>
        <item m="1" x="5300"/>
        <item m="1" x="5299"/>
        <item m="1" x="5453"/>
        <item m="1" x="5302"/>
        <item m="1" x="4586"/>
        <item m="1" x="5303"/>
        <item m="1" x="5304"/>
        <item m="1" x="1197"/>
        <item m="1" x="5455"/>
        <item m="1" x="5456"/>
        <item m="1" x="5457"/>
        <item m="1" x="5458"/>
        <item m="1" x="5312"/>
        <item m="1" x="5313"/>
        <item m="1" x="5314"/>
        <item m="1" x="2269"/>
        <item m="1" x="4600"/>
        <item m="1" x="1931"/>
        <item m="1" x="1932"/>
        <item m="1" x="5322"/>
        <item m="1" x="5323"/>
        <item m="1" x="5320"/>
        <item m="1" x="5321"/>
        <item m="1" x="5309"/>
        <item m="1" x="5327"/>
        <item m="1" x="5328"/>
        <item m="1" x="5331"/>
        <item m="1" x="5339"/>
        <item m="1" x="5344"/>
        <item m="1" x="5345"/>
        <item m="1" x="5460"/>
        <item m="1" x="5461"/>
        <item m="1" x="5354"/>
        <item m="1" x="5462"/>
        <item m="1" x="5040"/>
        <item m="1" x="5042"/>
        <item m="1" x="5043"/>
        <item m="1" x="4313"/>
        <item m="1" x="4312"/>
        <item m="1" x="5463"/>
        <item m="1" x="5361"/>
        <item m="1" x="5358"/>
        <item m="1" x="5363"/>
        <item m="1" x="5364"/>
        <item m="1" x="5365"/>
        <item m="1" x="5366"/>
        <item m="1" x="5370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4676"/>
        <item m="1" x="4884"/>
        <item m="1" x="5479"/>
        <item m="1" x="5480"/>
        <item m="1" x="5481"/>
        <item m="1" x="5482"/>
        <item m="1" x="5483"/>
        <item m="1" x="4679"/>
        <item m="1" x="5485"/>
        <item m="1" x="4959"/>
        <item m="1" x="5487"/>
        <item m="1" x="5488"/>
        <item m="1" x="4720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4952"/>
        <item m="1" x="5501"/>
        <item m="1" x="5502"/>
        <item m="1" x="5503"/>
        <item m="1" x="5067"/>
        <item m="1" x="4999"/>
        <item m="1" x="4990"/>
        <item m="1" x="4760"/>
        <item m="1" x="4761"/>
        <item m="1" x="4762"/>
        <item m="1" x="5504"/>
        <item m="1" x="2762"/>
        <item m="1" x="4773"/>
        <item m="1" x="5507"/>
        <item m="1" x="4845"/>
        <item m="1" x="5428"/>
        <item m="1" x="4675"/>
        <item m="1" x="5509"/>
        <item m="1" x="5510"/>
        <item m="1" x="5511"/>
        <item m="1" x="5512"/>
        <item m="1" x="5513"/>
        <item m="1" x="5514"/>
        <item m="1" x="4831"/>
        <item m="1" x="5516"/>
        <item m="1" x="4885"/>
        <item m="1" x="5517"/>
        <item m="1" x="5518"/>
        <item m="1" x="5520"/>
        <item m="1" x="5272"/>
        <item m="1" x="5273"/>
        <item m="1" x="5274"/>
        <item m="1" x="5276"/>
        <item m="1" x="5277"/>
        <item m="1" x="5278"/>
        <item m="1" x="5186"/>
        <item m="1" x="5279"/>
        <item m="1" x="4593"/>
        <item m="1" x="5283"/>
        <item m="1" x="5284"/>
        <item m="1" x="4543"/>
        <item m="1" x="5164"/>
        <item m="1" x="5289"/>
        <item m="1" x="5290"/>
        <item m="1" x="5168"/>
        <item m="1" x="5293"/>
        <item m="1" x="514"/>
        <item m="1" x="4228"/>
        <item m="1" x="4956"/>
        <item m="1" x="5173"/>
        <item m="1" x="5174"/>
        <item m="1" x="5180"/>
        <item m="1" x="5301"/>
        <item m="1" x="4936"/>
        <item m="1" x="4264"/>
        <item m="1" x="5305"/>
        <item m="1" x="5306"/>
        <item m="1" x="5308"/>
        <item m="1" x="5310"/>
        <item m="1" x="5311"/>
        <item m="1" x="5316"/>
        <item m="1" x="1933"/>
        <item m="1" x="5318"/>
        <item m="1" x="5319"/>
        <item m="1" x="4270"/>
        <item m="1" x="5136"/>
        <item m="1" x="4610"/>
        <item m="1" x="4979"/>
        <item m="1" x="5332"/>
        <item m="1" x="5333"/>
        <item m="1" x="5337"/>
        <item m="1" x="5338"/>
        <item m="1" x="5340"/>
        <item m="1" x="5341"/>
        <item m="1" x="5342"/>
        <item m="1" x="5343"/>
        <item m="1" x="5346"/>
        <item m="1" x="5347"/>
        <item m="1" x="5348"/>
        <item m="1" x="5349"/>
        <item m="1" x="5183"/>
        <item m="1" x="5350"/>
        <item m="1" x="5352"/>
        <item m="1" x="5353"/>
        <item m="1" x="5149"/>
        <item m="1" x="5150"/>
        <item m="1" x="5044"/>
        <item m="1" x="5187"/>
        <item m="1" x="5355"/>
        <item m="1" x="5356"/>
        <item m="1" x="5357"/>
        <item m="1" x="5359"/>
        <item m="1" x="5360"/>
        <item m="1" x="5362"/>
        <item m="1" x="5367"/>
        <item m="1" x="5368"/>
        <item m="1" x="5369"/>
        <item m="1" x="5004"/>
        <item m="1" x="5371"/>
        <item m="1" x="5372"/>
        <item m="1" x="5373"/>
        <item m="1" x="5374"/>
        <item m="1" x="5375"/>
        <item m="1" x="5376"/>
        <item m="1" x="5377"/>
        <item m="1" x="4669"/>
        <item m="1" x="4670"/>
        <item m="1" x="5381"/>
        <item m="1" x="5382"/>
        <item m="1" x="5383"/>
        <item m="1" x="5384"/>
        <item m="1" x="4323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4796"/>
        <item m="1" x="4797"/>
        <item m="1" x="5401"/>
        <item m="1" x="1448"/>
        <item m="1" x="4942"/>
        <item m="1" x="4944"/>
        <item m="1" x="4945"/>
        <item m="1" x="5403"/>
        <item m="1" x="5404"/>
        <item m="1" x="5405"/>
        <item m="1" x="5138"/>
        <item m="1" x="5139"/>
        <item m="1" x="5406"/>
        <item m="1" x="4642"/>
        <item m="1" x="5409"/>
        <item m="1" x="5410"/>
        <item m="1" x="5412"/>
        <item m="1" x="5413"/>
        <item m="1" x="5414"/>
        <item m="1" x="5415"/>
        <item m="1" x="5416"/>
        <item m="1" x="5417"/>
        <item m="1" x="5418"/>
        <item m="1" x="5419"/>
        <item m="1" x="4826"/>
        <item m="1" x="5420"/>
        <item m="1" x="5421"/>
        <item m="1" x="5422"/>
        <item m="1" x="5423"/>
        <item m="1" x="5424"/>
        <item m="1" x="5425"/>
        <item m="1" x="5426"/>
        <item m="1" x="5427"/>
        <item m="1" x="5239"/>
        <item m="1" x="4806"/>
        <item m="1" x="5429"/>
        <item m="1" x="5430"/>
        <item m="1" x="5431"/>
        <item m="1" x="5432"/>
        <item m="1" x="5433"/>
        <item m="1" x="5434"/>
        <item m="1" x="5435"/>
        <item m="1" x="5261"/>
        <item m="1" x="5436"/>
        <item m="1" x="5437"/>
        <item m="1" x="4620"/>
        <item m="1" x="4652"/>
        <item m="1" x="4651"/>
        <item m="1" x="5438"/>
        <item m="1" x="5124"/>
        <item m="1" x="4418"/>
        <item m="1" x="5128"/>
        <item m="1" x="4844"/>
        <item m="1" x="4843"/>
        <item m="1" x="5159"/>
        <item m="1" x="5160"/>
        <item m="1" x="4619"/>
        <item m="1" x="5161"/>
        <item m="1" x="5162"/>
        <item m="1" x="5163"/>
        <item m="1" x="5165"/>
        <item m="1" x="5166"/>
        <item m="1" x="5167"/>
        <item m="1" x="774"/>
        <item m="1" x="773"/>
        <item m="1" x="4660"/>
        <item m="1" x="4582"/>
        <item m="1" x="5170"/>
        <item m="1" x="5171"/>
        <item m="1" x="4748"/>
        <item m="1" x="5109"/>
        <item m="1" x="4746"/>
        <item m="1" x="4747"/>
        <item m="1" x="5172"/>
        <item m="1" x="5176"/>
        <item m="1" x="5177"/>
        <item m="1" x="3983"/>
        <item m="1" x="1921"/>
        <item m="1" x="3982"/>
        <item m="1" x="4909"/>
        <item m="1" x="1452"/>
        <item m="1" x="3363"/>
        <item m="1" x="4285"/>
        <item m="1" x="4287"/>
        <item m="1" x="4997"/>
        <item m="1" x="4998"/>
        <item m="1" x="5184"/>
        <item m="1" x="5018"/>
        <item m="1" x="5190"/>
        <item m="1" x="3887"/>
        <item m="1" x="3886"/>
        <item m="1" x="3984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056"/>
        <item m="1" x="5005"/>
        <item m="1" x="5006"/>
        <item m="1" x="5007"/>
        <item m="1" x="4141"/>
        <item m="1" x="5202"/>
        <item m="1" x="5203"/>
        <item m="1" x="5204"/>
        <item m="1" x="5205"/>
        <item m="1" x="5206"/>
        <item m="1" x="5208"/>
        <item m="1" x="5209"/>
        <item m="1" x="5210"/>
        <item m="1" x="4821"/>
        <item m="1" x="5211"/>
        <item m="1" x="5212"/>
        <item m="1" x="5214"/>
        <item m="1" x="4644"/>
        <item m="1" x="4046"/>
        <item m="1" x="5217"/>
        <item m="1" x="5218"/>
        <item m="1" x="5219"/>
        <item m="1" x="5220"/>
        <item m="1" x="5224"/>
        <item m="1" x="5225"/>
        <item m="1" x="5226"/>
        <item m="1" x="5227"/>
        <item m="1" x="5228"/>
        <item m="1" x="5229"/>
        <item m="1" x="5230"/>
        <item m="1" x="5231"/>
        <item m="1" x="4941"/>
        <item m="1" x="5232"/>
        <item m="1" x="5233"/>
        <item m="1" x="5234"/>
        <item m="1" x="4799"/>
        <item m="1" x="5240"/>
        <item m="1" x="4158"/>
        <item m="1" x="5243"/>
        <item m="1" x="5244"/>
        <item m="1" x="4836"/>
        <item m="1" x="5246"/>
        <item m="1" x="5247"/>
        <item m="1" x="5248"/>
        <item m="1" x="5249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2"/>
        <item m="1" x="5263"/>
        <item m="1" x="5268"/>
        <item m="1" x="5269"/>
        <item m="1" x="4414"/>
        <item m="1" x="5058"/>
        <item m="1" x="4617"/>
        <item m="1" x="5060"/>
        <item m="1" x="4640"/>
        <item m="1" x="4638"/>
        <item m="1" x="4639"/>
        <item m="1" x="4635"/>
        <item m="1" x="4636"/>
        <item m="1" x="4637"/>
        <item m="1" x="4618"/>
        <item m="1" x="5061"/>
        <item m="1" x="5062"/>
        <item m="1" x="4544"/>
        <item m="1" x="5063"/>
        <item m="1" x="5064"/>
        <item m="1" x="5065"/>
        <item m="1" x="4665"/>
        <item m="1" x="4677"/>
        <item m="1" x="5066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4718"/>
        <item m="1" x="5101"/>
        <item m="1" x="5102"/>
        <item m="1" x="5103"/>
        <item m="1" x="4580"/>
        <item m="1" x="5104"/>
        <item m="1" x="4578"/>
        <item m="1" x="5105"/>
        <item m="1" x="4576"/>
        <item m="1" x="4733"/>
        <item m="1" x="3980"/>
        <item m="1" x="4739"/>
        <item m="1" x="4717"/>
        <item m="1" x="4740"/>
        <item m="1" x="5108"/>
        <item m="1" x="5110"/>
        <item m="1" x="5111"/>
        <item m="1" x="4745"/>
        <item m="1" x="4753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4785"/>
        <item m="1" x="4784"/>
        <item m="1" x="5121"/>
        <item m="1" x="4234"/>
        <item m="1" x="4235"/>
        <item m="1" x="4236"/>
        <item m="1" x="5122"/>
        <item m="1" x="4819"/>
        <item m="1" x="4824"/>
        <item m="1" x="4827"/>
        <item m="1" x="4835"/>
        <item m="1" x="5125"/>
        <item m="1" x="5126"/>
        <item m="1" x="5127"/>
        <item m="1" x="4092"/>
        <item m="1" x="4245"/>
        <item m="1" x="4478"/>
        <item m="1" x="4102"/>
        <item m="1" x="5130"/>
        <item m="1" x="5131"/>
        <item m="1" x="4907"/>
        <item m="1" x="3381"/>
        <item m="1" x="4908"/>
        <item m="1" x="4915"/>
        <item m="1" x="4912"/>
        <item m="1" x="5134"/>
        <item m="1" x="5135"/>
        <item m="1" x="2786"/>
        <item m="1" x="3981"/>
        <item m="1" x="5137"/>
        <item m="1" x="4929"/>
        <item m="1" x="3979"/>
        <item m="1" x="4958"/>
        <item m="1" x="4963"/>
        <item m="1" x="4964"/>
        <item m="1" x="4937"/>
        <item m="1" x="4943"/>
        <item m="1" x="4955"/>
        <item m="1" x="4510"/>
        <item m="1" x="5141"/>
        <item m="1" x="4986"/>
        <item m="1" x="5142"/>
        <item m="1" x="5143"/>
        <item m="1" x="5144"/>
        <item m="1" x="5003"/>
        <item m="1" x="5002"/>
        <item m="1" x="5000"/>
        <item m="1" x="5001"/>
        <item m="1" x="5145"/>
        <item m="1" x="2789"/>
        <item m="1" x="5146"/>
        <item m="1" x="5017"/>
        <item m="1" x="5011"/>
        <item m="1" x="5023"/>
        <item m="1" x="1617"/>
        <item m="1" x="5147"/>
        <item m="1" x="5019"/>
        <item m="1" x="5148"/>
        <item m="1" x="5039"/>
        <item m="1" x="5046"/>
        <item m="1" x="5047"/>
        <item m="1" x="5048"/>
        <item m="1" x="3885"/>
        <item m="1" x="5151"/>
        <item m="1" x="5054"/>
        <item m="1" x="5152"/>
        <item m="1" x="4406"/>
        <item m="1" x="5055"/>
        <item m="1" x="4409"/>
        <item m="1" x="4408"/>
        <item m="1" x="4164"/>
        <item m="1" x="4641"/>
        <item m="1" x="4643"/>
        <item m="1" x="4663"/>
        <item m="1" x="2155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3988"/>
        <item m="1" x="4712"/>
        <item m="1" x="4713"/>
        <item m="1" x="4714"/>
        <item m="1" x="4715"/>
        <item m="1" x="4716"/>
        <item m="1" x="3233"/>
        <item m="1" x="4067"/>
        <item m="1" x="4726"/>
        <item m="1" x="4042"/>
        <item m="1" x="4225"/>
        <item m="1" x="4585"/>
        <item m="1" x="3978"/>
        <item m="1" x="4490"/>
        <item m="1" x="4741"/>
        <item m="1" x="4608"/>
        <item m="1" x="4744"/>
        <item m="1" x="4749"/>
        <item m="1" x="4750"/>
        <item m="1" x="4764"/>
        <item m="1" x="4765"/>
        <item m="1" x="4405"/>
        <item m="1" x="772"/>
        <item m="1" x="4788"/>
        <item m="1" x="4789"/>
        <item m="1" x="4790"/>
        <item m="1" x="4791"/>
        <item m="1" x="4800"/>
        <item m="1" x="4801"/>
        <item m="1" x="4817"/>
        <item m="1" x="4818"/>
        <item m="1" x="4823"/>
        <item m="1" x="4825"/>
        <item m="1" x="4829"/>
        <item m="1" x="4840"/>
        <item m="1" x="4846"/>
        <item m="1" x="4847"/>
        <item m="1" x="4848"/>
        <item m="1" x="4849"/>
        <item m="1" x="4850"/>
        <item m="1" x="4877"/>
        <item m="1" x="4096"/>
        <item m="1" x="4097"/>
        <item m="1" x="4888"/>
        <item m="1" x="4899"/>
        <item m="1" x="4253"/>
        <item m="1" x="4254"/>
        <item m="1" x="4255"/>
        <item m="1" x="4906"/>
        <item m="1" x="4483"/>
        <item m="1" x="4910"/>
        <item m="1" x="4911"/>
        <item m="1" x="4913"/>
        <item m="1" x="4916"/>
        <item m="1" x="2258"/>
        <item m="1" x="2260"/>
        <item m="1" x="2261"/>
        <item m="1" x="2262"/>
        <item m="1" x="1922"/>
        <item m="1" x="1923"/>
        <item m="1" x="2257"/>
        <item m="1" x="4928"/>
        <item m="1" x="4495"/>
        <item m="1" x="4930"/>
        <item m="1" x="4931"/>
        <item m="1" x="4932"/>
        <item m="1" x="4601"/>
        <item m="1" x="4933"/>
        <item m="1" x="4934"/>
        <item m="1" x="4947"/>
        <item m="1" x="4951"/>
        <item m="1" x="4954"/>
        <item m="1" x="4957"/>
        <item m="1" x="4961"/>
        <item m="1" x="4962"/>
        <item m="1" x="4966"/>
        <item m="1" x="4404"/>
        <item m="1" x="3989"/>
        <item m="1" x="4980"/>
        <item m="1" x="4982"/>
        <item m="1" x="4984"/>
        <item m="1" x="4988"/>
        <item m="1" x="5008"/>
        <item m="1" x="5009"/>
        <item m="1" x="5012"/>
        <item m="1" x="5013"/>
        <item m="1" x="5014"/>
        <item m="1" x="5015"/>
        <item m="1" x="5016"/>
        <item m="1" x="4149"/>
        <item m="1" x="5020"/>
        <item m="1" x="5021"/>
        <item m="1" x="5022"/>
        <item m="1" x="5030"/>
        <item m="1" x="5049"/>
        <item m="1" x="5051"/>
        <item m="1" x="5052"/>
        <item m="1" x="5053"/>
        <item m="1" x="4537"/>
        <item m="1" x="4538"/>
        <item m="1" x="4539"/>
        <item m="1" x="4540"/>
        <item m="1" x="4541"/>
        <item m="1" x="1173"/>
        <item m="1" x="4542"/>
        <item m="1" x="4415"/>
        <item m="1" x="3701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442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7"/>
        <item m="1" x="4579"/>
        <item m="1" x="3930"/>
        <item m="1" x="4584"/>
        <item m="1" x="3730"/>
        <item m="1" x="4587"/>
        <item m="1" x="4588"/>
        <item m="1" x="4589"/>
        <item m="1" x="4590"/>
        <item m="1" x="4591"/>
        <item m="1" x="4460"/>
        <item m="1" x="4464"/>
        <item m="1" x="4470"/>
        <item m="1" x="2790"/>
        <item m="1" x="4467"/>
        <item m="1" x="4468"/>
        <item m="1" x="4466"/>
        <item m="1" x="4592"/>
        <item m="1" x="4594"/>
        <item m="1" x="4595"/>
        <item m="1" x="4596"/>
        <item m="1" x="4476"/>
        <item m="1" x="4477"/>
        <item m="1" x="4475"/>
        <item m="1" x="4474"/>
        <item m="1" x="4095"/>
        <item m="1" x="4480"/>
        <item m="1" x="4249"/>
        <item m="1" x="4256"/>
        <item m="1" x="2193"/>
        <item m="1" x="4484"/>
        <item m="1" x="4485"/>
        <item m="1" x="4486"/>
        <item m="1" x="2253"/>
        <item m="1" x="2254"/>
        <item m="1" x="2255"/>
        <item m="1" x="4492"/>
        <item m="1" x="4491"/>
        <item m="1" x="4493"/>
        <item m="1" x="4602"/>
        <item m="1" x="4603"/>
        <item m="1" x="4604"/>
        <item m="1" x="4605"/>
        <item m="1" x="4606"/>
        <item m="1" x="4607"/>
        <item m="1" x="4609"/>
        <item m="1" x="4505"/>
        <item m="1" x="4504"/>
        <item m="1" x="4611"/>
        <item m="1" x="4506"/>
        <item m="1" x="4612"/>
        <item m="1" x="4613"/>
        <item m="1" x="3387"/>
        <item m="1" x="3388"/>
        <item m="1" x="4511"/>
        <item m="1" x="4512"/>
        <item m="1" x="4289"/>
        <item m="1" x="4288"/>
        <item m="1" x="4514"/>
        <item m="1" x="4517"/>
        <item m="1" x="4296"/>
        <item m="1" x="4521"/>
        <item m="1" x="4520"/>
        <item m="1" x="4523"/>
        <item m="1" x="4527"/>
        <item m="1" x="4403"/>
        <item m="1" x="4615"/>
        <item m="1" x="3884"/>
        <item m="1" x="2787"/>
        <item m="1" x="3977"/>
        <item m="1" x="3976"/>
        <item m="1" x="4616"/>
        <item m="1" x="4532"/>
        <item m="1" x="4402"/>
        <item m="1" x="4401"/>
        <item m="1" x="4410"/>
        <item m="1" x="4411"/>
        <item m="1" x="4412"/>
        <item m="1" x="3997"/>
        <item m="1" x="4003"/>
        <item m="1" x="4413"/>
        <item m="1" x="4416"/>
        <item m="1" x="535"/>
        <item m="1" x="4417"/>
        <item m="1" x="4419"/>
        <item m="1" x="4420"/>
        <item m="1" x="4421"/>
        <item m="1" x="4422"/>
        <item m="1" x="4423"/>
        <item m="1" x="4395"/>
        <item m="1" x="4424"/>
        <item m="1" x="4394"/>
        <item m="1" x="4425"/>
        <item m="1" x="4426"/>
        <item m="1" x="4427"/>
        <item m="1" x="4428"/>
        <item m="1" x="4429"/>
        <item m="1" x="4430"/>
        <item m="1" x="4365"/>
        <item m="1" x="4431"/>
        <item m="1" x="4432"/>
        <item m="1" x="4400"/>
        <item m="1" x="3288"/>
        <item m="1" x="4433"/>
        <item m="1" x="4434"/>
        <item m="1" x="4435"/>
        <item m="1" x="4436"/>
        <item m="1" x="4393"/>
        <item m="1" x="4437"/>
        <item m="1" x="4438"/>
        <item m="1" x="4439"/>
        <item m="1" x="4440"/>
        <item m="1" x="4441"/>
        <item m="1" x="1918"/>
        <item m="1" x="4443"/>
        <item m="1" x="4444"/>
        <item m="1" x="4445"/>
        <item m="1" x="4446"/>
        <item m="1" x="4019"/>
        <item m="1" x="4447"/>
        <item m="1" x="4448"/>
        <item m="1" x="4449"/>
        <item m="1" x="4450"/>
        <item m="1" x="4451"/>
        <item m="1" x="4397"/>
        <item m="1" x="4396"/>
        <item m="1" x="4452"/>
        <item m="1" x="4453"/>
        <item m="1" x="4454"/>
        <item m="1" x="4455"/>
        <item m="1" x="4456"/>
        <item m="1" x="4457"/>
        <item m="1" x="4224"/>
        <item m="1" x="4458"/>
        <item m="1" x="4361"/>
        <item m="1" x="4459"/>
        <item m="1" x="4399"/>
        <item m="1" x="4398"/>
        <item m="1" x="1579"/>
        <item m="1" x="4232"/>
        <item m="1" x="4461"/>
        <item m="1" x="4462"/>
        <item m="1" x="4463"/>
        <item m="1" x="4465"/>
        <item m="1" x="4469"/>
        <item m="1" x="4471"/>
        <item m="1" x="4069"/>
        <item m="1" x="4473"/>
        <item m="1" x="4246"/>
        <item m="1" x="4247"/>
        <item m="1" x="4479"/>
        <item m="1" x="2788"/>
        <item m="1" x="4100"/>
        <item m="1" x="4481"/>
        <item m="1" x="4257"/>
        <item m="1" x="4104"/>
        <item m="1" x="4482"/>
        <item m="1" x="4487"/>
        <item m="1" x="4488"/>
        <item m="1" x="2256"/>
        <item m="1" x="4110"/>
        <item m="1" x="4494"/>
        <item m="1" x="3971"/>
        <item m="1" x="4496"/>
        <item m="1" x="4497"/>
        <item m="1" x="4498"/>
        <item m="1" x="4499"/>
        <item m="1" x="4500"/>
        <item m="1" x="4501"/>
        <item m="1" x="4502"/>
        <item m="1" x="1462"/>
        <item m="1" x="4507"/>
        <item m="1" x="4508"/>
        <item m="1" x="4509"/>
        <item m="1" x="4136"/>
        <item m="1" x="4137"/>
        <item m="1" x="4138"/>
        <item m="1" x="4286"/>
        <item m="1" x="4513"/>
        <item m="1" x="4515"/>
        <item m="1" x="4516"/>
        <item m="1" x="4518"/>
        <item m="1" x="4519"/>
        <item m="1" x="4522"/>
        <item m="1" x="3394"/>
        <item m="1" x="3975"/>
        <item m="1" x="4524"/>
        <item m="1" x="4525"/>
        <item m="1" x="4526"/>
        <item m="1" x="4528"/>
        <item m="1" x="4150"/>
        <item m="1" x="4529"/>
        <item m="1" x="4530"/>
        <item m="1" x="4531"/>
        <item m="1" x="3881"/>
        <item m="1" x="3972"/>
        <item m="1" x="3882"/>
        <item m="1" x="4533"/>
        <item m="1" x="4534"/>
        <item m="1" x="4535"/>
        <item m="1" x="1920"/>
        <item m="1" x="4536"/>
        <item m="1" x="4372"/>
        <item m="1" x="4391"/>
        <item m="1" x="4348"/>
        <item m="1" x="4198"/>
        <item m="1" x="3929"/>
        <item m="1" x="4347"/>
        <item m="1" x="4008"/>
        <item m="1" x="4202"/>
        <item m="1" x="2792"/>
        <item m="1" x="4320"/>
        <item m="1" x="4325"/>
        <item m="1" x="4385"/>
        <item m="1" x="4380"/>
        <item m="1" x="4371"/>
        <item m="1" x="4379"/>
        <item m="1" x="4378"/>
        <item m="1" x="4377"/>
        <item m="1" x="4293"/>
        <item m="1" x="4376"/>
        <item m="1" x="4375"/>
        <item m="1" x="4390"/>
        <item m="1" x="4389"/>
        <item m="1" x="4388"/>
        <item m="1" x="4345"/>
        <item m="1" x="4358"/>
        <item m="1" x="1203"/>
        <item m="1" x="4346"/>
        <item m="1" x="4203"/>
        <item m="1" x="4352"/>
        <item m="1" x="4364"/>
        <item m="1" x="4363"/>
        <item m="1" x="4362"/>
        <item m="1" x="4018"/>
        <item m="1" x="4360"/>
        <item m="1" x="4359"/>
        <item m="1" x="4215"/>
        <item m="1" x="4370"/>
        <item m="1" x="4369"/>
        <item m="1" x="4368"/>
        <item m="1" x="4367"/>
        <item m="1" x="4366"/>
        <item m="1" x="4344"/>
        <item m="1" x="4343"/>
        <item m="1" x="4326"/>
        <item m="1" x="4329"/>
        <item m="1" x="4221"/>
        <item m="1" x="4033"/>
        <item m="1" x="2225"/>
        <item m="1" x="4338"/>
        <item m="1" x="4035"/>
        <item m="1" x="4039"/>
        <item m="1" x="4222"/>
        <item m="1" x="4334"/>
        <item m="1" x="4333"/>
        <item m="1" x="4332"/>
        <item m="1" x="4342"/>
        <item m="1" x="4341"/>
        <item m="1" x="4351"/>
        <item m="1" x="4350"/>
        <item m="1" x="4349"/>
        <item m="1" x="4340"/>
        <item m="1" x="4233"/>
        <item m="1" x="4381"/>
        <item m="1" x="4227"/>
        <item m="1" x="4231"/>
        <item m="1" x="2793"/>
        <item m="1" x="4237"/>
        <item m="1" x="4238"/>
        <item m="1" x="4065"/>
        <item m="1" x="4322"/>
        <item m="1" x="4321"/>
        <item m="1" x="4241"/>
        <item m="1" x="4242"/>
        <item m="1" x="4319"/>
        <item m="1" x="4244"/>
        <item m="1" x="4328"/>
        <item m="1" x="4327"/>
        <item m="1" x="4248"/>
        <item m="1" x="4252"/>
        <item m="1" x="4324"/>
        <item m="1" x="4103"/>
        <item m="1" x="4337"/>
        <item m="1" x="4336"/>
        <item m="1" x="4335"/>
        <item m="1" x="1217"/>
        <item m="1" x="4384"/>
        <item m="1" x="4383"/>
        <item m="1" x="4265"/>
        <item m="1" x="1928"/>
        <item m="1" x="1929"/>
        <item m="1" x="1926"/>
        <item m="1" x="1924"/>
        <item m="1" x="4387"/>
        <item m="1" x="4382"/>
        <item m="1" x="4354"/>
        <item m="1" x="4353"/>
        <item m="1" x="4356"/>
        <item m="1" x="4355"/>
        <item m="1" x="4129"/>
        <item m="1" x="4292"/>
        <item m="1" x="4386"/>
        <item m="1" x="4279"/>
        <item m="1" x="4140"/>
        <item m="1" x="3970"/>
        <item m="1" x="4373"/>
        <item m="1" x="4331"/>
        <item m="1" x="4291"/>
        <item m="1" x="4330"/>
        <item m="1" x="4317"/>
        <item m="1" x="4298"/>
        <item m="1" x="3969"/>
        <item m="1" x="4301"/>
        <item m="1" x="4308"/>
        <item m="1" x="4300"/>
        <item m="1" x="4318"/>
        <item m="1" x="4152"/>
        <item m="1" x="4153"/>
        <item m="1" x="3883"/>
        <item m="1" x="4374"/>
        <item m="1" x="1785"/>
        <item m="1" x="4392"/>
        <item m="1" x="4339"/>
        <item m="1" x="4165"/>
        <item m="1" x="4166"/>
        <item m="1" x="3992"/>
        <item m="1" x="3995"/>
        <item m="1" x="399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1566"/>
        <item m="1" x="4010"/>
        <item m="1" x="3931"/>
        <item m="1" x="4200"/>
        <item m="1" x="3941"/>
        <item m="1" x="4068"/>
        <item m="1" x="4201"/>
        <item m="1" x="4204"/>
        <item m="1" x="4017"/>
        <item m="1" x="4016"/>
        <item m="1" x="4205"/>
        <item m="1" x="4206"/>
        <item m="1" x="4207"/>
        <item m="1" x="4208"/>
        <item m="1" x="4209"/>
        <item m="1" x="4210"/>
        <item m="1" x="4211"/>
        <item m="1" x="4212"/>
        <item m="1" x="4015"/>
        <item m="1" x="4213"/>
        <item m="1" x="4011"/>
        <item m="1" x="4214"/>
        <item m="1" x="4012"/>
        <item m="1" x="4216"/>
        <item m="1" x="4217"/>
        <item m="1" x="4218"/>
        <item m="1" x="4219"/>
        <item m="1" x="4013"/>
        <item m="1" x="4014"/>
        <item m="1" x="4220"/>
        <item m="1" x="1665"/>
        <item m="1" x="1662"/>
        <item m="1" x="1661"/>
        <item m="1" x="3932"/>
        <item m="1" x="706"/>
        <item m="1" x="4223"/>
        <item m="1" x="4048"/>
        <item m="1" x="4049"/>
        <item m="1" x="4045"/>
        <item m="1" x="4050"/>
        <item m="1" x="4226"/>
        <item m="1" x="3967"/>
        <item m="1" x="3966"/>
        <item m="1" x="4230"/>
        <item m="1" x="4052"/>
        <item m="1" x="1059"/>
        <item m="1" x="4053"/>
        <item m="1" x="4051"/>
        <item m="1" x="4059"/>
        <item m="1" x="4060"/>
        <item m="1" x="4061"/>
        <item m="1" x="2791"/>
        <item m="1" x="4239"/>
        <item m="1" x="4240"/>
        <item m="1" x="4070"/>
        <item m="1" x="4071"/>
        <item m="1" x="4243"/>
        <item m="1" x="4074"/>
        <item m="1" x="4075"/>
        <item m="1" x="4076"/>
        <item m="1" x="4077"/>
        <item m="1" x="4082"/>
        <item m="1" x="4085"/>
        <item m="1" x="4086"/>
        <item m="1" x="4087"/>
        <item m="1" x="4088"/>
        <item m="1" x="4083"/>
        <item m="1" x="4089"/>
        <item m="1" x="4090"/>
        <item m="1" x="4094"/>
        <item m="1" x="3746"/>
        <item m="1" x="4250"/>
        <item m="1" x="4251"/>
        <item m="1" x="4258"/>
        <item m="1" x="4259"/>
        <item m="1" x="4261"/>
        <item m="1" x="4262"/>
        <item m="1" x="4106"/>
        <item m="1" x="1378"/>
        <item m="1" x="4267"/>
        <item m="1" x="4268"/>
        <item m="1" x="4271"/>
        <item m="1" x="4272"/>
        <item m="1" x="4273"/>
        <item m="1" x="4274"/>
        <item m="1" x="4275"/>
        <item m="1" x="4120"/>
        <item m="1" x="3373"/>
        <item m="1" x="1605"/>
        <item m="1" x="2613"/>
        <item m="1" x="4276"/>
        <item m="1" x="2951"/>
        <item m="1" x="4277"/>
        <item m="1" x="4278"/>
        <item m="1" x="4280"/>
        <item m="1" x="4139"/>
        <item m="1" x="4281"/>
        <item m="1" x="4282"/>
        <item m="1" x="4283"/>
        <item m="1" x="4284"/>
        <item m="1" x="4290"/>
        <item m="1" x="3963"/>
        <item m="1" x="4294"/>
        <item m="1" x="4142"/>
        <item m="1" x="4295"/>
        <item m="1" x="4299"/>
        <item m="1" x="4148"/>
        <item m="1" x="4147"/>
        <item m="1" x="4302"/>
        <item m="1" x="3769"/>
        <item m="1" x="4303"/>
        <item m="1" x="4304"/>
        <item m="1" x="4305"/>
        <item m="1" x="4306"/>
        <item m="1" x="4307"/>
        <item m="1" x="4309"/>
        <item m="1" x="4151"/>
        <item m="1" x="4310"/>
        <item m="1" x="4311"/>
        <item m="1" x="4314"/>
        <item m="1" x="4315"/>
        <item m="1" x="4316"/>
        <item m="1" x="4163"/>
        <item m="1" x="4162"/>
        <item m="1" x="3952"/>
        <item m="1" x="3990"/>
        <item m="1" x="3991"/>
        <item m="1" x="2945"/>
        <item m="1" x="3415"/>
        <item m="1" x="3993"/>
        <item m="1" x="3994"/>
        <item m="1" x="3577"/>
        <item m="1" x="3974"/>
        <item m="1" x="3999"/>
        <item m="1" x="4000"/>
        <item m="1" x="4001"/>
        <item m="1" x="3781"/>
        <item m="1" x="4002"/>
        <item m="1" x="2659"/>
        <item m="1" x="3371"/>
        <item m="1" x="4004"/>
        <item m="1" x="3950"/>
        <item m="1" x="4005"/>
        <item m="1" x="4006"/>
        <item m="1" x="4007"/>
        <item m="1" x="3949"/>
        <item m="1" x="4009"/>
        <item m="1" x="548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3694"/>
        <item m="1" x="4032"/>
        <item m="1" x="3479"/>
        <item m="1" x="4034"/>
        <item m="1" x="4036"/>
        <item m="1" x="3987"/>
        <item m="1" x="4037"/>
        <item m="1" x="1252"/>
        <item m="1" x="3965"/>
        <item m="1" x="3964"/>
        <item m="1" x="4040"/>
        <item m="1" x="4041"/>
        <item m="1" x="4043"/>
        <item m="1" x="4044"/>
        <item m="1" x="3943"/>
        <item m="1" x="4047"/>
        <item m="1" x="3962"/>
        <item m="1" x="3959"/>
        <item m="1" x="4054"/>
        <item m="1" x="4055"/>
        <item m="1" x="4056"/>
        <item m="1" x="3947"/>
        <item m="1" x="4057"/>
        <item m="1" x="4058"/>
        <item m="1" x="2948"/>
        <item m="1" x="4062"/>
        <item m="1" x="3948"/>
        <item m="1" x="2217"/>
        <item m="1" x="4064"/>
        <item m="1" x="771"/>
        <item m="1" x="4066"/>
        <item m="1" x="3341"/>
        <item m="1" x="3343"/>
        <item m="1" x="3958"/>
        <item m="1" x="3973"/>
        <item m="1" x="1586"/>
        <item m="1" x="4073"/>
        <item m="1" x="4078"/>
        <item m="1" x="4079"/>
        <item m="1" x="3743"/>
        <item m="1" x="4080"/>
        <item m="1" x="4081"/>
        <item m="1" x="1507"/>
        <item m="1" x="3561"/>
        <item m="1" x="4091"/>
        <item m="1" x="4093"/>
        <item m="1" x="4098"/>
        <item m="1" x="766"/>
        <item m="1" x="4101"/>
        <item m="1" x="3750"/>
        <item m="1" x="4105"/>
        <item m="1" x="4107"/>
        <item m="1" x="4108"/>
        <item m="1" x="3518"/>
        <item m="1" x="4109"/>
        <item m="1" x="3763"/>
        <item m="1" x="4111"/>
        <item m="1" x="4112"/>
        <item m="1" x="4113"/>
        <item m="1" x="4114"/>
        <item m="1" x="3968"/>
        <item m="1" x="3861"/>
        <item m="1" x="4115"/>
        <item m="1" x="1887"/>
        <item m="1" x="4116"/>
        <item m="1" x="4117"/>
        <item m="1" x="4118"/>
        <item m="1" x="4119"/>
        <item m="1" x="4121"/>
        <item m="1" x="4122"/>
        <item m="1" x="4123"/>
        <item m="1" x="4124"/>
        <item m="1" x="4125"/>
        <item m="1" x="4126"/>
        <item m="1" x="4127"/>
        <item m="1" x="4128"/>
        <item m="1" x="2302"/>
        <item m="1" x="3857"/>
        <item m="1" x="4130"/>
        <item m="1" x="4131"/>
        <item m="1" x="4132"/>
        <item m="1" x="2301"/>
        <item m="1" x="4133"/>
        <item m="1" x="4134"/>
        <item m="1" x="4135"/>
        <item m="1" x="3764"/>
        <item m="1" x="3765"/>
        <item m="1" x="3695"/>
        <item m="1" x="3951"/>
        <item m="1" x="2947"/>
        <item m="1" x="4143"/>
        <item m="1" x="4144"/>
        <item m="1" x="4145"/>
        <item m="1" x="3547"/>
        <item m="1" x="4146"/>
        <item m="1" x="4154"/>
        <item m="1" x="3880"/>
        <item m="1" x="3957"/>
        <item m="1" x="3956"/>
        <item m="1" x="4155"/>
        <item m="1" x="4156"/>
        <item m="1" x="4157"/>
        <item m="1" x="1623"/>
        <item m="1" x="3697"/>
        <item m="1" x="3696"/>
        <item m="1" x="4159"/>
        <item m="1" x="4160"/>
        <item m="1" x="4161"/>
        <item m="1" x="3413"/>
        <item m="1" x="3916"/>
        <item m="1" x="3919"/>
        <item m="1" x="3918"/>
        <item m="1" x="3898"/>
        <item m="1" x="3899"/>
        <item m="1" x="3274"/>
        <item m="1" x="2372"/>
        <item m="1" x="3928"/>
        <item m="1" x="3961"/>
        <item m="1" x="3915"/>
        <item m="1" x="3921"/>
        <item m="1" x="3911"/>
        <item m="1" x="3942"/>
        <item m="1" x="3913"/>
        <item m="1" x="3912"/>
        <item m="1" x="3914"/>
        <item m="1" x="3903"/>
        <item m="1" x="3905"/>
        <item m="1" x="3946"/>
        <item m="1" x="3289"/>
        <item m="1" x="3926"/>
        <item m="1" x="3804"/>
        <item m="1" x="3805"/>
        <item m="1" x="3922"/>
        <item m="1" x="3901"/>
        <item m="1" x="3801"/>
        <item m="1" x="3904"/>
        <item m="1" x="3908"/>
        <item m="1" x="3907"/>
        <item m="1" x="1663"/>
        <item m="1" x="3960"/>
        <item m="1" x="1432"/>
        <item m="1" x="3818"/>
        <item m="1" x="3945"/>
        <item m="1" x="3822"/>
        <item m="1" x="3827"/>
        <item m="1" x="3828"/>
        <item m="1" x="2943"/>
        <item m="1" x="1881"/>
        <item m="1" x="1882"/>
        <item m="1" x="2942"/>
        <item m="1" x="3909"/>
        <item m="1" x="3823"/>
        <item m="1" x="3824"/>
        <item m="1" x="2950"/>
        <item m="1" x="3940"/>
        <item m="1" x="3832"/>
        <item m="1" x="2214"/>
        <item m="1" x="3938"/>
        <item m="1" x="3927"/>
        <item m="1" x="3910"/>
        <item m="1" x="3934"/>
        <item m="1" x="3902"/>
        <item m="1" x="1166"/>
        <item m="1" x="3936"/>
        <item m="1" x="3935"/>
        <item m="1" x="3925"/>
        <item m="1" x="3219"/>
        <item m="1" x="3944"/>
        <item m="1" x="3692"/>
        <item m="1" x="2938"/>
        <item m="1" x="2939"/>
        <item m="1" x="2940"/>
        <item m="1" x="2941"/>
        <item m="1" x="3906"/>
        <item m="1" x="3841"/>
        <item m="1" x="3839"/>
        <item m="1" x="3840"/>
        <item m="1" x="3838"/>
        <item m="1" x="3845"/>
        <item m="1" x="3846"/>
        <item m="1" x="767"/>
        <item m="1" x="3690"/>
        <item m="1" x="3933"/>
        <item m="1" x="2190"/>
        <item m="1" x="3896"/>
        <item m="1" x="3851"/>
        <item m="1" x="3853"/>
        <item m="1" x="1433"/>
        <item m="1" x="3939"/>
        <item m="1" x="3917"/>
        <item m="1" x="3231"/>
        <item m="1" x="3920"/>
        <item m="1" x="3756"/>
        <item m="1" x="3863"/>
        <item m="1" x="3862"/>
        <item m="1" x="3953"/>
        <item m="1" x="1886"/>
        <item m="1" x="3900"/>
        <item m="1" x="3691"/>
        <item m="1" x="2944"/>
        <item m="1" x="1509"/>
        <item m="1" x="3830"/>
        <item m="1" x="2946"/>
        <item m="1" x="3870"/>
        <item m="1" x="3872"/>
        <item m="1" x="3873"/>
        <item m="1" x="3876"/>
        <item m="1" x="3877"/>
        <item m="1" x="3878"/>
        <item m="1" x="2949"/>
        <item m="1" x="3693"/>
        <item m="1" x="3562"/>
        <item m="1" x="3563"/>
        <item m="1" x="3897"/>
        <item m="1" x="3955"/>
        <item m="1" x="3954"/>
        <item m="1" x="3888"/>
        <item m="1" x="3889"/>
        <item m="1" x="3924"/>
        <item m="1" x="3923"/>
        <item m="1" x="3937"/>
        <item m="1" x="3891"/>
        <item m="1" x="3893"/>
        <item m="1" x="3894"/>
        <item m="1" x="3771"/>
        <item m="1" x="3892"/>
        <item m="1" x="3412"/>
        <item m="1" x="3772"/>
        <item m="1" x="3700"/>
        <item m="1" x="3773"/>
        <item m="1" x="3774"/>
        <item m="1" x="3775"/>
        <item m="1" x="3776"/>
        <item m="1" x="3777"/>
        <item m="1" x="3778"/>
        <item m="1" x="3281"/>
        <item m="1" x="3779"/>
        <item m="1" x="3780"/>
        <item m="1" x="3782"/>
        <item m="1" x="3783"/>
        <item m="1" x="3784"/>
        <item m="1" x="3785"/>
        <item m="1" x="3786"/>
        <item m="1" x="3717"/>
        <item m="1" x="3787"/>
        <item m="1" x="3718"/>
        <item m="1" x="3788"/>
        <item m="1" x="3789"/>
        <item m="1" x="3790"/>
        <item m="1" x="3791"/>
        <item m="1" x="3429"/>
        <item m="1" x="32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290"/>
        <item m="1" x="3802"/>
        <item m="1" x="3803"/>
        <item m="1" x="3806"/>
        <item m="1" x="3807"/>
        <item m="1" x="3714"/>
        <item m="1" x="3808"/>
        <item m="1" x="3809"/>
        <item m="1" x="3292"/>
        <item m="1" x="3810"/>
        <item m="1" x="3811"/>
        <item m="1" x="3812"/>
        <item m="1" x="3813"/>
        <item m="1" x="3814"/>
        <item m="1" x="3815"/>
        <item m="1" x="3816"/>
        <item m="1" x="3326"/>
        <item m="1" x="3817"/>
        <item m="1" x="3819"/>
        <item m="1" x="3820"/>
        <item m="1" x="3821"/>
        <item m="1" x="2958"/>
        <item m="1" x="2959"/>
        <item m="1" x="3737"/>
        <item m="1" x="3738"/>
        <item m="1" x="3825"/>
        <item m="1" x="3826"/>
        <item m="1" x="3740"/>
        <item m="1" x="3829"/>
        <item m="1" x="3831"/>
        <item m="1" x="2953"/>
        <item m="1" x="2954"/>
        <item m="1" x="2291"/>
        <item m="1" x="3498"/>
        <item m="1" x="3833"/>
        <item m="1" x="3686"/>
        <item m="1" x="3834"/>
        <item m="1" x="3342"/>
        <item m="1" x="2276"/>
        <item m="1" x="3687"/>
        <item m="1" x="1328"/>
        <item m="1" x="3836"/>
        <item m="1" x="3837"/>
        <item m="1" x="3742"/>
        <item m="1" x="3842"/>
        <item m="1" x="3745"/>
        <item m="1" x="3843"/>
        <item m="1" x="3844"/>
        <item m="1" x="3504"/>
        <item m="1" x="3847"/>
        <item m="1" x="3848"/>
        <item m="1" x="3849"/>
        <item m="1" x="3749"/>
        <item m="1" x="2766"/>
        <item m="1" x="3850"/>
        <item m="1" x="3852"/>
        <item m="1" x="3752"/>
        <item m="1" x="1430"/>
        <item m="1" x="3854"/>
        <item m="1" x="3855"/>
        <item m="1" x="3856"/>
        <item x="99"/>
        <item m="1" x="3364"/>
        <item m="1" x="3689"/>
        <item m="1" x="3220"/>
        <item m="1" x="3221"/>
        <item m="1" x="3222"/>
        <item m="1" x="3858"/>
        <item m="1" x="1446"/>
        <item m="1" x="3859"/>
        <item m="1" x="3860"/>
        <item m="1" x="1885"/>
        <item m="1" x="3374"/>
        <item m="1" x="3375"/>
        <item m="1" x="3864"/>
        <item m="1" x="3865"/>
        <item m="1" x="3866"/>
        <item m="1" x="3382"/>
        <item m="1" x="3867"/>
        <item m="1" x="3760"/>
        <item m="1" x="3868"/>
        <item m="1" x="3688"/>
        <item m="1" x="2964"/>
        <item m="1" x="3869"/>
        <item m="1" x="2968"/>
        <item m="1" x="3871"/>
        <item m="1" x="3767"/>
        <item m="1" x="3874"/>
        <item m="1" x="3768"/>
        <item m="1" x="1324"/>
        <item m="1" x="3875"/>
        <item m="1" x="1329"/>
        <item m="1" x="3879"/>
        <item m="1" x="3403"/>
        <item m="1" x="3890"/>
        <item m="1" x="3685"/>
        <item m="1" x="1622"/>
        <item m="1" x="1799"/>
        <item m="1" x="1800"/>
        <item m="1" x="3895"/>
        <item m="1" x="3698"/>
        <item m="1" x="3699"/>
        <item m="1" x="3702"/>
        <item m="1" x="1125"/>
        <item m="1" x="3418"/>
        <item m="1" x="770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295"/>
        <item m="1" x="3294"/>
        <item m="1" x="3712"/>
        <item m="1" x="3713"/>
        <item m="1" x="3715"/>
        <item m="1" x="3716"/>
        <item m="1" x="3293"/>
        <item m="1" x="3719"/>
        <item m="1" x="3720"/>
        <item m="1" x="3721"/>
        <item m="1" x="3722"/>
        <item m="1" x="3723"/>
        <item m="1" x="3724"/>
        <item m="1" x="3725"/>
        <item m="1" x="3428"/>
        <item m="1" x="3726"/>
        <item m="1" x="3727"/>
        <item m="1" x="3728"/>
        <item m="1" x="1901"/>
        <item m="1" x="3729"/>
        <item m="1" x="1356"/>
        <item m="1" x="3464"/>
        <item m="1" x="1664"/>
        <item m="1" x="3473"/>
        <item m="1" x="1322"/>
        <item m="1" x="3731"/>
        <item m="1" x="3732"/>
        <item m="1" x="3733"/>
        <item m="1" x="455"/>
        <item m="1" x="3734"/>
        <item m="1" x="3735"/>
        <item m="1" x="3736"/>
        <item m="1" x="1280"/>
        <item m="1" x="1281"/>
        <item m="1" x="3739"/>
        <item m="1" x="2960"/>
        <item m="1" x="2961"/>
        <item m="1" x="3480"/>
        <item m="1" x="2127"/>
        <item m="1" x="3487"/>
        <item m="1" x="3485"/>
        <item m="1" x="3488"/>
        <item m="1" x="3489"/>
        <item m="1" x="3490"/>
        <item m="1" x="1296"/>
        <item m="1" x="2644"/>
        <item m="1" x="2971"/>
        <item m="1" x="3344"/>
        <item m="1" x="3741"/>
        <item m="1" x="3670"/>
        <item m="1" x="3744"/>
        <item m="1" x="3351"/>
        <item m="1" x="3352"/>
        <item m="1" x="746"/>
        <item m="1" x="3678"/>
        <item m="1" x="3747"/>
        <item m="1" x="3748"/>
        <item m="1" x="3675"/>
        <item m="1" x="3673"/>
        <item m="1" x="3672"/>
        <item m="1" x="3682"/>
        <item m="1" x="3674"/>
        <item m="1" x="3677"/>
        <item m="1" x="3676"/>
        <item m="1" x="3681"/>
        <item m="1" x="3680"/>
        <item m="1" x="3512"/>
        <item m="1" x="3513"/>
        <item m="1" x="3751"/>
        <item m="1" x="3519"/>
        <item m="1" x="3521"/>
        <item m="1" x="3753"/>
        <item m="1" x="3754"/>
        <item m="1" x="3669"/>
        <item m="1" x="3223"/>
        <item m="1" x="3755"/>
        <item m="1" x="3683"/>
        <item m="1" x="3229"/>
        <item m="1" x="3531"/>
        <item m="1" x="3757"/>
        <item m="1" x="3758"/>
        <item m="1" x="3759"/>
        <item m="1" x="2614"/>
        <item m="1" x="2615"/>
        <item m="1" x="3761"/>
        <item m="1" x="3762"/>
        <item m="1" x="1120"/>
        <item m="1" x="2963"/>
        <item m="1" x="3766"/>
        <item m="1" x="3549"/>
        <item m="1" x="3550"/>
        <item m="1" x="3551"/>
        <item m="1" x="3554"/>
        <item m="1" x="3555"/>
        <item m="1" x="3671"/>
        <item m="1" x="3684"/>
        <item m="1" x="3402"/>
        <item m="1" x="3401"/>
        <item m="1" x="3770"/>
        <item m="1" x="3566"/>
        <item m="1" x="1621"/>
        <item m="1" x="3576"/>
        <item m="1" x="3575"/>
        <item m="1" x="3569"/>
        <item m="1" x="3570"/>
        <item m="1" x="1332"/>
        <item m="1" x="3571"/>
        <item m="1" x="2426"/>
        <item m="1" x="3606"/>
        <item m="1" x="3596"/>
        <item m="1" x="3649"/>
        <item m="1" x="3423"/>
        <item m="1" x="3422"/>
        <item m="1" x="3581"/>
        <item m="1" x="3419"/>
        <item m="1" x="3420"/>
        <item m="1" x="3421"/>
        <item m="1" x="3417"/>
        <item m="1" x="3662"/>
        <item m="1" x="3590"/>
        <item m="1" x="3657"/>
        <item m="1" x="3595"/>
        <item m="1" x="3426"/>
        <item m="1" x="3607"/>
        <item m="1" x="3279"/>
        <item m="1" x="3668"/>
        <item m="1" x="3438"/>
        <item m="1" x="3594"/>
        <item m="1" x="3593"/>
        <item m="1" x="3592"/>
        <item m="1" x="3591"/>
        <item m="1" x="3584"/>
        <item m="1" x="3439"/>
        <item m="1" x="3580"/>
        <item m="1" x="3579"/>
        <item m="1" x="3578"/>
        <item m="1" x="3440"/>
        <item m="1" x="3437"/>
        <item m="1" x="3436"/>
        <item m="1" x="3600"/>
        <item m="1" x="3618"/>
        <item m="1" x="3621"/>
        <item m="1" x="3630"/>
        <item m="1" x="3433"/>
        <item m="1" x="3627"/>
        <item m="1" x="3435"/>
        <item m="1" x="3434"/>
        <item m="1" x="3640"/>
        <item m="1" x="3639"/>
        <item m="1" x="3638"/>
        <item m="1" x="3637"/>
        <item m="1" x="3636"/>
        <item m="1" x="3635"/>
        <item m="1" x="3661"/>
        <item m="1" x="3663"/>
        <item m="1" x="3430"/>
        <item m="1" x="3667"/>
        <item m="1" x="3666"/>
        <item m="1" x="3665"/>
        <item m="1" x="3431"/>
        <item m="1" x="3650"/>
        <item m="1" x="3647"/>
        <item m="1" x="3646"/>
        <item m="1" x="3432"/>
        <item m="1" x="3645"/>
        <item m="1" x="3628"/>
        <item m="1" x="3629"/>
        <item m="1" x="3620"/>
        <item m="1" x="3619"/>
        <item m="1" x="3623"/>
        <item m="1" x="3475"/>
        <item m="1" x="3465"/>
        <item m="1" x="3470"/>
        <item m="1" x="776"/>
        <item m="1" x="3474"/>
        <item m="1" x="3599"/>
        <item m="1" x="1341"/>
        <item m="1" x="2425"/>
        <item m="1" x="3634"/>
        <item m="1" x="3345"/>
        <item m="1" x="3656"/>
        <item m="1" x="3481"/>
        <item m="1" x="3588"/>
        <item m="1" x="3483"/>
        <item m="1" x="765"/>
        <item m="1" x="1284"/>
        <item m="1" x="3615"/>
        <item m="1" x="3497"/>
        <item m="1" x="3495"/>
        <item m="1" x="3496"/>
        <item m="1" x="3597"/>
        <item m="1" x="1318"/>
        <item m="1" x="1330"/>
        <item m="1" x="3652"/>
        <item m="1" x="3651"/>
        <item m="1" x="3586"/>
        <item m="1" x="3585"/>
        <item m="1" x="3660"/>
        <item m="1" x="3654"/>
        <item m="1" x="3610"/>
        <item m="1" x="3643"/>
        <item m="1" x="1393"/>
        <item m="1" x="3655"/>
        <item m="1" x="3502"/>
        <item m="1" x="3503"/>
        <item m="1" x="3603"/>
        <item m="1" x="3505"/>
        <item m="1" x="3507"/>
        <item m="1" x="1399"/>
        <item m="1" x="3602"/>
        <item m="1" x="3601"/>
        <item m="1" x="2180"/>
        <item m="1" x="3604"/>
        <item m="1" x="3608"/>
        <item m="1" x="3609"/>
        <item m="1" x="3648"/>
        <item m="1" x="3616"/>
        <item m="1" x="3510"/>
        <item m="1" x="3658"/>
        <item m="1" x="3617"/>
        <item m="1" x="1420"/>
        <item m="1" x="3514"/>
        <item m="1" x="3515"/>
        <item m="1" x="3517"/>
        <item m="1" x="3520"/>
        <item m="1" x="1435"/>
        <item m="1" x="542"/>
        <item m="1" x="3524"/>
        <item m="1" x="3589"/>
        <item m="1" x="1445"/>
        <item m="1" x="3632"/>
        <item m="1" x="3626"/>
        <item m="1" x="3653"/>
        <item m="1" x="1444"/>
        <item m="1" x="1729"/>
        <item m="1" x="2275"/>
        <item m="1" x="543"/>
        <item m="1" x="544"/>
        <item m="1" x="545"/>
        <item m="1" x="3529"/>
        <item m="1" x="3230"/>
        <item m="1" x="3664"/>
        <item m="1" x="3228"/>
        <item m="1" x="2660"/>
        <item m="1" x="3641"/>
        <item m="1" x="2431"/>
        <item m="1" x="3614"/>
        <item m="1" x="2966"/>
        <item m="1" x="3631"/>
        <item m="1" x="3536"/>
        <item m="1" x="3598"/>
        <item m="1" x="3383"/>
        <item m="1" x="3385"/>
        <item m="1" x="3540"/>
        <item m="1" x="3508"/>
        <item m="1" x="3541"/>
        <item m="1" x="3633"/>
        <item m="1" x="3542"/>
        <item m="1" x="3543"/>
        <item m="1" x="3587"/>
        <item m="1" x="3625"/>
        <item m="1" x="3624"/>
        <item m="1" x="3611"/>
        <item m="1" x="3582"/>
        <item m="1" x="3553"/>
        <item m="1" x="3546"/>
        <item m="1" x="3548"/>
        <item m="1" x="3642"/>
        <item m="1" x="3395"/>
        <item m="1" x="3559"/>
        <item m="1" x="3556"/>
        <item m="1" x="3644"/>
        <item m="1" x="3583"/>
        <item m="1" x="3399"/>
        <item m="1" x="3613"/>
        <item m="1" x="3612"/>
        <item m="1" x="3573"/>
        <item m="1" x="3567"/>
        <item m="1" x="3574"/>
        <item m="1" x="3659"/>
        <item m="1" x="3568"/>
        <item m="1" x="3622"/>
        <item m="1" x="3414"/>
        <item m="1" x="2903"/>
        <item m="1" x="3268"/>
        <item m="1" x="3416"/>
        <item m="1" x="3424"/>
        <item m="1" x="1565"/>
        <item m="1" x="1563"/>
        <item m="1" x="1564"/>
        <item m="1" x="3425"/>
        <item m="1" x="1884"/>
        <item m="1" x="1889"/>
        <item m="1" x="3427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6"/>
        <item m="1" x="3467"/>
        <item m="1" x="3323"/>
        <item m="1" x="3325"/>
        <item m="1" x="3468"/>
        <item m="1" x="3469"/>
        <item m="1" x="524"/>
        <item m="1" x="2430"/>
        <item m="1" x="3471"/>
        <item m="1" x="3396"/>
        <item m="1" x="3472"/>
        <item m="1" x="3476"/>
        <item m="1" x="3477"/>
        <item m="1" x="3478"/>
        <item m="1" x="511"/>
        <item m="1" x="2962"/>
        <item m="1" x="3482"/>
        <item m="1" x="3484"/>
        <item m="1" x="497"/>
        <item m="1" x="950"/>
        <item m="1" x="949"/>
        <item m="1" x="2969"/>
        <item m="1" x="3486"/>
        <item m="1" x="3337"/>
        <item m="1" x="464"/>
        <item m="1" x="462"/>
        <item m="1" x="465"/>
        <item m="1" x="2952"/>
        <item m="1" x="3491"/>
        <item m="1" x="3492"/>
        <item m="1" x="2955"/>
        <item m="1" x="1295"/>
        <item m="1" x="3493"/>
        <item m="1" x="3494"/>
        <item m="1" x="2956"/>
        <item m="1" x="2359"/>
        <item m="1" x="1353"/>
        <item m="1" x="1354"/>
        <item m="1" x="1345"/>
        <item m="1" x="1350"/>
        <item m="1" x="1351"/>
        <item m="1" x="1352"/>
        <item m="1" x="1342"/>
        <item m="1" x="1357"/>
        <item m="1" x="1358"/>
        <item m="1" x="1355"/>
        <item m="1" x="2665"/>
        <item m="1" x="1323"/>
        <item m="1" x="1327"/>
        <item m="1" x="1325"/>
        <item m="1" x="1326"/>
        <item m="1" x="1331"/>
        <item m="1" x="1333"/>
        <item m="1" x="1334"/>
        <item m="1" x="2957"/>
        <item m="1" x="3499"/>
        <item m="1" x="3500"/>
        <item m="1" x="3501"/>
        <item m="1" x="3506"/>
        <item m="1" x="1398"/>
        <item m="1" x="2398"/>
        <item m="1" x="2283"/>
        <item m="1" x="3509"/>
        <item m="1" x="3511"/>
        <item m="1" x="1419"/>
        <item m="1" x="2661"/>
        <item m="1" x="2991"/>
        <item m="1" x="2251"/>
        <item m="1" x="2252"/>
        <item m="1" x="3516"/>
        <item m="1" x="3362"/>
        <item m="1" x="3522"/>
        <item m="1" x="3523"/>
        <item m="1" x="1434"/>
        <item m="1" x="2970"/>
        <item m="1" x="3525"/>
        <item m="1" x="3526"/>
        <item m="1" x="3527"/>
        <item m="1" x="3528"/>
        <item m="1" x="3530"/>
        <item m="1" x="2807"/>
        <item m="1" x="3372"/>
        <item m="1" x="3532"/>
        <item m="1" x="3533"/>
        <item m="1" x="3534"/>
        <item m="1" x="3535"/>
        <item m="1" x="3224"/>
        <item m="1" x="3225"/>
        <item m="1" x="3226"/>
        <item m="1" x="3537"/>
        <item m="1" x="3538"/>
        <item m="1" x="3380"/>
        <item m="1" x="2662"/>
        <item m="1" x="3539"/>
        <item m="1" x="2967"/>
        <item m="1" x="2965"/>
        <item m="1" x="3391"/>
        <item m="1" x="3392"/>
        <item m="1" x="3393"/>
        <item m="1" x="3544"/>
        <item m="1" x="3545"/>
        <item m="1" x="3002"/>
        <item m="1" x="3552"/>
        <item m="1" x="3557"/>
        <item m="1" x="3558"/>
        <item m="1" x="3560"/>
        <item m="1" x="3397"/>
        <item m="1" x="609"/>
        <item m="1" x="1782"/>
        <item m="1" x="3398"/>
        <item m="1" x="3400"/>
        <item m="1" x="3564"/>
        <item m="1" x="3408"/>
        <item m="1" x="3565"/>
        <item m="1" x="3572"/>
        <item m="1" x="1321"/>
        <item m="1" x="3265"/>
        <item m="1" x="630"/>
        <item m="1" x="3266"/>
        <item m="1" x="3267"/>
        <item m="1" x="3269"/>
        <item m="1" x="3180"/>
        <item m="1" x="3270"/>
        <item m="1" x="3271"/>
        <item m="1" x="3272"/>
        <item m="1" x="3275"/>
        <item m="1" x="3276"/>
        <item m="1" x="3277"/>
        <item m="1" x="3278"/>
        <item m="1" x="3280"/>
        <item m="1" x="3282"/>
        <item m="1" x="3283"/>
        <item m="1" x="2827"/>
        <item m="1" x="3284"/>
        <item m="1" x="3285"/>
        <item m="1" x="3286"/>
        <item m="1" x="3287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177"/>
        <item m="1" x="3316"/>
        <item m="1" x="3317"/>
        <item m="1" x="3318"/>
        <item m="1" x="3319"/>
        <item m="1" x="3320"/>
        <item m="1" x="3321"/>
        <item m="1" x="3322"/>
        <item m="1" x="3163"/>
        <item m="1" x="3324"/>
        <item m="1" x="3167"/>
        <item m="1" x="3168"/>
        <item m="1" x="3169"/>
        <item m="1" x="3327"/>
        <item m="1" x="3328"/>
        <item m="1" x="2429"/>
        <item m="1" x="3329"/>
        <item m="1" x="3330"/>
        <item m="1" x="3331"/>
        <item m="1" x="3332"/>
        <item m="1" x="2989"/>
        <item m="1" x="3333"/>
        <item m="1" x="3334"/>
        <item m="1" x="3335"/>
        <item m="1" x="3336"/>
        <item m="1" x="2990"/>
        <item m="1" x="3172"/>
        <item m="1" x="2819"/>
        <item m="1" x="1279"/>
        <item m="1" x="2428"/>
        <item m="1" x="2984"/>
        <item m="1" x="3338"/>
        <item m="1" x="3339"/>
        <item m="1" x="2427"/>
        <item m="1" x="2976"/>
        <item m="1" x="2977"/>
        <item m="1" x="2978"/>
        <item m="1" x="2979"/>
        <item m="1" x="2980"/>
        <item m="1" x="3179"/>
        <item m="1" x="2795"/>
        <item m="1" x="2981"/>
        <item m="1" x="3190"/>
        <item m="1" x="3191"/>
        <item m="1" x="3192"/>
        <item m="1" x="3193"/>
        <item m="1" x="3346"/>
        <item m="1" x="3347"/>
        <item m="1" x="2664"/>
        <item m="1" x="2975"/>
        <item m="1" x="3348"/>
        <item m="1" x="3208"/>
        <item m="1" x="3349"/>
        <item m="1" x="3350"/>
        <item m="1" x="3353"/>
        <item m="1" x="3354"/>
        <item m="1" x="3355"/>
        <item m="1" x="3356"/>
        <item m="1" x="3199"/>
        <item m="1" x="3201"/>
        <item m="1" x="3357"/>
        <item m="1" x="3358"/>
        <item m="1" x="3359"/>
        <item m="1" x="3360"/>
        <item m="1" x="3361"/>
        <item m="1" x="3204"/>
        <item m="1" x="3210"/>
        <item m="1" x="3209"/>
        <item m="1" x="3212"/>
        <item m="1" x="3213"/>
        <item m="1" x="3214"/>
        <item m="1" x="3215"/>
        <item m="1" x="3365"/>
        <item m="1" x="3366"/>
        <item m="1" x="3367"/>
        <item m="1" x="3368"/>
        <item m="1" x="2051"/>
        <item m="1" x="3369"/>
        <item m="1" x="3370"/>
        <item m="1" x="3376"/>
        <item m="1" x="3377"/>
        <item m="1" x="3378"/>
        <item m="1" x="3379"/>
        <item m="1" x="3227"/>
        <item m="1" x="3384"/>
        <item m="1" x="3386"/>
        <item m="1" x="3389"/>
        <item m="1" x="3236"/>
        <item m="1" x="3390"/>
        <item m="1" x="1940"/>
        <item m="1" x="3248"/>
        <item m="1" x="3001"/>
        <item m="1" x="3249"/>
        <item m="1" x="3250"/>
        <item m="1" x="3404"/>
        <item m="1" x="1257"/>
        <item m="1" x="3405"/>
        <item m="1" x="610"/>
        <item m="1" x="607"/>
        <item m="1" x="2129"/>
        <item m="1" x="2073"/>
        <item m="1" x="3406"/>
        <item m="1" x="1784"/>
        <item m="1" x="3407"/>
        <item m="1" x="3409"/>
        <item m="1" x="2453"/>
        <item m="1" x="3410"/>
        <item m="1" x="3411"/>
        <item m="1" x="3263"/>
        <item m="1" x="3264"/>
        <item m="1" x="3255"/>
        <item m="1" x="3256"/>
        <item m="1" x="2388"/>
        <item m="1" x="2983"/>
        <item m="1" x="3114"/>
        <item m="1" x="3115"/>
        <item m="1" x="3116"/>
        <item m="1" x="3016"/>
        <item m="1" x="3117"/>
        <item m="1" x="3003"/>
        <item m="1" x="743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1205"/>
        <item m="1" x="2686"/>
        <item m="1" x="2292"/>
        <item m="1" x="3134"/>
        <item m="1" x="3135"/>
        <item m="1" x="692"/>
        <item m="1" x="1980"/>
        <item m="1" x="2810"/>
        <item m="1" x="3136"/>
        <item m="1" x="2806"/>
        <item m="1" x="663"/>
        <item m="1" x="3137"/>
        <item m="1" x="2829"/>
        <item m="1" x="3138"/>
        <item m="1" x="3139"/>
        <item m="1" x="2648"/>
        <item m="1" x="3140"/>
        <item m="1" x="2690"/>
        <item m="1" x="3141"/>
        <item m="1" x="3142"/>
        <item m="1" x="3143"/>
        <item m="1" x="3144"/>
        <item m="1" x="3145"/>
        <item m="1" x="2832"/>
        <item m="1" x="3146"/>
        <item m="1" x="1320"/>
        <item m="1" x="3147"/>
        <item m="1" x="3148"/>
        <item m="1" x="3149"/>
        <item m="1" x="3150"/>
        <item m="1" x="3151"/>
        <item m="1" x="3152"/>
        <item m="1" x="3153"/>
        <item m="1" x="2858"/>
        <item m="1" x="3154"/>
        <item m="1" x="3155"/>
        <item m="1" x="3156"/>
        <item m="1" x="3007"/>
        <item m="1" x="3157"/>
        <item m="1" x="1211"/>
        <item m="1" x="3009"/>
        <item m="1" x="3008"/>
        <item m="1" x="3158"/>
        <item m="1" x="3159"/>
        <item m="1" x="3160"/>
        <item m="1" x="2467"/>
        <item m="1" x="2466"/>
        <item m="1" x="3012"/>
        <item m="1" x="3011"/>
        <item m="1" x="3161"/>
        <item m="1" x="2663"/>
        <item m="1" x="3162"/>
        <item m="1" x="2797"/>
        <item m="1" x="1256"/>
        <item m="1" x="3013"/>
        <item m="1" x="3014"/>
        <item m="1" x="3164"/>
        <item m="1" x="3165"/>
        <item m="1" x="3166"/>
        <item m="1" x="1263"/>
        <item m="1" x="3170"/>
        <item m="1" x="3171"/>
        <item m="1" x="1447"/>
        <item m="1" x="2808"/>
        <item m="1" x="3173"/>
        <item m="1" x="1254"/>
        <item m="1" x="1580"/>
        <item m="1" x="1581"/>
        <item m="1" x="2982"/>
        <item m="1" x="3174"/>
        <item m="1" x="3175"/>
        <item m="1" x="3176"/>
        <item m="1" x="3178"/>
        <item m="1" x="1486"/>
        <item m="1" x="463"/>
        <item m="1" x="3181"/>
        <item m="1" x="3182"/>
        <item m="1" x="3183"/>
        <item m="1" x="3184"/>
        <item m="1" x="3185"/>
        <item m="1" x="1441"/>
        <item m="1" x="2988"/>
        <item m="1" x="2986"/>
        <item m="1" x="2987"/>
        <item m="1" x="3186"/>
        <item m="1" x="3187"/>
        <item m="1" x="1314"/>
        <item m="1" x="2818"/>
        <item m="1" x="2298"/>
        <item m="1" x="3188"/>
        <item m="1" x="1360"/>
        <item m="1" x="1346"/>
        <item m="1" x="3189"/>
        <item m="1" x="3194"/>
        <item m="1" x="3195"/>
        <item m="1" x="2798"/>
        <item m="1" x="2973"/>
        <item m="1" x="2972"/>
        <item m="1" x="3196"/>
        <item m="1" x="2432"/>
        <item m="1" x="3197"/>
        <item m="1" x="3198"/>
        <item m="1" x="496"/>
        <item m="1" x="2169"/>
        <item m="1" x="3200"/>
        <item m="1" x="2176"/>
        <item m="1" x="3203"/>
        <item m="1" x="3205"/>
        <item m="1" x="3206"/>
        <item m="1" x="2678"/>
        <item m="1" x="2809"/>
        <item m="1" x="3207"/>
        <item m="1" x="1431"/>
        <item m="1" x="3211"/>
        <item m="1" x="2085"/>
        <item m="1" x="3216"/>
        <item m="1" x="1464"/>
        <item m="1" x="1469"/>
        <item m="1" x="3217"/>
        <item m="1" x="3218"/>
        <item m="1" x="694"/>
        <item m="1" x="3232"/>
        <item m="1" x="2273"/>
        <item m="1" x="745"/>
        <item m="1" x="2140"/>
        <item m="1" x="3234"/>
        <item m="1" x="2681"/>
        <item m="1" x="2992"/>
        <item m="1" x="3237"/>
        <item m="1" x="2993"/>
        <item m="1" x="2994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780"/>
        <item m="1" x="3251"/>
        <item m="1" x="3252"/>
        <item m="1" x="3253"/>
        <item m="1" x="2995"/>
        <item m="1" x="804"/>
        <item m="1" x="602"/>
        <item m="1" x="2128"/>
        <item m="1" x="2814"/>
        <item x="253"/>
        <item m="1" x="2815"/>
        <item m="1" x="1783"/>
        <item m="1" x="2813"/>
        <item m="1" x="2811"/>
        <item m="1" x="2812"/>
        <item m="1" x="3254"/>
        <item m="1" x="2374"/>
        <item m="1" x="2997"/>
        <item m="1" x="2998"/>
        <item m="1" x="3257"/>
        <item m="1" x="3258"/>
        <item m="1" x="3259"/>
        <item m="1" x="3260"/>
        <item m="1" x="3261"/>
        <item m="1" x="3262"/>
        <item m="1" x="627"/>
        <item m="1" x="2669"/>
        <item m="1" x="2974"/>
        <item m="1" x="2617"/>
        <item m="1" x="2800"/>
        <item m="1" x="488"/>
        <item m="1" x="2801"/>
        <item m="1" x="2802"/>
        <item m="1" x="2803"/>
        <item m="1" x="1895"/>
        <item m="1" x="2804"/>
        <item m="1" x="1896"/>
        <item m="1" x="2449"/>
        <item m="1" x="1897"/>
        <item m="1" x="2985"/>
        <item m="1" x="1898"/>
        <item m="1" x="546"/>
        <item m="1" x="769"/>
        <item m="1" x="2996"/>
        <item m="1" x="2817"/>
        <item m="1" x="2999"/>
        <item m="1" x="3000"/>
        <item m="1" x="2822"/>
        <item m="1" x="2821"/>
        <item m="1" x="2826"/>
        <item m="1" x="1450"/>
        <item m="1" x="1442"/>
        <item m="1" x="1471"/>
        <item m="1" x="1438"/>
        <item m="1" x="1449"/>
        <item m="1" x="525"/>
        <item m="1" x="3004"/>
        <item m="1" x="3005"/>
        <item m="1" x="3006"/>
        <item m="1" x="2616"/>
        <item m="1" x="2833"/>
        <item m="1" x="3010"/>
        <item m="1" x="761"/>
        <item m="1" x="2834"/>
        <item m="1" x="3015"/>
        <item m="1" x="2306"/>
        <item m="1" x="3017"/>
        <item m="1" x="3018"/>
        <item m="1" x="3019"/>
        <item m="1" x="3020"/>
        <item m="1" x="3021"/>
        <item m="1" x="3022"/>
        <item m="1" x="3023"/>
        <item m="1" x="693"/>
        <item m="1" x="3024"/>
        <item m="1" x="3025"/>
        <item m="1" x="3026"/>
        <item m="1" x="2439"/>
        <item m="1" x="3027"/>
        <item m="1" x="3028"/>
        <item m="1" x="3029"/>
        <item m="1" x="2331"/>
        <item m="1" x="2799"/>
        <item m="1" x="3030"/>
        <item m="1" x="3031"/>
        <item m="1" x="3032"/>
        <item m="1" x="3033"/>
        <item m="1" x="1122"/>
        <item m="1" x="3034"/>
        <item m="1" x="3035"/>
        <item m="1" x="3036"/>
        <item m="1" x="3037"/>
        <item m="1" x="2445"/>
        <item m="1" x="3038"/>
        <item m="1" x="3039"/>
        <item m="1" x="1538"/>
        <item m="1" x="3040"/>
        <item m="1" x="2805"/>
        <item m="1" x="2447"/>
        <item m="1" x="2209"/>
        <item m="1" x="2448"/>
        <item m="1" x="2671"/>
        <item m="1" x="2672"/>
        <item m="1" x="2675"/>
        <item m="1" x="2676"/>
        <item m="1" x="2677"/>
        <item m="1" x="2679"/>
        <item m="1" x="2680"/>
        <item m="1" x="2682"/>
        <item m="1" x="2683"/>
        <item m="1" x="2684"/>
        <item m="1" x="2700"/>
        <item m="1" x="3041"/>
        <item m="1" x="3042"/>
        <item m="1" x="3043"/>
        <item m="1" x="2270"/>
        <item m="1" x="3044"/>
        <item m="1" x="3045"/>
        <item m="1" x="3046"/>
        <item m="1" x="3047"/>
        <item m="1" x="2081"/>
        <item m="1" x="3048"/>
        <item m="1" x="3049"/>
        <item m="1" x="3050"/>
        <item m="1" x="1071"/>
        <item m="1" x="3051"/>
        <item m="1" x="570"/>
        <item m="1" x="3052"/>
        <item m="1" x="3053"/>
        <item m="1" x="3054"/>
        <item m="1" x="3055"/>
        <item m="1" x="2889"/>
        <item m="1" x="3056"/>
        <item m="1" x="3057"/>
        <item m="1" x="3058"/>
        <item m="1" x="2816"/>
        <item m="1" x="3059"/>
        <item m="1" x="966"/>
        <item m="1" x="1786"/>
        <item m="1" x="2835"/>
        <item m="1" x="3060"/>
        <item m="1" x="3061"/>
        <item m="1" x="3062"/>
        <item m="1" x="3063"/>
        <item m="1" x="2673"/>
        <item m="1" x="3064"/>
        <item m="1" x="2820"/>
        <item m="1" x="2823"/>
        <item m="1" x="2688"/>
        <item m="1" x="2825"/>
        <item m="1" x="1364"/>
        <item m="1" x="1253"/>
        <item m="1" x="2828"/>
        <item m="1" x="3065"/>
        <item m="1" x="3066"/>
        <item m="1" x="1319"/>
        <item m="1" x="1971"/>
        <item m="1" x="3067"/>
        <item m="1" x="3068"/>
        <item m="1" x="3069"/>
        <item m="1" x="3070"/>
        <item m="1" x="2177"/>
        <item m="1" x="3071"/>
        <item m="1" x="3072"/>
        <item m="1" x="2174"/>
        <item m="1" x="3073"/>
        <item m="1" x="3074"/>
        <item m="1" x="3075"/>
        <item m="1" x="664"/>
        <item m="1" x="2395"/>
        <item m="1" x="1455"/>
        <item m="1" x="3076"/>
        <item m="1" x="2186"/>
        <item m="1" x="2188"/>
        <item m="1" x="3077"/>
        <item m="1" x="2191"/>
        <item m="1" x="2195"/>
        <item m="1" x="2194"/>
        <item m="1" x="2192"/>
        <item m="1" x="2618"/>
        <item m="1" x="3078"/>
        <item m="1" x="3079"/>
        <item m="1" x="3080"/>
        <item m="1" x="3081"/>
        <item m="1" x="2831"/>
        <item m="1" x="2830"/>
        <item m="1" x="3082"/>
        <item m="1" x="3083"/>
        <item m="1" x="3084"/>
        <item m="1" x="3085"/>
        <item m="1" x="3086"/>
        <item m="1" x="3087"/>
        <item m="1" x="3088"/>
        <item m="1" x="3089"/>
        <item m="1" x="1601"/>
        <item m="1" x="3090"/>
        <item m="1" x="3091"/>
        <item m="1" x="3092"/>
        <item m="1" x="3093"/>
        <item m="1" x="2881"/>
        <item m="1" x="3094"/>
        <item m="1" x="3095"/>
        <item m="1" x="3096"/>
        <item m="1" x="3097"/>
        <item m="1" x="1977"/>
        <item m="1" x="3098"/>
        <item m="1" x="3099"/>
        <item m="1" x="3100"/>
        <item m="1" x="3101"/>
        <item m="1" x="1367"/>
        <item m="1" x="1377"/>
        <item m="1" x="3102"/>
        <item m="1" x="3103"/>
        <item m="1" x="3104"/>
        <item m="1" x="3105"/>
        <item m="1" x="3106"/>
        <item m="1" x="3107"/>
        <item m="1" x="3108"/>
        <item m="1" x="2197"/>
        <item m="1" x="3109"/>
        <item m="1" x="2923"/>
        <item m="1" x="3110"/>
        <item m="1" x="3111"/>
        <item m="1" x="3112"/>
        <item m="1" x="2915"/>
        <item m="1" x="3113"/>
        <item m="1" x="2215"/>
        <item m="1" x="2657"/>
        <item m="1" x="947"/>
        <item m="1" x="2824"/>
        <item m="1" x="2836"/>
        <item m="1" x="2837"/>
        <item m="1" x="2330"/>
        <item m="1" x="2838"/>
        <item m="1" x="2839"/>
        <item m="1" x="2666"/>
        <item m="1" x="2667"/>
        <item m="1" x="2840"/>
        <item m="1" x="2841"/>
        <item m="1" x="2668"/>
        <item m="1" x="2842"/>
        <item m="1" x="489"/>
        <item m="1" x="1659"/>
        <item m="1" x="2843"/>
        <item m="1" x="2844"/>
        <item m="1" x="1348"/>
        <item m="1" x="2845"/>
        <item m="1" x="2846"/>
        <item m="1" x="2847"/>
        <item m="1" x="2848"/>
        <item m="1" x="2849"/>
        <item m="1" x="2323"/>
        <item m="1" x="2850"/>
        <item m="1" x="2851"/>
        <item m="1" x="2852"/>
        <item m="1" x="2853"/>
        <item m="1" x="2454"/>
        <item m="1" x="2443"/>
        <item m="1" x="2854"/>
        <item m="1" x="2855"/>
        <item m="1" x="2856"/>
        <item m="1" x="2670"/>
        <item m="1" x="1159"/>
        <item m="1" x="2450"/>
        <item m="1" x="2857"/>
        <item m="1" x="2696"/>
        <item m="1" x="2859"/>
        <item m="1" x="2860"/>
        <item m="1" x="2861"/>
        <item m="1" x="2862"/>
        <item m="1" x="2863"/>
        <item m="1" x="2864"/>
        <item m="1" x="2865"/>
        <item m="1" x="2866"/>
        <item m="1" x="2451"/>
        <item m="1" x="2452"/>
        <item m="1" x="534"/>
        <item m="1" x="2674"/>
        <item m="1" x="2867"/>
        <item m="1" x="2685"/>
        <item m="1" x="571"/>
        <item m="1" x="2868"/>
        <item m="1" x="2457"/>
        <item m="1" x="2460"/>
        <item m="1" x="2869"/>
        <item m="1" x="2334"/>
        <item m="1" x="2870"/>
        <item m="1" x="2871"/>
        <item m="1" x="1143"/>
        <item m="1" x="2872"/>
        <item m="1" x="2873"/>
        <item m="1" x="2874"/>
        <item m="1" x="2356"/>
        <item m="1" x="2875"/>
        <item m="1" x="2876"/>
        <item m="1" x="2877"/>
        <item m="1" x="2104"/>
        <item m="1" x="2105"/>
        <item m="1" x="2463"/>
        <item m="1" x="2878"/>
        <item m="1" x="1620"/>
        <item m="1" x="2879"/>
        <item m="1" x="2880"/>
        <item m="1" x="1387"/>
        <item m="1" x="2882"/>
        <item m="1" x="2883"/>
        <item m="1" x="2687"/>
        <item m="1" x="2884"/>
        <item m="1" x="2885"/>
        <item m="1" x="1375"/>
        <item m="1" x="1376"/>
        <item m="1" x="2886"/>
        <item m="1" x="2887"/>
        <item m="1" x="2888"/>
        <item m="1" x="2890"/>
        <item m="1" x="2689"/>
        <item m="1" x="2891"/>
        <item m="1" x="2892"/>
        <item m="1" x="2893"/>
        <item m="1" x="2691"/>
        <item m="1" x="2894"/>
        <item m="1" x="2895"/>
        <item m="1" x="2897"/>
        <item m="1" x="2898"/>
        <item m="1" x="2899"/>
        <item m="1" x="2900"/>
        <item m="1" x="2901"/>
        <item m="1" x="2902"/>
        <item m="1" x="2904"/>
        <item m="1" x="2905"/>
        <item m="1" x="2906"/>
        <item m="1" x="705"/>
        <item m="1" x="1312"/>
        <item m="1" x="2907"/>
        <item m="1" x="1550"/>
        <item m="1" x="2908"/>
        <item m="1" x="2910"/>
        <item m="1" x="2911"/>
        <item m="1" x="2912"/>
        <item m="1" x="2913"/>
        <item m="1" x="2405"/>
        <item m="1" x="2914"/>
        <item m="1" x="2916"/>
        <item m="1" x="2917"/>
        <item m="1" x="2918"/>
        <item m="1" x="2694"/>
        <item m="1" x="2697"/>
        <item m="1" x="2919"/>
        <item m="1" x="2920"/>
        <item m="1" x="2692"/>
        <item m="1" x="2921"/>
        <item m="1" x="2922"/>
        <item m="1" x="2693"/>
        <item m="1" x="2777"/>
        <item m="1" x="2695"/>
        <item m="1" x="2698"/>
        <item m="1" x="2924"/>
        <item m="1" x="2622"/>
        <item m="1" x="2925"/>
        <item m="1" x="2926"/>
        <item m="1" x="2927"/>
        <item m="1" x="2928"/>
        <item m="1" x="2929"/>
        <item m="1" x="2930"/>
        <item m="1" x="2931"/>
        <item m="1" x="2932"/>
        <item m="1" x="1510"/>
        <item m="1" x="2933"/>
        <item m="1" x="2934"/>
        <item m="1" x="2702"/>
        <item m="1" x="2935"/>
        <item m="1" x="2936"/>
        <item m="1" x="2937"/>
        <item m="1" x="2782"/>
        <item m="1" x="2658"/>
        <item m="1" x="2701"/>
        <item m="1" x="2433"/>
        <item m="1" x="2434"/>
        <item m="1" x="2435"/>
        <item m="1" x="2436"/>
        <item m="1" x="2437"/>
        <item m="1" x="2438"/>
        <item m="1" x="2476"/>
        <item m="1" x="2477"/>
        <item m="1" x="2478"/>
        <item m="1" x="2623"/>
        <item m="1" x="2311"/>
        <item m="1" x="248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936"/>
        <item m="1" x="2440"/>
        <item m="1" x="2319"/>
        <item m="1" x="2725"/>
        <item m="1" x="2512"/>
        <item m="1" x="2441"/>
        <item m="1" x="768"/>
        <item m="1" x="498"/>
        <item m="1" x="2442"/>
        <item m="1" x="2514"/>
        <item m="1" x="2515"/>
        <item m="1" x="2520"/>
        <item m="1" x="2446"/>
        <item m="1" x="2444"/>
        <item m="1" x="2054"/>
        <item m="1" x="2726"/>
        <item m="1" x="2727"/>
        <item m="1" x="2728"/>
        <item m="1" x="2729"/>
        <item m="1" x="2730"/>
        <item m="1" x="2731"/>
        <item m="1" x="2732"/>
        <item m="1" x="2626"/>
        <item m="1" x="2627"/>
        <item m="1" x="2733"/>
        <item m="1" x="2734"/>
        <item m="1" x="2735"/>
        <item m="1" x="1163"/>
        <item m="1" x="2455"/>
        <item m="1" x="2456"/>
        <item m="1" x="2077"/>
        <item m="1" x="2736"/>
        <item m="1" x="2737"/>
        <item m="1" x="2505"/>
        <item m="1" x="2458"/>
        <item m="1" x="2506"/>
        <item m="1" x="1133"/>
        <item m="1" x="2459"/>
        <item m="1" x="2738"/>
        <item m="1" x="2739"/>
        <item m="1" x="2461"/>
        <item m="1" x="2525"/>
        <item m="1" x="2462"/>
        <item m="1" x="2527"/>
        <item m="1" x="2528"/>
        <item m="1" x="2344"/>
        <item m="1" x="2350"/>
        <item m="1" x="2740"/>
        <item m="1" x="2338"/>
        <item m="1" x="2339"/>
        <item m="1" x="2345"/>
        <item m="1" x="2346"/>
        <item m="1" x="2347"/>
        <item m="1" x="2348"/>
        <item m="1" x="2349"/>
        <item m="1" x="2250"/>
        <item m="1" x="2351"/>
        <item m="1" x="2352"/>
        <item m="1" x="2353"/>
        <item m="1" x="2337"/>
        <item m="1" x="2340"/>
        <item m="1" x="2619"/>
        <item m="1" x="2539"/>
        <item m="1" x="629"/>
        <item m="1" x="2464"/>
        <item m="1" x="2327"/>
        <item m="1" x="2542"/>
        <item m="1" x="2541"/>
        <item m="1" x="2741"/>
        <item m="1" x="2742"/>
        <item m="1" x="2743"/>
        <item m="1" x="2744"/>
        <item m="1" x="2745"/>
        <item m="1" x="2746"/>
        <item m="1" x="2747"/>
        <item m="1" x="1384"/>
        <item m="1" x="2748"/>
        <item m="1" x="2749"/>
        <item m="1" x="2750"/>
        <item m="1" x="1385"/>
        <item m="1" x="2165"/>
        <item m="1" x="2166"/>
        <item m="1" x="2751"/>
        <item m="1" x="2752"/>
        <item m="1" x="2753"/>
        <item m="1" x="2754"/>
        <item m="1" x="2755"/>
        <item m="1" x="2756"/>
        <item m="1" x="2620"/>
        <item m="1" x="2635"/>
        <item m="1" x="2757"/>
        <item m="1" x="2758"/>
        <item m="1" x="2633"/>
        <item m="1" x="1269"/>
        <item m="1" x="2759"/>
        <item m="1" x="2760"/>
        <item m="1" x="2761"/>
        <item m="1" x="2634"/>
        <item m="1" x="2465"/>
        <item m="1" x="2763"/>
        <item m="1" x="2189"/>
        <item m="1" x="2764"/>
        <item m="1" x="2765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8"/>
        <item m="1" x="2779"/>
        <item m="1" x="2780"/>
        <item m="1" x="2781"/>
        <item m="1" x="2468"/>
        <item m="1" x="673"/>
        <item m="1" x="2621"/>
        <item m="1" x="2307"/>
        <item m="1" x="2469"/>
        <item m="1" x="2470"/>
        <item m="1" x="2471"/>
        <item m="1" x="2472"/>
        <item m="1" x="2473"/>
        <item m="1" x="2474"/>
        <item m="1" x="2475"/>
        <item m="1" x="2481"/>
        <item m="1" x="2312"/>
        <item m="1" x="2313"/>
        <item m="1" x="2484"/>
        <item m="1" x="1288"/>
        <item m="1" x="1289"/>
        <item m="1" x="1290"/>
        <item m="1" x="1291"/>
        <item m="1" x="1292"/>
        <item m="1" x="1293"/>
        <item m="1" x="1294"/>
        <item m="1" x="2485"/>
        <item m="1" x="2624"/>
        <item m="1" x="490"/>
        <item m="1" x="1660"/>
        <item m="1" x="2511"/>
        <item m="1" x="1261"/>
        <item m="1" x="2513"/>
        <item m="1" x="2516"/>
        <item m="1" x="2517"/>
        <item m="1" x="2625"/>
        <item m="1" x="2329"/>
        <item m="1" x="2492"/>
        <item m="1" x="2493"/>
        <item m="1" x="527"/>
        <item m="1" x="2494"/>
        <item m="1" x="2503"/>
        <item m="1" x="2500"/>
        <item m="1" x="2501"/>
        <item m="1" x="2502"/>
        <item m="1" x="2078"/>
        <item m="1" x="2504"/>
        <item m="1" x="2507"/>
        <item m="1" x="2508"/>
        <item m="1" x="2509"/>
        <item m="1" x="2523"/>
        <item m="1" x="2526"/>
        <item m="1" x="2529"/>
        <item m="1" x="2530"/>
        <item m="1" x="2531"/>
        <item m="1" x="2532"/>
        <item m="1" x="2343"/>
        <item m="1" x="2536"/>
        <item m="1" x="2103"/>
        <item m="1" x="2628"/>
        <item m="1" x="2540"/>
        <item m="1" x="1859"/>
        <item m="1" x="2545"/>
        <item m="1" x="2543"/>
        <item m="1" x="2544"/>
        <item m="1" x="2423"/>
        <item m="1" x="2546"/>
        <item m="1" x="2629"/>
        <item m="1" x="1383"/>
        <item m="1" x="2547"/>
        <item m="1" x="2630"/>
        <item m="1" x="2631"/>
        <item m="1" x="2632"/>
        <item m="1" x="2368"/>
        <item m="1" x="1845"/>
        <item m="1" x="2285"/>
        <item m="1" x="2636"/>
        <item m="1" x="1349"/>
        <item m="1" x="2637"/>
        <item m="1" x="2638"/>
        <item m="1" x="2389"/>
        <item m="1" x="2639"/>
        <item m="1" x="2640"/>
        <item m="1" x="2641"/>
        <item m="1" x="2642"/>
        <item m="1" x="2643"/>
        <item m="1" x="1379"/>
        <item m="1" x="1380"/>
        <item m="1" x="1403"/>
        <item m="1" x="2645"/>
        <item m="1" x="2646"/>
        <item m="1" x="2647"/>
        <item m="1" x="2574"/>
        <item m="1" x="2649"/>
        <item m="1" x="2650"/>
        <item m="1" x="2651"/>
        <item m="1" x="2652"/>
        <item m="1" x="2653"/>
        <item m="1" x="2654"/>
        <item m="1" x="2422"/>
        <item m="1" x="2655"/>
        <item m="1" x="2656"/>
        <item x="17"/>
        <item m="1" x="2479"/>
        <item m="1" x="2480"/>
        <item m="1" x="2483"/>
        <item m="1" x="2178"/>
        <item m="1" x="2486"/>
        <item x="59"/>
        <item m="1" x="2227"/>
        <item m="1" x="2228"/>
        <item m="1" x="1164"/>
        <item m="1" x="2487"/>
        <item m="1" x="2488"/>
        <item m="1" x="2489"/>
        <item m="1" x="2490"/>
        <item m="1" x="2491"/>
        <item m="1" x="2495"/>
        <item m="1" x="2496"/>
        <item m="1" x="2497"/>
        <item m="1" x="1597"/>
        <item m="1" x="2498"/>
        <item m="1" x="2079"/>
        <item m="1" x="2499"/>
        <item m="1" x="2510"/>
        <item m="1" x="2230"/>
        <item m="1" x="2518"/>
        <item m="1" x="2519"/>
        <item m="1" x="2521"/>
        <item m="1" x="2522"/>
        <item m="1" x="2524"/>
        <item m="1" x="1535"/>
        <item m="1" x="2533"/>
        <item m="1" x="2534"/>
        <item m="1" x="2535"/>
        <item m="1" x="2059"/>
        <item m="1" x="2102"/>
        <item m="1" x="2101"/>
        <item m="1" x="2537"/>
        <item m="1" x="806"/>
        <item m="1" x="2538"/>
        <item m="1" x="2141"/>
        <item m="1" x="2362"/>
        <item m="1" x="2548"/>
        <item m="1" x="2549"/>
        <item m="1" x="2550"/>
        <item m="1" x="2551"/>
        <item m="1" x="2552"/>
        <item m="1" x="2553"/>
        <item m="1" x="2554"/>
        <item m="1" x="2378"/>
        <item m="1" x="2555"/>
        <item m="1" x="2556"/>
        <item m="1" x="2557"/>
        <item m="1" x="2558"/>
        <item m="1" x="2559"/>
        <item m="1" x="1537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424"/>
        <item m="1" x="2575"/>
        <item m="1" x="2576"/>
        <item m="1" x="2577"/>
        <item m="1" x="2578"/>
        <item m="1" x="2579"/>
        <item m="1" x="1083"/>
        <item m="1" x="2580"/>
        <item m="1" x="2581"/>
        <item m="1" x="2582"/>
        <item m="1" x="2583"/>
        <item m="1" x="2238"/>
        <item m="1" x="2584"/>
        <item m="1" x="2585"/>
        <item m="1" x="1421"/>
        <item m="1" x="1459"/>
        <item m="1" x="2086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392"/>
        <item m="1" x="2607"/>
        <item m="1" x="2608"/>
        <item m="1" x="976"/>
        <item m="1" x="1439"/>
        <item m="1" x="1457"/>
        <item m="1" x="1481"/>
        <item m="1" x="1514"/>
        <item m="1" x="1382"/>
        <item x="380"/>
        <item m="1" x="2609"/>
        <item m="1" x="2610"/>
        <item m="1" x="2611"/>
        <item m="1" x="2612"/>
        <item m="1" x="1165"/>
        <item m="1" x="2219"/>
        <item m="1" x="2009"/>
        <item m="1" x="2308"/>
        <item m="1" x="2075"/>
        <item m="1" x="2309"/>
        <item m="1" x="2310"/>
        <item x="14"/>
        <item m="1" x="2013"/>
        <item m="1" x="435"/>
        <item m="1" x="2220"/>
        <item m="1" x="2221"/>
        <item m="1" x="2019"/>
        <item m="1" x="2023"/>
        <item m="1" x="2314"/>
        <item m="1" x="1079"/>
        <item m="1" x="2315"/>
        <item m="1" x="2316"/>
        <item m="1" x="2032"/>
        <item m="1" x="2317"/>
        <item m="1" x="944"/>
        <item x="58"/>
        <item m="1" x="2318"/>
        <item m="1" x="2229"/>
        <item m="1" x="2226"/>
        <item m="1" x="1850"/>
        <item m="1" x="2043"/>
        <item m="1" x="2044"/>
        <item m="1" x="1676"/>
        <item m="1" x="2320"/>
        <item x="78"/>
        <item m="1" x="2218"/>
        <item x="96"/>
        <item m="1" x="2321"/>
        <item m="1" x="2322"/>
        <item m="1" x="2324"/>
        <item m="1" x="2231"/>
        <item m="1" x="2232"/>
        <item m="1" x="2233"/>
        <item m="1" x="2234"/>
        <item m="1" x="2052"/>
        <item m="1" x="1728"/>
        <item m="1" x="2056"/>
        <item m="1" x="2053"/>
        <item m="1" x="2325"/>
        <item m="1" x="2326"/>
        <item m="1" x="1903"/>
        <item m="1" x="2328"/>
        <item m="1" x="1437"/>
        <item m="1" x="1858"/>
        <item m="1" x="2240"/>
        <item m="1" x="1857"/>
        <item m="1" x="2062"/>
        <item m="1" x="2242"/>
        <item m="1" x="2071"/>
        <item m="1" x="1589"/>
        <item m="1" x="1590"/>
        <item m="1" x="2072"/>
        <item m="1" x="1335"/>
        <item x="311"/>
        <item x="162"/>
        <item m="1" x="1218"/>
        <item m="1" x="2332"/>
        <item m="1" x="1909"/>
        <item m="1" x="1678"/>
        <item m="1" x="2271"/>
        <item m="1" x="2087"/>
        <item m="1" x="2069"/>
        <item x="179"/>
        <item m="1" x="1935"/>
        <item m="1" x="564"/>
        <item m="1" x="2092"/>
        <item m="1" x="2090"/>
        <item m="1" x="2091"/>
        <item m="1" x="2094"/>
        <item m="1" x="2333"/>
        <item m="1" x="1142"/>
        <item m="1" x="1760"/>
        <item m="1" x="2335"/>
        <item m="1" x="2336"/>
        <item m="1" x="2341"/>
        <item m="1" x="2342"/>
        <item m="1" x="2354"/>
        <item m="1" x="2355"/>
        <item m="1" x="1274"/>
        <item m="1" x="1779"/>
        <item m="1" x="2106"/>
        <item m="1" x="2107"/>
        <item m="1" x="2110"/>
        <item m="1" x="2111"/>
        <item x="262"/>
        <item m="1" x="2125"/>
        <item m="1" x="2123"/>
        <item m="1" x="2357"/>
        <item m="1" x="2124"/>
        <item m="1" x="2121"/>
        <item m="1" x="2358"/>
        <item m="1" x="1547"/>
        <item m="1" x="1548"/>
        <item m="1" x="1539"/>
        <item m="1" x="1540"/>
        <item m="1" x="1541"/>
        <item m="1" x="2360"/>
        <item m="1" x="2361"/>
        <item m="1" x="2144"/>
        <item m="1" x="1693"/>
        <item m="1" x="2363"/>
        <item m="1" x="2364"/>
        <item m="1" x="2365"/>
        <item m="1" x="2366"/>
        <item m="1" x="2367"/>
        <item m="1" x="2369"/>
        <item m="1" x="2370"/>
        <item m="1" x="2371"/>
        <item m="1" x="1494"/>
        <item m="1" x="2373"/>
        <item m="1" x="2281"/>
        <item m="1" x="1344"/>
        <item m="1" x="1545"/>
        <item m="1" x="1546"/>
        <item m="1" x="1549"/>
        <item m="1" x="2375"/>
        <item m="1" x="2376"/>
        <item m="1" x="1551"/>
        <item m="1" x="2377"/>
        <item m="1" x="2379"/>
        <item m="1" x="1208"/>
        <item m="1" x="2380"/>
        <item m="1" x="2381"/>
        <item m="1" x="2382"/>
        <item m="1" x="2384"/>
        <item m="1" x="2385"/>
        <item m="1" x="1853"/>
        <item m="1" x="2386"/>
        <item m="1" x="2387"/>
        <item m="1" x="2390"/>
        <item m="1" x="1369"/>
        <item m="1" x="2391"/>
        <item m="1" x="2393"/>
        <item m="1" x="1472"/>
        <item m="1" x="2394"/>
        <item m="1" x="1478"/>
        <item m="1" x="1458"/>
        <item m="1" x="2396"/>
        <item m="1" x="1456"/>
        <item m="1" x="1860"/>
        <item m="1" x="2179"/>
        <item m="1" x="2397"/>
        <item m="1" x="1731"/>
        <item m="1" x="2399"/>
        <item m="1" x="1482"/>
        <item m="1" x="2400"/>
        <item m="1" x="2401"/>
        <item m="1" x="2402"/>
        <item m="1" x="1523"/>
        <item x="364"/>
        <item m="1" x="1466"/>
        <item m="1" x="1465"/>
        <item m="1" x="2403"/>
        <item m="1" x="2404"/>
        <item m="1" x="1260"/>
        <item m="1" x="2297"/>
        <item m="1" x="2406"/>
        <item m="1" x="1848"/>
        <item m="1" x="2407"/>
        <item m="1" x="1400"/>
        <item m="1" x="2408"/>
        <item m="1" x="2409"/>
        <item m="1" x="2410"/>
        <item m="1" x="2411"/>
        <item m="1" x="2412"/>
        <item m="1" x="2413"/>
        <item m="1" x="2414"/>
        <item m="1" x="2415"/>
        <item m="1" x="1381"/>
        <item m="1" x="2416"/>
        <item m="1" x="2417"/>
        <item m="1" x="2418"/>
        <item m="1" x="2419"/>
        <item m="1" x="2420"/>
        <item m="1" x="1374"/>
        <item m="1" x="2421"/>
        <item x="394"/>
        <item m="1" x="1343"/>
        <item m="1" x="2002"/>
        <item m="1" x="1847"/>
        <item m="1" x="1846"/>
        <item x="15"/>
        <item m="1" x="783"/>
        <item m="1" x="2012"/>
        <item m="1" x="1875"/>
        <item m="1" x="2014"/>
        <item m="1" x="2015"/>
        <item x="31"/>
        <item m="1" x="2222"/>
        <item m="1" x="2022"/>
        <item m="1" x="2021"/>
        <item m="1" x="2223"/>
        <item m="1" x="461"/>
        <item m="1" x="2031"/>
        <item m="1" x="2028"/>
        <item m="1" x="2033"/>
        <item m="1" x="2224"/>
        <item m="1" x="2036"/>
        <item m="1" x="2038"/>
        <item m="1" x="1956"/>
        <item m="1" x="1262"/>
        <item m="1" x="2042"/>
        <item m="1" x="2045"/>
        <item m="1" x="1052"/>
        <item m="1" x="1033"/>
        <item x="87"/>
        <item m="1" x="510"/>
        <item m="1" x="2048"/>
        <item m="1" x="2049"/>
        <item m="1" x="2046"/>
        <item m="1" x="2047"/>
        <item m="1" x="1282"/>
        <item m="1" x="2050"/>
        <item m="1" x="1894"/>
        <item m="1" x="2055"/>
        <item m="1" x="1893"/>
        <item m="1" x="2235"/>
        <item m="1" x="2236"/>
        <item m="1" x="2057"/>
        <item m="1" x="2060"/>
        <item m="1" x="2237"/>
        <item m="1" x="2239"/>
        <item m="1" x="2063"/>
        <item m="1" x="2241"/>
        <item m="1" x="2243"/>
        <item m="1" x="1912"/>
        <item m="1" x="1913"/>
        <item m="1" x="1914"/>
        <item m="1" x="1915"/>
        <item m="1" x="1065"/>
        <item m="1" x="2244"/>
        <item m="1" x="2245"/>
        <item m="1" x="2246"/>
        <item m="1" x="2247"/>
        <item m="1" x="1062"/>
        <item m="1" x="1063"/>
        <item m="1" x="2068"/>
        <item m="1" x="2070"/>
        <item m="1" x="2248"/>
        <item x="157"/>
        <item m="1" x="2249"/>
        <item m="1" x="2074"/>
        <item x="160"/>
        <item m="1" x="2272"/>
        <item m="1" x="803"/>
        <item m="1" x="2080"/>
        <item m="1" x="2082"/>
        <item x="165"/>
        <item m="1" x="2084"/>
        <item x="178"/>
        <item m="1" x="1937"/>
        <item m="1" x="2274"/>
        <item m="1" x="2089"/>
        <item m="1" x="2096"/>
        <item m="1" x="2097"/>
        <item m="1" x="2112"/>
        <item m="1" x="1787"/>
        <item m="1" x="2113"/>
        <item m="1" x="2118"/>
        <item m="1" x="2109"/>
        <item x="230"/>
        <item m="1" x="1777"/>
        <item m="1" x="1780"/>
        <item m="1" x="1781"/>
        <item m="1" x="2132"/>
        <item m="1" x="2133"/>
        <item m="1" x="2122"/>
        <item m="1" x="2120"/>
        <item x="279"/>
        <item m="1" x="2135"/>
        <item m="1" x="2136"/>
        <item m="1" x="2137"/>
        <item m="1" x="2138"/>
        <item m="1" x="2139"/>
        <item m="1" x="645"/>
        <item m="1" x="2142"/>
        <item m="1" x="2150"/>
        <item m="1" x="2153"/>
        <item m="1" x="2277"/>
        <item m="1" x="2146"/>
        <item m="1" x="2278"/>
        <item m="1" x="2279"/>
        <item m="1" x="2280"/>
        <item m="1" x="2282"/>
        <item m="1" x="2171"/>
        <item m="1" x="2284"/>
        <item m="1" x="1313"/>
        <item m="1" x="2286"/>
        <item m="1" x="2287"/>
        <item m="1" x="2288"/>
        <item m="1" x="2157"/>
        <item m="1" x="2289"/>
        <item m="1" x="2158"/>
        <item m="1" x="2159"/>
        <item m="1" x="2290"/>
        <item m="1" x="1362"/>
        <item m="1" x="2293"/>
        <item m="1" x="2294"/>
        <item m="1" x="1361"/>
        <item m="1" x="2295"/>
        <item m="1" x="2296"/>
        <item m="1" x="1337"/>
        <item m="1" x="1340"/>
        <item m="1" x="1336"/>
        <item m="1" x="1338"/>
        <item m="1" x="1339"/>
        <item m="1" x="2196"/>
        <item m="1" x="1984"/>
        <item m="1" x="2205"/>
        <item m="1" x="2299"/>
        <item m="1" x="2206"/>
        <item m="1" x="2203"/>
        <item m="1" x="1999"/>
        <item m="1" x="1990"/>
        <item m="1" x="2200"/>
        <item m="1" x="2207"/>
        <item m="1" x="2300"/>
        <item m="1" x="2303"/>
        <item m="1" x="2212"/>
        <item m="1" x="2304"/>
        <item m="1" x="2216"/>
        <item m="1" x="2305"/>
        <item m="1" x="2010"/>
        <item m="1" x="2011"/>
        <item m="1" x="1090"/>
        <item m="1" x="1089"/>
        <item m="1" x="2016"/>
        <item m="1" x="2017"/>
        <item m="1" x="2018"/>
        <item m="1" x="2020"/>
        <item x="152"/>
        <item m="1" x="2024"/>
        <item m="1" x="2025"/>
        <item m="1" x="2026"/>
        <item m="1" x="2027"/>
        <item m="1" x="458"/>
        <item m="1" x="2029"/>
        <item m="1" x="2030"/>
        <item m="1" x="2034"/>
        <item m="1" x="2035"/>
        <item m="1" x="2037"/>
        <item x="70"/>
        <item x="71"/>
        <item m="1" x="2039"/>
        <item m="1" x="2040"/>
        <item m="1" x="2041"/>
        <item m="1" x="1891"/>
        <item m="1" x="2058"/>
        <item m="1" x="2061"/>
        <item m="1" x="2064"/>
        <item m="1" x="2065"/>
        <item m="1" x="2066"/>
        <item m="1" x="2067"/>
        <item m="1" x="1917"/>
        <item m="1" x="2076"/>
        <item m="1" x="2083"/>
        <item m="1" x="2088"/>
        <item m="1" x="2093"/>
        <item m="1" x="579"/>
        <item m="1" x="2095"/>
        <item m="1" x="1938"/>
        <item m="1" x="1939"/>
        <item m="1" x="1936"/>
        <item m="1" x="1902"/>
        <item m="1" x="2098"/>
        <item m="1" x="2099"/>
        <item m="1" x="2100"/>
        <item m="1" x="2108"/>
        <item m="1" x="1943"/>
        <item m="1" x="2114"/>
        <item m="1" x="2115"/>
        <item m="1" x="1944"/>
        <item m="1" x="2116"/>
        <item m="1" x="2117"/>
        <item m="1" x="1942"/>
        <item m="1" x="2119"/>
        <item m="1" x="2126"/>
        <item m="1" x="1278"/>
        <item m="1" x="1277"/>
        <item m="1" x="2130"/>
        <item m="1" x="2131"/>
        <item m="1" x="2134"/>
        <item m="1" x="1719"/>
        <item m="1" x="2143"/>
        <item m="1" x="2145"/>
        <item m="1" x="1953"/>
        <item m="1" x="2147"/>
        <item m="1" x="2148"/>
        <item m="1" x="2149"/>
        <item m="1" x="2151"/>
        <item m="1" x="2152"/>
        <item m="1" x="1402"/>
        <item x="153"/>
        <item m="1" x="2156"/>
        <item m="1" x="1965"/>
        <item m="1" x="2160"/>
        <item m="1" x="2161"/>
        <item m="1" x="1258"/>
        <item m="1" x="2162"/>
        <item m="1" x="2163"/>
        <item m="1" x="2164"/>
        <item m="1" x="1997"/>
        <item m="1" x="1359"/>
        <item m="1" x="1974"/>
        <item m="1" x="2167"/>
        <item m="1" x="2168"/>
        <item m="1" x="1390"/>
        <item m="1" x="1474"/>
        <item m="1" x="1475"/>
        <item m="1" x="2170"/>
        <item m="1" x="1454"/>
        <item x="352"/>
        <item m="1" x="2172"/>
        <item m="1" x="1443"/>
        <item x="354"/>
        <item m="1" x="1440"/>
        <item m="1" x="2173"/>
        <item m="1" x="2175"/>
        <item m="1" x="2181"/>
        <item m="1" x="2182"/>
        <item m="1" x="2183"/>
        <item m="1" x="2187"/>
        <item m="1" x="834"/>
        <item m="1" x="1981"/>
        <item m="1" x="2198"/>
        <item m="1" x="2199"/>
        <item m="1" x="1996"/>
        <item m="1" x="1985"/>
        <item m="1" x="2201"/>
        <item m="1" x="2202"/>
        <item m="1" x="2204"/>
        <item m="1" x="1544"/>
        <item m="1" x="1655"/>
        <item m="1" x="2001"/>
        <item m="1" x="2208"/>
        <item m="1" x="2210"/>
        <item m="1" x="2211"/>
        <item m="1" x="2213"/>
        <item x="4"/>
        <item m="1" x="1872"/>
        <item m="1" x="1873"/>
        <item m="1" x="1874"/>
        <item x="282"/>
        <item x="11"/>
        <item m="1" x="1704"/>
        <item m="1" x="1705"/>
        <item x="38"/>
        <item m="1" x="785"/>
        <item m="1" x="1712"/>
        <item m="1" x="1876"/>
        <item m="1" x="1877"/>
        <item x="55"/>
        <item m="1" x="1688"/>
        <item m="1" x="1073"/>
        <item x="60"/>
        <item m="1" x="1878"/>
        <item m="1" x="1879"/>
        <item m="1" x="1674"/>
        <item m="1" x="1880"/>
        <item m="1" x="1684"/>
        <item x="82"/>
        <item x="79"/>
        <item m="1" x="1883"/>
        <item x="88"/>
        <item m="1" x="1888"/>
        <item m="1" x="1890"/>
        <item m="1" x="1892"/>
        <item m="1" x="1899"/>
        <item m="1" x="1900"/>
        <item m="1" x="1603"/>
        <item m="1" x="1604"/>
        <item x="130"/>
        <item x="129"/>
        <item m="1" x="1904"/>
        <item m="1" x="1905"/>
        <item m="1" x="1906"/>
        <item m="1" x="1907"/>
        <item m="1" x="792"/>
        <item m="1" x="1908"/>
        <item m="1" x="1910"/>
        <item m="1" x="1064"/>
        <item m="1" x="1911"/>
        <item m="1" x="1916"/>
        <item m="1" x="1713"/>
        <item m="1" x="1099"/>
        <item x="154"/>
        <item m="1" x="1714"/>
        <item m="1" x="1715"/>
        <item x="155"/>
        <item m="1" x="1919"/>
        <item m="1" x="1724"/>
        <item x="191"/>
        <item m="1" x="1686"/>
        <item m="1" x="551"/>
        <item m="1" x="1130"/>
        <item m="1" x="1131"/>
        <item m="1" x="1737"/>
        <item m="1" x="1941"/>
        <item m="1" x="1736"/>
        <item m="1" x="1765"/>
        <item m="1" x="1755"/>
        <item m="1" x="1756"/>
        <item m="1" x="1754"/>
        <item m="1" x="1757"/>
        <item m="1" x="1758"/>
        <item m="1" x="1759"/>
        <item m="1" x="1144"/>
        <item m="1" x="1866"/>
        <item m="1" x="801"/>
        <item m="1" x="802"/>
        <item m="1" x="805"/>
        <item m="1" x="1778"/>
        <item m="1" x="965"/>
        <item m="1" x="1797"/>
        <item m="1" x="1798"/>
        <item m="1" x="1788"/>
        <item m="1" x="1796"/>
        <item m="1" x="1945"/>
        <item m="1" x="1137"/>
        <item m="1" x="1138"/>
        <item m="1" x="1946"/>
        <item m="1" x="1753"/>
        <item m="1" x="1947"/>
        <item m="1" x="1948"/>
        <item m="1" x="1743"/>
        <item m="1" x="1134"/>
        <item m="1" x="1139"/>
        <item m="1" x="646"/>
        <item m="1" x="1752"/>
        <item m="1" x="1748"/>
        <item m="1" x="1949"/>
        <item m="1" x="1950"/>
        <item m="1" x="1951"/>
        <item m="1" x="1952"/>
        <item m="1" x="1954"/>
        <item m="1" x="1955"/>
        <item m="1" x="1957"/>
        <item m="1" x="1958"/>
        <item m="1" x="1959"/>
        <item m="1" x="1960"/>
        <item m="1" x="1961"/>
        <item m="1" x="1461"/>
        <item m="1" x="826"/>
        <item m="1" x="1962"/>
        <item m="1" x="1963"/>
        <item m="1" x="1964"/>
        <item m="1" x="1966"/>
        <item m="1" x="1967"/>
        <item m="1" x="1968"/>
        <item m="1" x="1969"/>
        <item m="1" x="1970"/>
        <item m="1" x="1972"/>
        <item m="1" x="1973"/>
        <item m="1" x="1975"/>
        <item m="1" x="1976"/>
        <item m="1" x="1483"/>
        <item m="1" x="1484"/>
        <item m="1" x="1473"/>
        <item m="1" x="1864"/>
        <item x="316"/>
        <item m="1" x="1767"/>
        <item m="1" x="1865"/>
        <item m="1" x="1467"/>
        <item m="1" x="1496"/>
        <item m="1" x="1978"/>
        <item m="1" x="1979"/>
        <item m="1" x="1982"/>
        <item m="1" x="1983"/>
        <item m="1" x="1986"/>
        <item m="1" x="1987"/>
        <item m="1" x="1988"/>
        <item m="1" x="1989"/>
        <item m="1" x="1991"/>
        <item m="1" x="1992"/>
        <item m="1" x="1993"/>
        <item m="1" x="1994"/>
        <item m="1" x="1995"/>
        <item m="1" x="1998"/>
        <item m="1" x="2000"/>
        <item m="1" x="1259"/>
        <item m="1" x="2003"/>
        <item m="1" x="2004"/>
        <item m="1" x="2005"/>
        <item m="1" x="2006"/>
        <item m="1" x="2007"/>
        <item x="400"/>
        <item m="1" x="2008"/>
        <item m="1" x="951"/>
        <item x="166"/>
        <item m="1" x="1034"/>
        <item m="1" x="1802"/>
        <item m="1" x="1803"/>
        <item m="1" x="1804"/>
        <item m="1" x="1805"/>
        <item m="1" x="1806"/>
        <item m="1" x="1162"/>
        <item m="1" x="1807"/>
        <item m="1" x="1808"/>
        <item m="1" x="1809"/>
        <item m="1" x="1810"/>
        <item m="1" x="1811"/>
        <item m="1" x="946"/>
        <item m="1" x="1812"/>
        <item m="1" x="786"/>
        <item m="1" x="1813"/>
        <item x="151"/>
        <item m="1" x="1212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654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658"/>
        <item m="1" x="1844"/>
        <item m="1" x="1776"/>
        <item m="1" x="1577"/>
        <item m="1" x="1667"/>
        <item m="1" x="1849"/>
        <item x="403"/>
        <item x="410"/>
        <item x="89"/>
        <item m="1" x="1673"/>
        <item x="85"/>
        <item m="1" x="1677"/>
        <item m="1" x="1680"/>
        <item m="1" x="1682"/>
        <item x="83"/>
        <item m="1" x="1286"/>
        <item m="1" x="945"/>
        <item m="1" x="1690"/>
        <item m="1" x="1080"/>
        <item m="1" x="1851"/>
        <item m="1" x="1852"/>
        <item m="1" x="992"/>
        <item m="1" x="1363"/>
        <item m="1" x="922"/>
        <item m="1" x="1086"/>
        <item m="1" x="1388"/>
        <item m="1" x="1087"/>
        <item m="1" x="1701"/>
        <item m="1" x="1696"/>
        <item m="1" x="1699"/>
        <item m="1" x="1700"/>
        <item x="260"/>
        <item x="399"/>
        <item m="1" x="1854"/>
        <item m="1" x="1855"/>
        <item m="1" x="1098"/>
        <item m="1" x="1097"/>
        <item m="1" x="1710"/>
        <item m="1" x="528"/>
        <item m="1" x="1709"/>
        <item m="1" x="1716"/>
        <item m="1" x="1436"/>
        <item m="1" x="1723"/>
        <item m="1" x="1594"/>
        <item m="1" x="1722"/>
        <item m="1" x="1485"/>
        <item m="1" x="1856"/>
        <item m="1" x="1476"/>
        <item m="1" x="1479"/>
        <item x="112"/>
        <item m="1" x="1730"/>
        <item x="110"/>
        <item m="1" x="1602"/>
        <item m="1" x="1488"/>
        <item m="1" x="1489"/>
        <item m="1" x="1861"/>
        <item m="1" x="1862"/>
        <item m="1" x="1863"/>
        <item m="1" x="1735"/>
        <item m="1" x="1116"/>
        <item m="1" x="1501"/>
        <item m="1" x="1500"/>
        <item x="186"/>
        <item m="1" x="1738"/>
        <item m="1" x="1744"/>
        <item m="1" x="1745"/>
        <item m="1" x="1746"/>
        <item m="1" x="1023"/>
        <item m="1" x="1521"/>
        <item m="1" x="1024"/>
        <item m="1" x="1764"/>
        <item m="1" x="1867"/>
        <item m="1" x="1543"/>
        <item x="276"/>
        <item m="1" x="1775"/>
        <item m="1" x="1868"/>
        <item m="1" x="1869"/>
        <item m="1" x="1870"/>
        <item m="1" x="1619"/>
        <item m="1" x="1558"/>
        <item x="111"/>
        <item m="1" x="1801"/>
        <item m="1" x="1624"/>
        <item m="1" x="1871"/>
        <item m="1" x="1792"/>
        <item m="1" x="740"/>
        <item m="1" x="952"/>
        <item m="1" x="1160"/>
        <item m="1" x="1124"/>
        <item m="1" x="1627"/>
        <item m="1" x="1628"/>
        <item m="1" x="1179"/>
        <item m="1" x="1181"/>
        <item m="1" x="1180"/>
        <item m="1" x="1178"/>
        <item m="1" x="1177"/>
        <item m="1" x="1169"/>
        <item m="1" x="1175"/>
        <item m="1" x="1167"/>
        <item m="1" x="1176"/>
        <item m="1" x="1170"/>
        <item m="1" x="1172"/>
        <item m="1" x="1174"/>
        <item m="1" x="1189"/>
        <item m="1" x="1194"/>
        <item m="1" x="1185"/>
        <item m="1" x="1191"/>
        <item m="1" x="1188"/>
        <item m="1" x="1196"/>
        <item m="1" x="1190"/>
        <item m="1" x="1192"/>
        <item m="1" x="1198"/>
        <item m="1" x="1199"/>
        <item m="1" x="1182"/>
        <item m="1" x="1195"/>
        <item m="1" x="1183"/>
        <item m="1" x="1184"/>
        <item m="1" x="1200"/>
        <item m="1" x="1193"/>
        <item m="1" x="1187"/>
        <item m="1" x="1234"/>
        <item x="143"/>
        <item m="1" x="1204"/>
        <item m="1" x="1629"/>
        <item m="1" x="1630"/>
        <item m="1" x="1631"/>
        <item m="1" x="1207"/>
        <item m="1" x="1632"/>
        <item m="1" x="1633"/>
        <item m="1" x="1634"/>
        <item m="1" x="1216"/>
        <item x="9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576"/>
        <item m="1" x="1645"/>
        <item m="1" x="1646"/>
        <item m="1" x="1647"/>
        <item m="1" x="1648"/>
        <item m="1" x="1649"/>
        <item m="1" x="1650"/>
        <item m="1" x="1651"/>
        <item m="1" x="1652"/>
        <item x="21"/>
        <item m="1" x="1653"/>
        <item m="1" x="1656"/>
        <item m="1" x="1657"/>
        <item m="1" x="1251"/>
        <item x="73"/>
        <item m="1" x="1666"/>
        <item x="72"/>
        <item m="1" x="1255"/>
        <item m="1" x="1668"/>
        <item m="1" x="1669"/>
        <item m="1" x="704"/>
        <item m="1" x="1606"/>
        <item m="1" x="1670"/>
        <item m="1" x="1671"/>
        <item m="1" x="1672"/>
        <item m="1" x="735"/>
        <item m="1" x="1675"/>
        <item m="1" x="1266"/>
        <item x="137"/>
        <item m="1" x="1679"/>
        <item m="1" x="1681"/>
        <item x="80"/>
        <item x="81"/>
        <item m="1" x="1683"/>
        <item m="1" x="1685"/>
        <item m="1" x="934"/>
        <item m="1" x="1687"/>
        <item m="1" x="1287"/>
        <item m="1" x="1077"/>
        <item m="1" x="1689"/>
        <item m="1" x="1078"/>
        <item m="1" x="1311"/>
        <item m="1" x="1691"/>
        <item m="1" x="1347"/>
        <item m="1" x="923"/>
        <item x="53"/>
        <item m="1" x="924"/>
        <item m="1" x="925"/>
        <item m="1" x="1370"/>
        <item m="1" x="1692"/>
        <item x="40"/>
        <item m="1" x="1694"/>
        <item m="1" x="1389"/>
        <item m="1" x="1091"/>
        <item x="404"/>
        <item m="1" x="1695"/>
        <item m="1" x="1697"/>
        <item m="1" x="1698"/>
        <item x="25"/>
        <item x="26"/>
        <item x="27"/>
        <item m="1" x="1702"/>
        <item m="1" x="1703"/>
        <item m="1" x="1706"/>
        <item x="13"/>
        <item m="1" x="1707"/>
        <item m="1" x="1404"/>
        <item m="1" x="1407"/>
        <item x="378"/>
        <item m="1" x="732"/>
        <item m="1" x="1416"/>
        <item m="1" x="1408"/>
        <item m="1" x="1708"/>
        <item m="1" x="1711"/>
        <item x="156"/>
        <item m="1" x="1100"/>
        <item m="1" x="1717"/>
        <item m="1" x="1718"/>
        <item m="1" x="1720"/>
        <item m="1" x="1721"/>
        <item m="1" x="1101"/>
        <item m="1" x="1725"/>
        <item m="1" x="1451"/>
        <item m="1" x="1726"/>
        <item m="1" x="1727"/>
        <item m="1" x="1468"/>
        <item x="115"/>
        <item x="127"/>
        <item x="128"/>
        <item x="119"/>
        <item x="113"/>
        <item m="1" x="860"/>
        <item m="1" x="859"/>
        <item m="1" x="1477"/>
        <item m="1" x="1480"/>
        <item m="1" x="1491"/>
        <item m="1" x="1490"/>
        <item m="1" x="1732"/>
        <item m="1" x="1733"/>
        <item m="1" x="1493"/>
        <item m="1" x="1734"/>
        <item m="1" x="1123"/>
        <item m="1" x="1121"/>
        <item m="1" x="1129"/>
        <item m="1" x="1505"/>
        <item x="188"/>
        <item m="1" x="1739"/>
        <item x="159"/>
        <item m="1" x="1740"/>
        <item m="1" x="1741"/>
        <item m="1" x="1742"/>
        <item m="1" x="1141"/>
        <item m="1" x="1749"/>
        <item m="1" x="1750"/>
        <item m="1" x="1453"/>
        <item m="1" x="1751"/>
        <item m="1" x="968"/>
        <item m="1" x="1611"/>
        <item m="1" x="1612"/>
        <item m="1" x="1761"/>
        <item m="1" x="1762"/>
        <item m="1" x="1763"/>
        <item m="1" x="1766"/>
        <item m="1" x="1768"/>
        <item m="1" x="1769"/>
        <item m="1" x="800"/>
        <item m="1" x="1770"/>
        <item m="1" x="1771"/>
        <item m="1" x="1772"/>
        <item m="1" x="1773"/>
        <item m="1" x="1774"/>
        <item m="1" x="1618"/>
        <item x="261"/>
        <item m="1" x="1789"/>
        <item x="65"/>
        <item m="1" x="1790"/>
        <item m="1" x="1791"/>
        <item m="1" x="1793"/>
        <item m="1" x="1794"/>
        <item m="1" x="1795"/>
        <item m="1" x="619"/>
        <item x="30"/>
        <item m="1" x="954"/>
        <item m="1" x="1559"/>
        <item m="1" x="1560"/>
        <item m="1" x="1561"/>
        <item m="1" x="1562"/>
        <item m="1" x="1038"/>
        <item m="1" x="787"/>
        <item m="1" x="797"/>
        <item x="64"/>
        <item x="66"/>
        <item m="1" x="1567"/>
        <item x="358"/>
        <item m="1" x="1213"/>
        <item m="1" x="1214"/>
        <item m="1" x="1215"/>
        <item m="1" x="1250"/>
        <item m="1" x="1568"/>
        <item m="1" x="1569"/>
        <item m="1" x="1570"/>
        <item m="1" x="1247"/>
        <item m="1" x="1571"/>
        <item m="1" x="1572"/>
        <item m="1" x="1573"/>
        <item m="1" x="1223"/>
        <item m="1" x="1246"/>
        <item m="1" x="1228"/>
        <item m="1" x="1245"/>
        <item m="1" x="1243"/>
        <item m="1" x="1244"/>
        <item m="1" x="1229"/>
        <item m="1" x="1574"/>
        <item m="1" x="1575"/>
        <item m="1" x="1224"/>
        <item m="1" x="1236"/>
        <item m="1" x="1237"/>
        <item m="1" x="1233"/>
        <item m="1" x="1235"/>
        <item m="1" x="1230"/>
        <item m="1" x="1231"/>
        <item m="1" x="1232"/>
        <item m="1" x="1238"/>
        <item x="337"/>
        <item x="379"/>
        <item m="1" x="1578"/>
        <item x="280"/>
        <item x="6"/>
        <item m="1" x="988"/>
        <item m="1" x="1267"/>
        <item m="1" x="591"/>
        <item m="1" x="1270"/>
        <item m="1" x="1271"/>
        <item m="1" x="1582"/>
        <item m="1" x="1285"/>
        <item m="1" x="1076"/>
        <item x="52"/>
        <item m="1" x="1075"/>
        <item m="1" x="1297"/>
        <item m="1" x="1298"/>
        <item m="1" x="1299"/>
        <item m="1" x="1300"/>
        <item m="1" x="1301"/>
        <item m="1" x="1302"/>
        <item m="1" x="1310"/>
        <item m="1" x="1309"/>
        <item m="1" x="1306"/>
        <item m="1" x="1307"/>
        <item m="1" x="1308"/>
        <item m="1" x="1126"/>
        <item m="1" x="1304"/>
        <item m="1" x="1305"/>
        <item m="1" x="840"/>
        <item m="1" x="926"/>
        <item m="1" x="927"/>
        <item m="1" x="1583"/>
        <item m="1" x="1584"/>
        <item m="1" x="1585"/>
        <item x="42"/>
        <item m="1" x="1386"/>
        <item x="300"/>
        <item m="1" x="1587"/>
        <item x="24"/>
        <item x="3"/>
        <item m="1" x="1410"/>
        <item m="1" x="1588"/>
        <item m="1" x="1427"/>
        <item x="140"/>
        <item m="1" x="1591"/>
        <item m="1" x="1429"/>
        <item m="1" x="1592"/>
        <item m="1" x="1593"/>
        <item x="168"/>
        <item m="1" x="1595"/>
        <item m="1" x="1596"/>
        <item m="1" x="1598"/>
        <item m="1" x="1599"/>
        <item m="1" x="1600"/>
        <item x="114"/>
        <item m="1" x="1607"/>
        <item m="1" x="1118"/>
        <item m="1" x="1497"/>
        <item m="1" x="1498"/>
        <item m="1" x="557"/>
        <item m="1" x="1506"/>
        <item m="1" x="1608"/>
        <item x="177"/>
        <item m="1" x="1511"/>
        <item m="1" x="1609"/>
        <item m="1" x="1520"/>
        <item m="1" x="1610"/>
        <item m="1" x="1522"/>
        <item m="1" x="1524"/>
        <item m="1" x="1525"/>
        <item m="1" x="1613"/>
        <item m="1" x="1614"/>
        <item m="1" x="1615"/>
        <item m="1" x="1616"/>
        <item m="1" x="798"/>
        <item m="1" x="799"/>
        <item m="1" x="1536"/>
        <item m="1" x="1542"/>
        <item m="1" x="1153"/>
        <item m="1" x="1154"/>
        <item m="1" x="1148"/>
        <item m="1" x="1149"/>
        <item m="1" x="1150"/>
        <item m="1" x="1151"/>
        <item m="1" x="1625"/>
        <item x="265"/>
        <item m="1" x="616"/>
        <item m="1" x="1626"/>
        <item m="1" x="1006"/>
        <item m="1" x="1158"/>
        <item m="1" x="1161"/>
        <item m="1" x="1201"/>
        <item x="144"/>
        <item m="1" x="1202"/>
        <item m="1" x="1206"/>
        <item m="1" x="1209"/>
        <item m="1" x="1210"/>
        <item m="1" x="1220"/>
        <item m="1" x="1051"/>
        <item m="1" x="1221"/>
        <item m="1" x="1222"/>
        <item x="308"/>
        <item x="306"/>
        <item x="307"/>
        <item m="1" x="1050"/>
        <item m="1" x="1225"/>
        <item m="1" x="1226"/>
        <item m="1" x="1227"/>
        <item m="1" x="1239"/>
        <item m="1" x="1240"/>
        <item m="1" x="1241"/>
        <item m="1" x="1242"/>
        <item m="1" x="1248"/>
        <item m="1" x="1249"/>
        <item x="407"/>
        <item m="1" x="1264"/>
        <item m="1" x="1265"/>
        <item x="200"/>
        <item m="1" x="864"/>
        <item m="1" x="526"/>
        <item m="1" x="1069"/>
        <item m="1" x="1268"/>
        <item m="1" x="1272"/>
        <item m="1" x="1273"/>
        <item m="1" x="1275"/>
        <item m="1" x="1276"/>
        <item m="1" x="516"/>
        <item m="1" x="517"/>
        <item m="1" x="1283"/>
        <item m="1" x="1074"/>
        <item m="1" x="1081"/>
        <item m="1" x="1082"/>
        <item m="1" x="1303"/>
        <item m="1" x="1315"/>
        <item m="1" x="1316"/>
        <item m="1" x="1317"/>
        <item x="132"/>
        <item x="69"/>
        <item m="1" x="1084"/>
        <item x="389"/>
        <item m="1" x="1085"/>
        <item m="1" x="1365"/>
        <item m="1" x="1366"/>
        <item m="1" x="1368"/>
        <item m="1" x="784"/>
        <item m="1" x="1371"/>
        <item m="1" x="1372"/>
        <item m="1" x="1373"/>
        <item m="1" x="940"/>
        <item m="1" x="1391"/>
        <item m="1" x="1392"/>
        <item m="1" x="1394"/>
        <item m="1" x="1395"/>
        <item m="1" x="1396"/>
        <item m="1" x="1397"/>
        <item x="75"/>
        <item m="1" x="1401"/>
        <item m="1" x="702"/>
        <item m="1" x="1406"/>
        <item m="1" x="1411"/>
        <item m="1" x="1412"/>
        <item m="1" x="1413"/>
        <item m="1" x="1414"/>
        <item m="1" x="1415"/>
        <item m="1" x="1417"/>
        <item m="1" x="1418"/>
        <item m="1" x="1422"/>
        <item m="1" x="1423"/>
        <item m="1" x="1424"/>
        <item m="1" x="1425"/>
        <item m="1" x="1426"/>
        <item m="1" x="1428"/>
        <item m="1" x="875"/>
        <item m="1" x="862"/>
        <item m="1" x="861"/>
        <item m="1" x="713"/>
        <item m="1" x="520"/>
        <item m="1" x="1470"/>
        <item m="1" x="711"/>
        <item m="1" x="1487"/>
        <item m="1" x="971"/>
        <item m="1" x="1022"/>
        <item m="1" x="1495"/>
        <item m="1" x="1119"/>
        <item m="1" x="1502"/>
        <item m="1" x="1503"/>
        <item m="1" x="1504"/>
        <item m="1" x="1132"/>
        <item m="1" x="959"/>
        <item m="1" x="1508"/>
        <item m="1" x="1127"/>
        <item x="45"/>
        <item m="1" x="583"/>
        <item m="1" x="1512"/>
        <item m="1" x="1513"/>
        <item m="1" x="1515"/>
        <item m="1" x="1516"/>
        <item m="1" x="1517"/>
        <item m="1" x="636"/>
        <item m="1" x="1518"/>
        <item m="1" x="1519"/>
        <item x="37"/>
        <item m="1" x="858"/>
        <item x="277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521"/>
        <item m="1" x="816"/>
        <item m="1" x="1552"/>
        <item m="1" x="1553"/>
        <item m="1" x="1554"/>
        <item m="1" x="1555"/>
        <item m="1" x="1556"/>
        <item m="1" x="1557"/>
        <item m="1" x="1035"/>
        <item m="1" x="1036"/>
        <item m="1" x="1037"/>
        <item m="1" x="789"/>
        <item m="1" x="1039"/>
        <item m="1" x="1040"/>
        <item m="1" x="953"/>
        <item m="1" x="1041"/>
        <item m="1" x="1042"/>
        <item m="1" x="1043"/>
        <item m="1" x="1044"/>
        <item m="1" x="993"/>
        <item m="1" x="1045"/>
        <item m="1" x="1046"/>
        <item m="1" x="1047"/>
        <item m="1" x="1048"/>
        <item m="1" x="1049"/>
        <item x="90"/>
        <item x="91"/>
        <item m="1" x="494"/>
        <item m="1" x="1053"/>
        <item m="1" x="1054"/>
        <item m="1" x="955"/>
        <item x="138"/>
        <item m="1" x="956"/>
        <item m="1" x="957"/>
        <item m="1" x="1055"/>
        <item m="1" x="865"/>
        <item m="1" x="1056"/>
        <item m="1" x="1057"/>
        <item m="1" x="1058"/>
        <item m="1" x="1060"/>
        <item m="1" x="506"/>
        <item m="1" x="1061"/>
        <item m="1" x="1066"/>
        <item m="1" x="1067"/>
        <item m="1" x="1068"/>
        <item m="1" x="969"/>
        <item m="1" x="794"/>
        <item m="1" x="1070"/>
        <item m="1" x="1072"/>
        <item m="1" x="654"/>
        <item m="1" x="653"/>
        <item m="1" x="1010"/>
        <item x="194"/>
        <item x="195"/>
        <item x="196"/>
        <item x="197"/>
        <item m="1" x="686"/>
        <item m="1" x="420"/>
        <item m="1" x="418"/>
        <item m="1" x="683"/>
        <item m="1" x="937"/>
        <item m="1" x="1026"/>
        <item m="1" x="1027"/>
        <item m="1" x="1028"/>
        <item m="1" x="1029"/>
        <item m="1" x="1007"/>
        <item x="19"/>
        <item m="1" x="931"/>
        <item m="1" x="778"/>
        <item m="1" x="423"/>
        <item m="1" x="1088"/>
        <item m="1" x="932"/>
        <item m="1" x="933"/>
        <item m="1" x="726"/>
        <item x="5"/>
        <item x="2"/>
        <item x="1"/>
        <item m="1" x="1093"/>
        <item m="1" x="1094"/>
        <item m="1" x="1095"/>
        <item m="1" x="1096"/>
        <item x="148"/>
        <item m="1" x="880"/>
        <item x="147"/>
        <item x="169"/>
        <item m="1" x="547"/>
        <item x="167"/>
        <item x="117"/>
        <item x="118"/>
        <item m="1" x="714"/>
        <item m="1" x="1102"/>
        <item m="1" x="1103"/>
        <item m="1" x="1104"/>
        <item m="1" x="1105"/>
        <item m="1" x="1106"/>
        <item m="1" x="696"/>
        <item x="104"/>
        <item x="105"/>
        <item x="106"/>
        <item x="288"/>
        <item m="1" x="1107"/>
        <item m="1" x="857"/>
        <item m="1" x="1108"/>
        <item m="1" x="855"/>
        <item m="1" x="1109"/>
        <item m="1" x="856"/>
        <item m="1" x="1110"/>
        <item m="1" x="876"/>
        <item m="1" x="1111"/>
        <item m="1" x="1112"/>
        <item m="1" x="1113"/>
        <item m="1" x="972"/>
        <item m="1" x="1114"/>
        <item m="1" x="727"/>
        <item m="1" x="1115"/>
        <item m="1" x="1032"/>
        <item m="1" x="1117"/>
        <item m="1" x="572"/>
        <item m="1" x="555"/>
        <item m="1" x="1128"/>
        <item m="1" x="986"/>
        <item m="1" x="1135"/>
        <item m="1" x="1136"/>
        <item m="1" x="1140"/>
        <item x="372"/>
        <item x="368"/>
        <item m="1" x="1145"/>
        <item m="1" x="1146"/>
        <item m="1" x="1147"/>
        <item m="1" x="1152"/>
        <item x="235"/>
        <item x="236"/>
        <item x="237"/>
        <item m="1" x="963"/>
        <item m="1" x="964"/>
        <item m="1" x="606"/>
        <item m="1" x="881"/>
        <item m="1" x="907"/>
        <item m="1" x="1155"/>
        <item m="1" x="1156"/>
        <item m="1" x="1157"/>
        <item m="1" x="419"/>
        <item m="1" x="507"/>
        <item x="16"/>
        <item x="22"/>
        <item m="1" x="928"/>
        <item x="283"/>
        <item x="93"/>
        <item m="1" x="929"/>
        <item m="1" x="744"/>
        <item m="1" x="930"/>
        <item x="41"/>
        <item x="43"/>
        <item x="44"/>
        <item x="46"/>
        <item x="47"/>
        <item m="1" x="440"/>
        <item m="1" x="441"/>
        <item m="1" x="451"/>
        <item m="1" x="788"/>
        <item m="1" x="935"/>
        <item m="1" x="456"/>
        <item m="1" x="938"/>
        <item m="1" x="939"/>
        <item x="335"/>
        <item m="1" x="941"/>
        <item m="1" x="942"/>
        <item m="1" x="943"/>
        <item m="1" x="948"/>
        <item m="1" x="504"/>
        <item m="1" x="505"/>
        <item x="383"/>
        <item m="1" x="518"/>
        <item x="92"/>
        <item x="136"/>
        <item m="1" x="793"/>
        <item x="142"/>
        <item m="1" x="866"/>
        <item m="1" x="867"/>
        <item m="1" x="529"/>
        <item m="1" x="533"/>
        <item m="1" x="958"/>
        <item m="1" x="536"/>
        <item x="161"/>
        <item m="1" x="854"/>
        <item m="1" x="853"/>
        <item m="1" x="863"/>
        <item m="1" x="549"/>
        <item m="1" x="550"/>
        <item m="1" x="569"/>
        <item m="1" x="553"/>
        <item x="183"/>
        <item m="1" x="552"/>
        <item m="1" x="554"/>
        <item m="1" x="960"/>
        <item x="189"/>
        <item x="190"/>
        <item m="1" x="567"/>
        <item m="1" x="582"/>
        <item m="1" x="589"/>
        <item m="1" x="595"/>
        <item m="1" x="596"/>
        <item m="1" x="604"/>
        <item m="1" x="796"/>
        <item m="1" x="608"/>
        <item x="238"/>
        <item x="239"/>
        <item x="240"/>
        <item x="241"/>
        <item x="242"/>
        <item x="243"/>
        <item x="244"/>
        <item x="245"/>
        <item x="233"/>
        <item x="234"/>
        <item x="231"/>
        <item x="232"/>
        <item m="1" x="961"/>
        <item m="1" x="962"/>
        <item m="1" x="615"/>
        <item m="1" x="967"/>
        <item m="1" x="640"/>
        <item x="271"/>
        <item x="272"/>
        <item x="273"/>
        <item m="1" x="970"/>
        <item m="1" x="973"/>
        <item m="1" x="974"/>
        <item m="1" x="975"/>
        <item x="289"/>
        <item m="1" x="977"/>
        <item m="1" x="886"/>
        <item m="1" x="978"/>
        <item m="1" x="979"/>
        <item m="1" x="980"/>
        <item m="1" x="981"/>
        <item m="1" x="982"/>
        <item m="1" x="885"/>
        <item m="1" x="983"/>
        <item m="1" x="984"/>
        <item x="310"/>
        <item x="305"/>
        <item m="1" x="985"/>
        <item m="1" x="987"/>
        <item m="1" x="989"/>
        <item m="1" x="818"/>
        <item m="1" x="990"/>
        <item m="1" x="991"/>
        <item m="1" x="994"/>
        <item m="1" x="995"/>
        <item m="1" x="996"/>
        <item m="1" x="682"/>
        <item m="1" x="997"/>
        <item m="1" x="998"/>
        <item m="1" x="999"/>
        <item m="1" x="1000"/>
        <item m="1" x="1001"/>
        <item m="1" x="1002"/>
        <item m="1" x="677"/>
        <item m="1" x="1003"/>
        <item m="1" x="1004"/>
        <item m="1" x="833"/>
        <item x="365"/>
        <item x="381"/>
        <item m="1" x="1005"/>
        <item m="1" x="1008"/>
        <item m="1" x="1009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870"/>
        <item m="1" x="1020"/>
        <item m="1" x="1021"/>
        <item m="1" x="1025"/>
        <item m="1" x="1030"/>
        <item m="1" x="779"/>
        <item m="1" x="1031"/>
        <item m="1" x="847"/>
        <item x="0"/>
        <item m="1" x="782"/>
        <item m="1" x="424"/>
        <item m="1" x="425"/>
        <item m="1" x="429"/>
        <item m="1" x="443"/>
        <item m="1" x="453"/>
        <item x="49"/>
        <item m="1" x="460"/>
        <item m="1" x="469"/>
        <item m="1" x="848"/>
        <item m="1" x="849"/>
        <item m="1" x="850"/>
        <item m="1" x="851"/>
        <item m="1" x="503"/>
        <item m="1" x="790"/>
        <item x="67"/>
        <item x="68"/>
        <item m="1" x="791"/>
        <item m="1" x="852"/>
        <item m="1" x="493"/>
        <item m="1" x="512"/>
        <item m="1" x="509"/>
        <item m="1" x="500"/>
        <item m="1" x="501"/>
        <item m="1" x="502"/>
        <item x="76"/>
        <item x="135"/>
        <item m="1" x="868"/>
        <item m="1" x="522"/>
        <item m="1" x="869"/>
        <item x="141"/>
        <item m="1" x="530"/>
        <item m="1" x="537"/>
        <item m="1" x="538"/>
        <item m="1" x="541"/>
        <item m="1" x="539"/>
        <item m="1" x="871"/>
        <item m="1" x="872"/>
        <item m="1" x="873"/>
        <item m="1" x="874"/>
        <item m="1" x="877"/>
        <item m="1" x="574"/>
        <item m="1" x="573"/>
        <item x="180"/>
        <item x="181"/>
        <item m="1" x="560"/>
        <item m="1" x="563"/>
        <item m="1" x="562"/>
        <item m="1" x="568"/>
        <item m="1" x="578"/>
        <item m="1" x="584"/>
        <item m="1" x="585"/>
        <item m="1" x="587"/>
        <item m="1" x="588"/>
        <item m="1" x="878"/>
        <item x="192"/>
        <item m="1" x="597"/>
        <item m="1" x="598"/>
        <item m="1" x="599"/>
        <item m="1" x="600"/>
        <item m="1" x="601"/>
        <item m="1" x="795"/>
        <item x="207"/>
        <item m="1" x="879"/>
        <item m="1" x="611"/>
        <item m="1" x="612"/>
        <item m="1" x="620"/>
        <item x="264"/>
        <item m="1" x="621"/>
        <item m="1" x="622"/>
        <item m="1" x="613"/>
        <item m="1" x="614"/>
        <item m="1" x="623"/>
        <item m="1" x="624"/>
        <item m="1" x="628"/>
        <item m="1" x="635"/>
        <item m="1" x="638"/>
        <item m="1" x="639"/>
        <item m="1" x="650"/>
        <item x="285"/>
        <item x="286"/>
        <item x="287"/>
        <item m="1" x="882"/>
        <item m="1" x="883"/>
        <item m="1" x="809"/>
        <item m="1" x="884"/>
        <item m="1" x="811"/>
        <item x="385"/>
        <item m="1" x="810"/>
        <item x="298"/>
        <item m="1" x="814"/>
        <item x="315"/>
        <item m="1" x="887"/>
        <item m="1" x="888"/>
        <item m="1" x="710"/>
        <item m="1" x="889"/>
        <item m="1" x="890"/>
        <item m="1" x="891"/>
        <item m="1" x="712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x="339"/>
        <item m="1" x="906"/>
        <item m="1" x="701"/>
        <item x="412"/>
        <item m="1" x="703"/>
        <item x="324"/>
        <item x="325"/>
        <item m="1" x="908"/>
        <item m="1" x="738"/>
        <item x="384"/>
        <item m="1" x="909"/>
        <item x="388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x="395"/>
        <item x="396"/>
        <item m="1" x="781"/>
        <item x="20"/>
        <item m="1" x="433"/>
        <item m="1" x="438"/>
        <item m="1" x="439"/>
        <item m="1" x="430"/>
        <item m="1" x="431"/>
        <item m="1" x="432"/>
        <item m="1" x="449"/>
        <item m="1" x="450"/>
        <item m="1" x="444"/>
        <item m="1" x="452"/>
        <item m="1" x="454"/>
        <item m="1" x="467"/>
        <item m="1" x="459"/>
        <item x="63"/>
        <item m="1" x="478"/>
        <item x="77"/>
        <item m="1" x="515"/>
        <item x="382"/>
        <item m="1" x="519"/>
        <item x="95"/>
        <item m="1" x="532"/>
        <item x="134"/>
        <item x="149"/>
        <item x="150"/>
        <item m="1" x="540"/>
        <item x="164"/>
        <item x="163"/>
        <item x="170"/>
        <item x="139"/>
        <item m="1" x="577"/>
        <item x="182"/>
        <item m="1" x="561"/>
        <item m="1" x="580"/>
        <item m="1" x="581"/>
        <item m="1" x="590"/>
        <item m="1" x="586"/>
        <item m="1" x="592"/>
        <item x="199"/>
        <item m="1" x="594"/>
        <item x="204"/>
        <item m="1" x="632"/>
        <item x="254"/>
        <item m="1" x="617"/>
        <item m="1" x="626"/>
        <item x="266"/>
        <item m="1" x="644"/>
        <item m="1" x="647"/>
        <item m="1" x="649"/>
        <item m="1" x="643"/>
        <item m="1" x="634"/>
        <item m="1" x="651"/>
        <item m="1" x="807"/>
        <item m="1" x="808"/>
        <item m="1" x="812"/>
        <item m="1" x="813"/>
        <item x="309"/>
        <item m="1" x="815"/>
        <item m="1" x="817"/>
        <item m="1" x="819"/>
        <item m="1" x="820"/>
        <item m="1" x="821"/>
        <item m="1" x="822"/>
        <item m="1" x="823"/>
        <item m="1" x="824"/>
        <item m="1" x="825"/>
        <item m="1" x="675"/>
        <item m="1" x="827"/>
        <item m="1" x="828"/>
        <item m="1" x="829"/>
        <item m="1" x="830"/>
        <item m="1" x="831"/>
        <item x="338"/>
        <item m="1" x="832"/>
        <item x="366"/>
        <item x="369"/>
        <item m="1" x="835"/>
        <item m="1" x="747"/>
        <item m="1" x="836"/>
        <item m="1" x="837"/>
        <item m="1" x="838"/>
        <item m="1" x="839"/>
        <item m="1" x="841"/>
        <item x="229"/>
        <item m="1" x="842"/>
        <item x="33"/>
        <item m="1" x="843"/>
        <item m="1" x="844"/>
        <item m="1" x="762"/>
        <item m="1" x="845"/>
        <item m="1" x="846"/>
        <item x="405"/>
        <item x="411"/>
        <item m="1" x="421"/>
        <item x="12"/>
        <item m="1" x="426"/>
        <item m="1" x="427"/>
        <item m="1" x="428"/>
        <item m="1" x="434"/>
        <item m="1" x="436"/>
        <item m="1" x="437"/>
        <item x="34"/>
        <item x="32"/>
        <item m="1" x="442"/>
        <item m="1" x="445"/>
        <item m="1" x="446"/>
        <item m="1" x="447"/>
        <item m="1" x="448"/>
        <item x="48"/>
        <item m="1" x="457"/>
        <item m="1" x="466"/>
        <item m="1" x="468"/>
        <item m="1" x="470"/>
        <item m="1" x="471"/>
        <item m="1" x="472"/>
        <item m="1" x="473"/>
        <item x="213"/>
        <item x="214"/>
        <item m="1" x="474"/>
        <item m="1" x="475"/>
        <item m="1" x="476"/>
        <item m="1" x="477"/>
        <item x="61"/>
        <item m="1" x="480"/>
        <item m="1" x="481"/>
        <item m="1" x="482"/>
        <item m="1" x="483"/>
        <item m="1" x="484"/>
        <item m="1" x="485"/>
        <item m="1" x="486"/>
        <item m="1" x="487"/>
        <item m="1" x="491"/>
        <item m="1" x="492"/>
        <item m="1" x="495"/>
        <item x="74"/>
        <item m="1" x="499"/>
        <item x="84"/>
        <item m="1" x="508"/>
        <item m="1" x="513"/>
        <item x="98"/>
        <item x="97"/>
        <item x="124"/>
        <item m="1" x="523"/>
        <item x="145"/>
        <item m="1" x="531"/>
        <item x="146"/>
        <item x="158"/>
        <item x="125"/>
        <item x="126"/>
        <item x="133"/>
        <item m="1" x="556"/>
        <item m="1" x="558"/>
        <item m="1" x="559"/>
        <item m="1" x="565"/>
        <item m="1" x="566"/>
        <item m="1" x="575"/>
        <item m="1" x="576"/>
        <item m="1" x="593"/>
        <item x="201"/>
        <item x="202"/>
        <item x="203"/>
        <item x="206"/>
        <item m="1" x="603"/>
        <item x="198"/>
        <item m="1" x="605"/>
        <item x="205"/>
        <item x="392"/>
        <item m="1" x="618"/>
        <item m="1" x="625"/>
        <item x="225"/>
        <item m="1" x="631"/>
        <item x="226"/>
        <item x="210"/>
        <item x="211"/>
        <item x="212"/>
        <item x="215"/>
        <item x="216"/>
        <item x="217"/>
        <item x="218"/>
        <item x="120"/>
        <item x="219"/>
        <item m="1" x="633"/>
        <item x="247"/>
        <item x="248"/>
        <item x="249"/>
        <item x="250"/>
        <item x="251"/>
        <item x="252"/>
        <item x="227"/>
        <item x="228"/>
        <item m="1" x="637"/>
        <item m="1" x="641"/>
        <item m="1" x="642"/>
        <item m="1" x="648"/>
        <item m="1" x="652"/>
        <item m="1" x="655"/>
        <item m="1" x="656"/>
        <item m="1" x="657"/>
        <item m="1" x="658"/>
        <item m="1" x="659"/>
        <item m="1" x="660"/>
        <item m="1" x="661"/>
        <item m="1" x="662"/>
        <item m="1" x="665"/>
        <item x="397"/>
        <item m="1" x="666"/>
        <item m="1" x="667"/>
        <item m="1" x="668"/>
        <item m="1" x="669"/>
        <item m="1" x="670"/>
        <item m="1" x="671"/>
        <item m="1" x="672"/>
        <item m="1" x="674"/>
        <item m="1" x="676"/>
        <item m="1" x="678"/>
        <item m="1" x="679"/>
        <item x="123"/>
        <item m="1" x="680"/>
        <item m="1" x="681"/>
        <item x="344"/>
        <item m="1" x="684"/>
        <item m="1" x="685"/>
        <item m="1" x="687"/>
        <item m="1" x="688"/>
        <item m="1" x="689"/>
        <item m="1" x="690"/>
        <item m="1" x="691"/>
        <item m="1" x="695"/>
        <item m="1" x="697"/>
        <item m="1" x="698"/>
        <item m="1" x="699"/>
        <item m="1" x="700"/>
        <item m="1" x="707"/>
        <item m="1" x="708"/>
        <item m="1" x="709"/>
        <item m="1" x="715"/>
        <item m="1" x="716"/>
        <item x="348"/>
        <item m="1" x="718"/>
        <item m="1" x="719"/>
        <item m="1" x="720"/>
        <item m="1" x="721"/>
        <item m="1" x="722"/>
        <item m="1" x="723"/>
        <item m="1" x="724"/>
        <item m="1" x="725"/>
        <item x="323"/>
        <item m="1" x="728"/>
        <item m="1" x="729"/>
        <item m="1" x="730"/>
        <item x="327"/>
        <item m="1" x="731"/>
        <item m="1" x="733"/>
        <item x="343"/>
        <item x="362"/>
        <item x="367"/>
        <item m="1" x="734"/>
        <item m="1" x="736"/>
        <item m="1" x="737"/>
        <item x="373"/>
        <item m="1" x="739"/>
        <item x="377"/>
        <item m="1" x="741"/>
        <item m="1" x="748"/>
        <item x="390"/>
        <item x="391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4"/>
        <item x="402"/>
        <item m="1" x="775"/>
        <item m="1" x="777"/>
        <item x="409"/>
        <item x="413"/>
        <item x="7"/>
        <item x="8"/>
        <item x="9"/>
        <item x="10"/>
        <item x="18"/>
        <item x="23"/>
        <item x="28"/>
        <item x="29"/>
        <item x="35"/>
        <item x="36"/>
        <item x="39"/>
        <item x="50"/>
        <item x="51"/>
        <item x="54"/>
        <item x="56"/>
        <item x="57"/>
        <item x="62"/>
        <item x="86"/>
        <item x="100"/>
        <item x="101"/>
        <item x="102"/>
        <item x="103"/>
        <item x="107"/>
        <item x="108"/>
        <item x="109"/>
        <item x="116"/>
        <item x="121"/>
        <item x="122"/>
        <item x="131"/>
        <item x="171"/>
        <item x="172"/>
        <item x="173"/>
        <item x="174"/>
        <item x="175"/>
        <item x="176"/>
        <item x="184"/>
        <item x="185"/>
        <item x="187"/>
        <item x="193"/>
        <item x="208"/>
        <item x="209"/>
        <item x="220"/>
        <item x="221"/>
        <item x="222"/>
        <item x="223"/>
        <item x="224"/>
        <item x="246"/>
        <item x="255"/>
        <item x="256"/>
        <item x="257"/>
        <item x="258"/>
        <item x="259"/>
        <item x="263"/>
        <item x="267"/>
        <item x="268"/>
        <item x="269"/>
        <item x="270"/>
        <item x="274"/>
        <item x="275"/>
        <item x="278"/>
        <item x="281"/>
        <item x="284"/>
        <item x="290"/>
        <item x="291"/>
        <item x="292"/>
        <item x="293"/>
        <item x="294"/>
        <item x="295"/>
        <item x="296"/>
        <item x="297"/>
        <item x="299"/>
        <item x="301"/>
        <item x="302"/>
        <item x="303"/>
        <item x="304"/>
        <item x="312"/>
        <item x="313"/>
        <item x="314"/>
        <item x="317"/>
        <item x="318"/>
        <item x="319"/>
        <item x="320"/>
        <item x="321"/>
        <item x="322"/>
        <item x="326"/>
        <item x="328"/>
        <item x="329"/>
        <item x="330"/>
        <item x="331"/>
        <item x="332"/>
        <item x="333"/>
        <item x="334"/>
        <item x="336"/>
        <item x="340"/>
        <item x="341"/>
        <item x="342"/>
        <item x="345"/>
        <item x="346"/>
        <item x="347"/>
        <item x="349"/>
        <item x="350"/>
        <item x="351"/>
        <item x="353"/>
        <item x="355"/>
        <item x="356"/>
        <item x="357"/>
        <item x="359"/>
        <item x="360"/>
        <item x="361"/>
        <item x="363"/>
        <item x="370"/>
        <item x="371"/>
        <item x="374"/>
        <item x="375"/>
        <item x="376"/>
        <item x="386"/>
        <item x="387"/>
        <item x="393"/>
        <item x="398"/>
        <item x="401"/>
        <item x="406"/>
        <item x="40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6"/>
        <item m="1" x="1613"/>
        <item m="1" x="936"/>
        <item m="1" x="1342"/>
        <item m="1" x="1897"/>
        <item m="1" x="2376"/>
        <item m="1" x="3192"/>
        <item m="1" x="1868"/>
        <item x="177"/>
        <item x="276"/>
        <item m="1" x="5718"/>
        <item x="3"/>
        <item x="274"/>
        <item x="162"/>
        <item x="260"/>
        <item x="132"/>
        <item m="1" x="640"/>
        <item m="1" x="6537"/>
        <item m="1" x="891"/>
        <item x="170"/>
        <item m="1" x="1589"/>
        <item m="1" x="852"/>
        <item x="347"/>
        <item x="250"/>
        <item m="1" x="1363"/>
        <item m="1" x="1709"/>
        <item x="214"/>
        <item m="1" x="1788"/>
        <item x="429"/>
        <item m="1" x="853"/>
        <item m="1" x="1484"/>
        <item m="1" x="811"/>
        <item m="1" x="2324"/>
        <item m="1" x="2788"/>
        <item m="1" x="5129"/>
        <item x="424"/>
        <item m="1" x="786"/>
        <item x="435"/>
        <item x="144"/>
        <item m="1" x="7055"/>
        <item x="246"/>
        <item m="1" x="6058"/>
        <item h="1" x="87"/>
        <item m="1" x="860"/>
        <item x="240"/>
        <item x="8"/>
        <item m="1" x="546"/>
        <item m="1" x="516"/>
        <item m="1" x="2202"/>
        <item x="189"/>
        <item m="1" x="2911"/>
        <item m="1" x="1359"/>
        <item m="1" x="5320"/>
        <item m="1" x="1094"/>
        <item x="135"/>
        <item x="305"/>
        <item m="1" x="1110"/>
        <item x="204"/>
        <item m="1" x="1844"/>
        <item m="1" x="576"/>
        <item m="1" x="7293"/>
        <item m="1" x="713"/>
        <item m="1" x="4198"/>
        <item m="1" x="1828"/>
        <item m="1" x="3064"/>
        <item m="1" x="2692"/>
        <item m="1" x="4326"/>
        <item x="33"/>
        <item m="1" x="1103"/>
        <item m="1" x="1849"/>
        <item x="256"/>
        <item m="1" x="770"/>
        <item m="1" x="2812"/>
        <item m="1" x="805"/>
        <item m="1" x="3180"/>
        <item x="142"/>
        <item m="1" x="1916"/>
        <item x="203"/>
        <item x="65"/>
        <item m="1" x="785"/>
        <item x="403"/>
        <item h="1" m="1" x="958"/>
        <item h="1" m="1" x="1785"/>
        <item x="307"/>
        <item h="1" m="1" x="848"/>
        <item h="1" x="278"/>
        <item h="1" m="1" x="476"/>
        <item h="1" x="10"/>
        <item h="1" x="217"/>
        <item h="1" m="1" x="1578"/>
        <item h="1" m="1" x="2995"/>
        <item h="1" x="327"/>
        <item h="1" m="1" x="858"/>
        <item h="1" x="11"/>
        <item h="1" m="1" x="2029"/>
        <item h="1" m="1" x="1466"/>
        <item h="1" m="1" x="847"/>
        <item h="1" m="1" x="2580"/>
        <item h="1" m="1" x="1070"/>
        <item h="1" m="1" x="5606"/>
        <item h="1" m="1" x="2322"/>
        <item h="1" x="220"/>
        <item h="1" m="1" x="1716"/>
        <item h="1" m="1" x="1711"/>
        <item h="1" m="1" x="2543"/>
        <item h="1" m="1" x="2358"/>
        <item h="1" m="1" x="3270"/>
        <item h="1" x="197"/>
        <item h="1" x="271"/>
        <item h="1" m="1" x="3126"/>
        <item h="1" x="423"/>
        <item h="1" m="1" x="5374"/>
        <item h="1" m="1" x="469"/>
        <item h="1" x="71"/>
        <item h="1" x="16"/>
        <item h="1" m="1" x="496"/>
        <item h="1" x="255"/>
        <item h="1" x="422"/>
        <item h="1" m="1" x="2150"/>
        <item h="1" m="1" x="1846"/>
        <item h="1" x="194"/>
        <item h="1" x="175"/>
        <item h="1" x="249"/>
        <item h="1" x="27"/>
        <item h="1" m="1" x="1982"/>
        <item h="1" x="218"/>
        <item h="1" m="1" x="2665"/>
        <item h="1" m="1" x="5522"/>
        <item h="1" x="215"/>
        <item h="1" m="1" x="563"/>
        <item h="1" m="1" x="613"/>
        <item h="1" m="1" x="3485"/>
        <item h="1" m="1" x="2343"/>
        <item h="1" m="1" x="950"/>
        <item h="1" x="300"/>
        <item h="1" x="291"/>
        <item h="1" m="1" x="3654"/>
        <item h="1" m="1" x="3520"/>
        <item h="1" m="1" x="3688"/>
        <item h="1" x="225"/>
        <item h="1" x="88"/>
        <item h="1" x="399"/>
        <item h="1" m="1" x="4686"/>
        <item h="1" x="261"/>
        <item h="1" m="1" x="3354"/>
        <item h="1" x="147"/>
        <item h="1" m="1" x="5728"/>
        <item h="1" m="1" x="3184"/>
        <item h="1" m="1" x="1097"/>
        <item h="1" m="1" x="5002"/>
        <item h="1" m="1" x="2232"/>
        <item h="1" m="1" x="5187"/>
        <item h="1" m="1" x="436"/>
        <item h="1" m="1" x="4314"/>
        <item h="1" m="1" x="3911"/>
        <item h="1" m="1" x="5396"/>
        <item h="1" m="1" x="4197"/>
        <item h="1" m="1" x="6326"/>
        <item h="1" m="1" x="2696"/>
        <item h="1" m="1" x="559"/>
        <item h="1" m="1" x="7863"/>
        <item h="1" m="1" x="1872"/>
        <item h="1" m="1" x="1105"/>
        <item h="1" m="1" x="3173"/>
        <item h="1" m="1" x="921"/>
        <item h="1" m="1" x="2634"/>
        <item h="1" m="1" x="7002"/>
        <item h="1" m="1" x="2146"/>
        <item h="1" m="1" x="4017"/>
        <item h="1" m="1" x="5186"/>
        <item h="1" x="266"/>
        <item h="1" m="1" x="6016"/>
        <item h="1" x="124"/>
        <item h="1" m="1" x="3433"/>
        <item h="1" m="1" x="924"/>
        <item h="1" m="1" x="2965"/>
        <item h="1" m="1" x="1942"/>
        <item h="1" m="1" x="7703"/>
        <item h="1" m="1" x="3481"/>
        <item h="1" m="1" x="6987"/>
        <item h="1" m="1" x="1043"/>
        <item h="1" m="1" x="7817"/>
        <item h="1" m="1" x="3876"/>
        <item h="1" m="1" x="3245"/>
        <item h="1" x="12"/>
        <item h="1" m="1" x="7674"/>
        <item h="1" m="1" x="2320"/>
        <item h="1" m="1" x="5010"/>
        <item h="1" m="1" x="3325"/>
        <item h="1" m="1" x="1074"/>
        <item h="1" m="1" x="2566"/>
        <item h="1" m="1" x="2237"/>
        <item h="1" m="1" x="7428"/>
        <item h="1" m="1" x="1717"/>
        <item h="1" m="1" x="5194"/>
        <item h="1" m="1" x="5584"/>
        <item h="1" m="1" x="3038"/>
        <item h="1" x="67"/>
        <item h="1" m="1" x="3287"/>
        <item h="1" m="1" x="6012"/>
        <item h="1" m="1" x="5364"/>
        <item h="1" m="1" x="6866"/>
        <item h="1" m="1" x="2133"/>
        <item h="1" m="1" x="4870"/>
        <item h="1" m="1" x="7765"/>
        <item h="1" m="1" x="838"/>
        <item h="1" m="1" x="4317"/>
        <item h="1" m="1" x="3664"/>
        <item h="1" x="154"/>
        <item h="1" m="1" x="5183"/>
        <item h="1" m="1" x="2424"/>
        <item h="1" m="1" x="7385"/>
        <item h="1" m="1" x="5120"/>
        <item h="1" m="1" x="4397"/>
        <item h="1" m="1" x="7937"/>
        <item h="1" x="168"/>
        <item h="1" m="1" x="7623"/>
        <item h="1" m="1" x="2586"/>
        <item h="1" m="1" x="611"/>
        <item h="1" m="1" x="5000"/>
        <item h="1" x="69"/>
        <item h="1" m="1" x="6692"/>
        <item h="1" m="1" x="5515"/>
        <item h="1" m="1" x="2701"/>
        <item h="1" m="1" x="5355"/>
        <item h="1" m="1" x="3179"/>
        <item h="1" m="1" x="5960"/>
        <item h="1" m="1" x="4772"/>
        <item h="1" m="1" x="1079"/>
        <item h="1" m="1" x="1367"/>
        <item h="1" m="1" x="1875"/>
        <item h="1" m="1" x="3883"/>
        <item h="1" m="1" x="6027"/>
        <item h="1" m="1" x="6996"/>
        <item h="1" m="1" x="7290"/>
        <item h="1" m="1" x="957"/>
        <item h="1" m="1" x="7452"/>
        <item h="1" m="1" x="2790"/>
        <item h="1" m="1" x="2874"/>
        <item h="1" m="1" x="2844"/>
        <item h="1" m="1" x="5673"/>
        <item h="1" m="1" x="1554"/>
        <item h="1" m="1" x="6070"/>
        <item h="1" m="1" x="4181"/>
        <item h="1" m="1" x="752"/>
        <item h="1" m="1" x="2314"/>
        <item h="1" m="1" x="5368"/>
        <item h="1" m="1" x="495"/>
        <item h="1" m="1" x="6013"/>
        <item h="1" m="1" x="2653"/>
        <item h="1" m="1" x="1010"/>
        <item h="1" m="1" x="4855"/>
        <item h="1" m="1" x="5560"/>
        <item h="1" m="1" x="1990"/>
        <item h="1" m="1" x="2010"/>
        <item h="1" m="1" x="5166"/>
        <item h="1" m="1" x="5505"/>
        <item h="1" m="1" x="7250"/>
        <item h="1" m="1" x="7872"/>
        <item h="1" m="1" x="5944"/>
        <item h="1" m="1" x="3533"/>
        <item h="1" m="1" x="5586"/>
        <item h="1" m="1" x="1358"/>
        <item h="1" m="1" x="7613"/>
        <item h="1" m="1" x="3428"/>
        <item h="1" m="1" x="5535"/>
        <item h="1" m="1" x="4914"/>
        <item h="1" m="1" x="3161"/>
        <item h="1" m="1" x="3760"/>
        <item h="1" x="64"/>
        <item h="1" m="1" x="1370"/>
        <item h="1" m="1" x="2550"/>
        <item h="1" m="1" x="5531"/>
        <item h="1" m="1" x="6757"/>
        <item h="1" m="1" x="2639"/>
        <item h="1" m="1" x="6696"/>
        <item h="1" m="1" x="7622"/>
        <item h="1" m="1" x="3787"/>
        <item h="1" m="1" x="2872"/>
        <item h="1" m="1" x="7743"/>
        <item h="1" m="1" x="7750"/>
        <item h="1" m="1" x="5358"/>
        <item h="1" x="7"/>
        <item h="1" m="1" x="5369"/>
        <item h="1" m="1" x="4070"/>
        <item h="1" m="1" x="1989"/>
        <item h="1" m="1" x="2724"/>
        <item h="1" m="1" x="5334"/>
        <item h="1" m="1" x="5849"/>
        <item h="1" m="1" x="3940"/>
        <item h="1" m="1" x="2327"/>
        <item h="1" m="1" x="3753"/>
        <item h="1" m="1" x="7927"/>
        <item h="1" m="1" x="5520"/>
        <item h="1" m="1" x="4987"/>
        <item h="1" m="1" x="3944"/>
        <item h="1" m="1" x="2393"/>
        <item h="1" m="1" x="635"/>
        <item h="1" m="1" x="5632"/>
        <item h="1" m="1" x="4787"/>
        <item h="1" m="1" x="5737"/>
        <item h="1" m="1" x="5174"/>
        <item h="1" m="1" x="6780"/>
        <item h="1" m="1" x="3177"/>
        <item h="1" m="1" x="2855"/>
        <item h="1" m="1" x="525"/>
        <item h="1" m="1" x="1039"/>
        <item h="1" m="1" x="520"/>
        <item h="1" m="1" x="4781"/>
        <item h="1" m="1" x="3755"/>
        <item h="1" m="1" x="7501"/>
        <item h="1" m="1" x="3272"/>
        <item h="1" m="1" x="7616"/>
        <item h="1" m="1" x="1658"/>
        <item h="1" m="1" x="3669"/>
        <item h="1" m="1" x="2690"/>
        <item h="1" m="1" x="5742"/>
        <item h="1" m="1" x="3870"/>
        <item h="1" m="1" x="7614"/>
        <item h="1" m="1" x="804"/>
        <item h="1" m="1" x="5500"/>
        <item h="1" m="1" x="7609"/>
        <item h="1" m="1" x="3271"/>
        <item h="1" m="1" x="7286"/>
        <item h="1" m="1" x="6905"/>
        <item h="1" m="1" x="5850"/>
        <item h="1" m="1" x="2389"/>
        <item h="1" m="1" x="1980"/>
        <item h="1" m="1" x="2392"/>
        <item h="1" m="1" x="6689"/>
        <item h="1" m="1" x="3243"/>
        <item h="1" m="1" x="2328"/>
        <item h="1" m="1" x="6598"/>
        <item h="1" m="1" x="5749"/>
        <item h="1" m="1" x="4668"/>
        <item h="1" m="1" x="7463"/>
        <item h="1" m="1" x="7904"/>
        <item h="1" m="1" x="5645"/>
        <item h="1" m="1" x="7318"/>
        <item h="1" m="1" x="7749"/>
        <item h="1" m="1" x="6929"/>
        <item h="1" m="1" x="511"/>
        <item h="1" m="1" x="4669"/>
        <item h="1" m="1" x="946"/>
        <item h="1" m="1" x="3758"/>
        <item h="1" m="1" x="544"/>
        <item h="1" m="1" x="7840"/>
        <item h="1" m="1" x="2398"/>
        <item h="1" m="1" x="3130"/>
        <item h="1" m="1" x="2992"/>
        <item h="1" m="1" x="7059"/>
        <item h="1" m="1" x="3537"/>
        <item h="1" m="1" x="7441"/>
        <item h="1" m="1" x="680"/>
        <item h="1" m="1" x="7550"/>
        <item h="1" m="1" x="7209"/>
        <item h="1" x="85"/>
        <item h="1" m="1" x="558"/>
        <item h="1" m="1" x="6624"/>
        <item h="1" m="1" x="7048"/>
        <item h="1" m="1" x="2993"/>
        <item h="1" m="1" x="6375"/>
        <item h="1" m="1" x="6517"/>
        <item h="1" m="1" x="4788"/>
        <item h="1" m="1" x="6704"/>
        <item h="1" m="1" x="3045"/>
        <item h="1" m="1" x="6968"/>
        <item h="1" m="1" x="6963"/>
        <item h="1" m="1" x="5135"/>
        <item h="1" m="1" x="4261"/>
        <item h="1" m="1" x="4195"/>
        <item h="1" m="1" x="1860"/>
        <item h="1" m="1" x="6452"/>
        <item h="1" m="1" x="5503"/>
        <item h="1" m="1" x="2909"/>
        <item h="1" m="1" x="1941"/>
        <item h="1" m="1" x="2410"/>
        <item h="1" m="1" x="6454"/>
        <item h="1" m="1" x="4421"/>
        <item h="1" m="1" x="3502"/>
        <item h="1" m="1" x="6875"/>
        <item h="1" m="1" x="7742"/>
        <item h="1" m="1" x="7106"/>
        <item h="1" m="1" x="6907"/>
        <item h="1" m="1" x="3757"/>
        <item h="1" m="1" x="6589"/>
        <item h="1" m="1" x="3809"/>
        <item h="1" m="1" x="7846"/>
        <item h="1" m="1" x="7571"/>
        <item h="1" m="1" x="7307"/>
        <item h="1" m="1" x="6352"/>
        <item h="1" m="1" x="5471"/>
        <item h="1" m="1" x="4193"/>
        <item h="1" m="1" x="3903"/>
        <item h="1" m="1" x="5107"/>
        <item h="1" m="1" x="7725"/>
        <item h="1" m="1" x="6947"/>
        <item h="1" m="1" x="6948"/>
        <item h="1" m="1" x="6381"/>
        <item h="1" m="1" x="5943"/>
        <item h="1" m="1" x="806"/>
        <item h="1" m="1" x="2109"/>
        <item h="1" m="1" x="5323"/>
        <item h="1" m="1" x="6539"/>
        <item h="1" m="1" x="6908"/>
        <item h="1" m="1" x="1124"/>
        <item h="1" m="1" x="5528"/>
        <item h="1" m="1" x="7845"/>
        <item h="1" m="1" x="5004"/>
        <item h="1" m="1" x="6331"/>
        <item h="1" m="1" x="7641"/>
        <item h="1" m="1" x="7760"/>
        <item h="1" m="1" x="7540"/>
        <item h="1" m="1" x="7784"/>
        <item h="1" m="1" x="7539"/>
        <item h="1" m="1" x="5462"/>
        <item h="1" m="1" x="7746"/>
        <item h="1" m="1" x="7914"/>
        <item h="1" m="1" x="2364"/>
        <item h="1" m="1" x="6694"/>
        <item h="1" m="1" x="7794"/>
        <item h="1" m="1" x="6026"/>
        <item h="1" m="1" x="5295"/>
        <item h="1" m="1" x="5168"/>
        <item h="1" m="1" x="2594"/>
        <item h="1" m="1" x="7438"/>
        <item h="1" m="1" x="2116"/>
        <item h="1" m="1" x="5721"/>
        <item h="1" m="1" x="3729"/>
        <item h="1" m="1" x="5921"/>
        <item h="1" x="248"/>
        <item h="1" m="1" x="7706"/>
        <item h="1" m="1" x="5768"/>
        <item h="1" m="1" x="5781"/>
        <item h="1" m="1" x="5770"/>
        <item h="1" m="1" x="486"/>
        <item h="1" m="1" x="6639"/>
        <item h="1" m="1" x="2783"/>
        <item h="1" m="1" x="7772"/>
        <item h="1" m="1" x="6295"/>
        <item h="1" m="1" x="7269"/>
        <item h="1" m="1" x="5855"/>
        <item h="1" m="1" x="6202"/>
        <item h="1" m="1" x="7985"/>
        <item h="1" m="1" x="1747"/>
        <item h="1" m="1" x="7955"/>
        <item h="1" m="1" x="6360"/>
        <item h="1" m="1" x="6355"/>
        <item h="1" m="1" x="7532"/>
        <item h="1" m="1" x="5370"/>
        <item h="1" m="1" x="4242"/>
        <item h="1" m="1" x="4578"/>
        <item h="1" m="1" x="5261"/>
        <item h="1" m="1" x="2390"/>
        <item h="1" m="1" x="6899"/>
        <item h="1" m="1" x="6896"/>
        <item h="1" m="1" x="6294"/>
        <item h="1" m="1" x="4315"/>
        <item h="1" m="1" x="4684"/>
        <item h="1" m="1" x="3925"/>
        <item h="1" m="1" x="3727"/>
        <item h="1" m="1" x="7317"/>
        <item h="1" m="1" x="5885"/>
        <item h="1" m="1" x="3044"/>
        <item h="1" m="1" x="7375"/>
        <item h="1" m="1" x="4067"/>
        <item h="1" m="1" x="7759"/>
        <item h="1" m="1" x="5676"/>
        <item h="1" m="1" x="7716"/>
        <item h="1" m="1" x="5738"/>
        <item h="1" m="1" x="3728"/>
        <item h="1" m="1" x="7207"/>
        <item h="1" m="1" x="6011"/>
        <item h="1" m="1" x="5739"/>
        <item h="1" m="1" x="7321"/>
        <item h="1" m="1" x="3001"/>
        <item h="1" m="1" x="7754"/>
        <item h="1" m="1" x="524"/>
        <item h="1" m="1" x="6189"/>
        <item h="1" m="1" x="1526"/>
        <item h="1" m="1" x="4928"/>
        <item h="1" m="1" x="7169"/>
        <item h="1" m="1" x="6773"/>
        <item h="1" m="1" x="3088"/>
        <item h="1" m="1" x="4737"/>
        <item h="1" m="1" x="3026"/>
        <item h="1" m="1" x="3672"/>
        <item h="1" m="1" x="7373"/>
        <item h="1" m="1" x="6726"/>
        <item h="1" m="1" x="7351"/>
        <item h="1" m="1" x="3775"/>
        <item h="1" m="1" x="4670"/>
        <item h="1" m="1" x="7619"/>
        <item h="1" m="1" x="1249"/>
        <item h="1" m="1" x="7581"/>
        <item h="1" m="1" x="1819"/>
        <item h="1" m="1" x="3059"/>
        <item h="1" m="1" x="1632"/>
        <item h="1" m="1" x="4989"/>
        <item h="1" m="1" x="7521"/>
        <item h="1" m="1" x="4366"/>
        <item h="1" m="1" x="2136"/>
        <item h="1" m="1" x="2666"/>
        <item h="1" m="1" x="2008"/>
        <item h="1" m="1" x="7946"/>
        <item h="1" m="1" x="7464"/>
        <item h="1" m="1" x="748"/>
        <item h="1" m="1" x="7440"/>
        <item h="1" m="1" x="3808"/>
        <item h="1" m="1" x="5843"/>
        <item h="1" m="1" x="3000"/>
        <item h="1" x="259"/>
        <item h="1" m="1" x="3360"/>
        <item h="1" m="1" x="5430"/>
        <item h="1" m="1" x="3767"/>
        <item h="1" m="1" x="5979"/>
        <item h="1" m="1" x="3377"/>
        <item h="1" m="1" x="3218"/>
        <item h="1" m="1" x="3681"/>
        <item h="1" m="1" x="6394"/>
        <item h="1" m="1" x="4535"/>
        <item h="1" m="1" x="5299"/>
        <item h="1" m="1" x="6893"/>
        <item h="1" m="1" x="2643"/>
        <item h="1" m="1" x="6241"/>
        <item h="1" m="1" x="6395"/>
        <item h="1" m="1" x="3247"/>
        <item h="1" m="1" x="3517"/>
        <item h="1" m="1" x="6853"/>
        <item h="1" m="1" x="4069"/>
        <item h="1" m="1" x="7907"/>
        <item h="1" m="1" x="2891"/>
        <item h="1" m="1" x="7095"/>
        <item h="1" m="1" x="2830"/>
        <item h="1" m="1" x="5478"/>
        <item h="1" m="1" x="6940"/>
        <item h="1" m="1" x="4330"/>
        <item h="1" m="1" x="5097"/>
        <item h="1" x="141"/>
        <item h="1" m="1" x="2801"/>
        <item h="1" m="1" x="6565"/>
        <item h="1" m="1" x="7588"/>
        <item h="1" m="1" x="4635"/>
        <item h="1" m="1" x="3108"/>
        <item h="1" m="1" x="7805"/>
        <item h="1" m="1" x="849"/>
        <item h="1" m="1" x="2417"/>
        <item h="1" m="1" x="3357"/>
        <item h="1" m="1" x="2896"/>
        <item h="1" m="1" x="7528"/>
        <item h="1" x="265"/>
        <item h="1" m="1" x="7839"/>
        <item h="1" m="1" x="7771"/>
        <item h="1" m="1" x="2151"/>
        <item h="1" m="1" x="6256"/>
        <item h="1" m="1" x="6849"/>
        <item h="1" m="1" x="2306"/>
        <item h="1" m="1" x="3140"/>
        <item h="1" m="1" x="6943"/>
        <item h="1" m="1" x="5045"/>
        <item h="1" m="1" x="7838"/>
        <item h="1" m="1" x="4777"/>
        <item h="1" m="1" x="7866"/>
        <item h="1" m="1" x="6398"/>
        <item h="1" m="1" x="7697"/>
        <item h="1" m="1" x="5539"/>
        <item h="1" m="1" x="3201"/>
        <item h="1" m="1" x="5580"/>
        <item h="1" m="1" x="5536"/>
        <item h="1" m="1" x="6693"/>
        <item h="1" m="1" x="7407"/>
        <item h="1" m="1" x="5946"/>
        <item h="1" m="1" x="3887"/>
        <item h="1" m="1" x="6881"/>
        <item h="1" m="1" x="4204"/>
        <item h="1" m="1" x="3391"/>
        <item h="1" m="1" x="1548"/>
        <item h="1" m="1" x="7100"/>
        <item h="1" m="1" x="1485"/>
        <item h="1" m="1" x="3536"/>
        <item h="1" m="1" x="7430"/>
        <item h="1" m="1" x="7842"/>
        <item h="1" m="1" x="7843"/>
        <item h="1" m="1" x="7841"/>
        <item h="1" m="1" x="5123"/>
        <item h="1" m="1" x="6880"/>
        <item h="1" m="1" x="3474"/>
        <item h="1" m="1" x="1981"/>
        <item h="1" m="1" x="2780"/>
        <item h="1" m="1" x="2917"/>
        <item h="1" m="1" x="5518"/>
        <item h="1" m="1" x="7086"/>
        <item h="1" m="1" x="7844"/>
        <item h="1" m="1" x="7371"/>
        <item h="1" x="252"/>
        <item h="1" m="1" x="2712"/>
        <item h="1" m="1" x="7837"/>
        <item h="1" m="1" x="2642"/>
        <item h="1" m="1" x="6709"/>
        <item h="1" m="1" x="3125"/>
        <item h="1" x="38"/>
        <item h="1" m="1" x="6904"/>
        <item h="1" m="1" x="6873"/>
        <item h="1" m="1" x="7237"/>
        <item h="1" m="1" x="1220"/>
        <item h="1" m="1" x="3464"/>
        <item h="1" m="1" x="2935"/>
        <item h="1" m="1" x="7212"/>
        <item h="1" m="1" x="2822"/>
        <item h="1" m="1" x="4019"/>
        <item h="1" m="1" x="7201"/>
        <item h="1" m="1" x="2684"/>
        <item h="1" m="1" x="7597"/>
        <item h="1" m="1" x="3909"/>
        <item h="1" m="1" x="6850"/>
        <item h="1" m="1" x="6920"/>
        <item h="1" m="1" x="6883"/>
        <item h="1" m="1" x="6898"/>
        <item h="1" m="1" x="6900"/>
        <item h="1" m="1" x="7849"/>
        <item h="1" m="1" x="6930"/>
        <item h="1" m="1" x="7408"/>
        <item h="1" m="1" x="7574"/>
        <item h="1" m="1" x="1965"/>
        <item h="1" m="1" x="6962"/>
        <item h="1" m="1" x="4375"/>
        <item h="1" m="1" x="7938"/>
        <item h="1" m="1" x="1542"/>
        <item h="1" m="1" x="5778"/>
        <item h="1" m="1" x="7011"/>
        <item h="1" m="1" x="2717"/>
        <item h="1" m="1" x="6833"/>
        <item h="1" m="1" x="7485"/>
        <item h="1" m="1" x="7410"/>
        <item h="1" m="1" x="6854"/>
        <item h="1" m="1" x="1388"/>
        <item h="1" m="1" x="6852"/>
        <item h="1" m="1" x="6888"/>
        <item h="1" m="1" x="7848"/>
        <item h="1" m="1" x="6868"/>
        <item h="1" m="1" x="6864"/>
        <item h="1" m="1" x="6865"/>
        <item h="1" m="1" x="3122"/>
        <item h="1" m="1" x="6902"/>
        <item h="1" m="1" x="6909"/>
        <item h="1" m="1" x="6878"/>
        <item h="1" m="1" x="7228"/>
        <item h="1" m="1" x="6935"/>
        <item h="1" m="1" x="6934"/>
        <item h="1" m="1" x="6938"/>
        <item h="1" m="1" x="5508"/>
        <item h="1" m="1" x="7412"/>
        <item h="1" m="1" x="7947"/>
        <item h="1" m="1" x="7847"/>
        <item h="1" m="1" x="773"/>
        <item h="1" m="1" x="2797"/>
        <item h="1" m="1" x="7486"/>
        <item h="1" m="1" x="7409"/>
        <item h="1" m="1" x="4115"/>
        <item h="1" m="1" x="6891"/>
        <item h="1" m="1" x="5640"/>
        <item h="1" m="1" x="2542"/>
        <item h="1" m="1" x="6923"/>
        <item h="1" m="1" x="7411"/>
        <item h="1" m="1" x="5318"/>
        <item h="1" m="1" x="2751"/>
        <item h="1" m="1" x="6953"/>
        <item h="1" m="1" x="7414"/>
        <item h="1" m="1" x="7413"/>
        <item h="1" m="1" x="7415"/>
        <item h="1" m="1" x="1832"/>
        <item h="1" m="1" x="1830"/>
        <item h="1" m="1" x="7322"/>
        <item h="1" m="1" x="5562"/>
        <item h="1" m="1" x="7202"/>
        <item h="1" m="1" x="4910"/>
        <item h="1" m="1" x="7804"/>
        <item h="1" m="1" x="7488"/>
        <item h="1" m="1" x="7645"/>
        <item h="1" m="1" x="7644"/>
        <item h="1" m="1" x="7646"/>
        <item h="1" m="1" x="7854"/>
        <item h="1" m="1" x="7858"/>
        <item h="1" m="1" x="6887"/>
        <item h="1" m="1" x="6879"/>
        <item h="1" m="1" x="7229"/>
        <item h="1" m="1" x="6911"/>
        <item h="1" m="1" x="6912"/>
        <item h="1" m="1" x="6910"/>
        <item h="1" m="1" x="3456"/>
        <item h="1" m="1" x="6945"/>
        <item h="1" m="1" x="7861"/>
        <item h="1" m="1" x="7862"/>
        <item h="1" m="1" x="6954"/>
        <item h="1" x="275"/>
        <item h="1" m="1" x="6965"/>
        <item h="1" m="1" x="5132"/>
        <item h="1" m="1" x="6955"/>
        <item h="1" m="1" x="3027"/>
        <item h="1" m="1" x="7935"/>
        <item h="1" m="1" x="6361"/>
        <item h="1" m="1" x="7608"/>
        <item h="1" m="1" x="2908"/>
        <item h="1" m="1" x="2371"/>
        <item h="1" m="1" x="7487"/>
        <item h="1" m="1" x="6874"/>
        <item h="1" m="1" x="6936"/>
        <item h="1" m="1" x="5495"/>
        <item h="1" m="1" x="7425"/>
        <item h="1" m="1" x="7426"/>
        <item h="1" m="1" x="6961"/>
        <item h="1" m="1" x="7653"/>
        <item h="1" m="1" x="6925"/>
        <item h="1" m="1" x="7492"/>
        <item h="1" m="1" x="6393"/>
        <item h="1" m="1" x="5003"/>
        <item h="1" m="1" x="5988"/>
        <item h="1" x="160"/>
        <item h="1" m="1" x="7493"/>
        <item h="1" m="1" x="7427"/>
        <item h="1" m="1" x="6738"/>
        <item h="1" m="1" x="7924"/>
        <item h="1" m="1" x="6059"/>
        <item h="1" m="1" x="7490"/>
        <item h="1" m="1" x="6855"/>
        <item h="1" m="1" x="6851"/>
        <item h="1" m="1" x="6856"/>
        <item h="1" m="1" x="6860"/>
        <item h="1" m="1" x="6913"/>
        <item h="1" m="1" x="6903"/>
        <item h="1" m="1" x="6901"/>
        <item h="1" m="1" x="6895"/>
        <item h="1" m="1" x="6894"/>
        <item h="1" m="1" x="7933"/>
        <item h="1" m="1" x="6922"/>
        <item h="1" m="1" x="6919"/>
        <item h="1" m="1" x="6862"/>
        <item h="1" m="1" x="6871"/>
        <item h="1" m="1" x="6872"/>
        <item h="1" m="1" x="6890"/>
        <item h="1" m="1" x="6889"/>
        <item h="1" m="1" x="6876"/>
        <item h="1" m="1" x="6892"/>
        <item h="1" m="1" x="6861"/>
        <item h="1" m="1" x="7855"/>
        <item h="1" m="1" x="7856"/>
        <item h="1" m="1" x="6863"/>
        <item h="1" m="1" x="6928"/>
        <item h="1" m="1" x="6933"/>
        <item h="1" m="1" x="6428"/>
        <item h="1" m="1" x="7859"/>
        <item h="1" m="1" x="6937"/>
        <item h="1" m="1" x="7570"/>
        <item h="1" m="1" x="6946"/>
        <item h="1" m="1" x="6956"/>
        <item h="1" m="1" x="6964"/>
        <item h="1" m="1" x="3820"/>
        <item h="1" m="1" x="3572"/>
        <item h="1" m="1" x="2204"/>
        <item h="1" m="1" x="515"/>
        <item h="1" m="1" x="3479"/>
        <item h="1" m="1" x="7698"/>
        <item h="1" m="1" x="7416"/>
        <item h="1" m="1" x="6877"/>
        <item h="1" m="1" x="6882"/>
        <item h="1" m="1" x="6869"/>
        <item h="1" m="1" x="6886"/>
        <item h="1" m="1" x="6915"/>
        <item h="1" m="1" x="7699"/>
        <item h="1" m="1" x="7857"/>
        <item h="1" m="1" x="6870"/>
        <item h="1" m="1" x="7860"/>
        <item h="1" m="1" x="7936"/>
        <item h="1" m="1" x="5705"/>
        <item h="1" m="1" x="5510"/>
        <item h="1" m="1" x="5322"/>
        <item h="1" m="1" x="4152"/>
        <item h="1" m="1" x="7484"/>
        <item h="1" m="1" x="7642"/>
        <item h="1" m="1" x="5529"/>
        <item h="1" m="1" x="4927"/>
        <item h="1" m="1" x="7853"/>
        <item h="1" m="1" x="7421"/>
        <item h="1" m="1" x="6906"/>
        <item h="1" m="1" x="6939"/>
        <item h="1" m="1" x="6941"/>
        <item h="1" m="1" x="3273"/>
        <item h="1" m="1" x="7423"/>
        <item h="1" m="1" x="6838"/>
        <item h="1" m="1" x="6837"/>
        <item h="1" m="1" x="6839"/>
        <item h="1" m="1" x="6261"/>
        <item h="1" m="1" x="7419"/>
        <item h="1" m="1" x="6921"/>
        <item h="1" m="1" x="6408"/>
        <item h="1" m="1" x="7714"/>
        <item h="1" m="1" x="7943"/>
        <item h="1" m="1" x="7944"/>
        <item h="1" m="1" x="7945"/>
        <item h="1" m="1" x="7806"/>
        <item h="1" m="1" x="7643"/>
        <item h="1" m="1" x="7919"/>
        <item h="1" m="1" x="7920"/>
        <item h="1" m="1" x="7851"/>
        <item h="1" m="1" x="7850"/>
        <item h="1" m="1" x="7953"/>
        <item h="1" m="1" x="7921"/>
        <item h="1" m="1" x="7964"/>
        <item h="1" m="1" x="7852"/>
        <item h="1" m="1" x="7926"/>
        <item h="1" m="1" x="1778"/>
        <item h="1" m="1" x="7923"/>
        <item h="1" m="1" x="7922"/>
        <item h="1" m="1" x="7957"/>
        <item h="1" m="1" x="7928"/>
        <item h="1" m="1" x="3873"/>
        <item h="1" m="1" x="7925"/>
        <item h="1" m="1" x="7929"/>
        <item h="1" m="1" x="7930"/>
        <item h="1" m="1" x="7977"/>
        <item h="1" m="1" x="7979"/>
        <item h="1" m="1" x="6541"/>
        <item h="1" m="1" x="6439"/>
        <item h="1" m="1" x="7989"/>
        <item h="1" m="1" x="7994"/>
        <item h="1" m="1" x="7931"/>
        <item h="1" m="1" x="7997"/>
        <item h="1" m="1" x="7932"/>
        <item h="1" x="273"/>
        <item h="1" m="1" x="7239"/>
        <item h="1" m="1" x="6831"/>
        <item h="1" m="1" x="6832"/>
        <item h="1" m="1" x="4213"/>
        <item h="1" m="1" x="7489"/>
        <item h="1" m="1" x="7491"/>
        <item h="1" m="1" x="7149"/>
        <item h="1" m="1" x="1978"/>
        <item h="1" m="1" x="7417"/>
        <item h="1" m="1" x="7420"/>
        <item h="1" m="1" x="7418"/>
        <item h="1" m="1" x="4459"/>
        <item h="1" m="1" x="6942"/>
        <item h="1" m="1" x="4676"/>
        <item h="1" m="1" x="7494"/>
        <item h="1" m="1" x="7429"/>
        <item h="1" m="1" x="7424"/>
        <item h="1" m="1" x="2604"/>
        <item h="1" m="1" x="7422"/>
        <item h="1" m="1" x="6974"/>
        <item h="1" m="1" x="5127"/>
        <item h="1" m="1" x="6884"/>
        <item h="1" m="1" x="6885"/>
        <item h="1" m="1" x="7918"/>
        <item h="1" m="1" x="7934"/>
        <item h="1" m="1" x="6988"/>
        <item h="1" m="1" x="2042"/>
        <item h="1" m="1" x="7869"/>
        <item h="1" m="1" x="7949"/>
        <item h="1" m="1" x="7950"/>
        <item h="1" m="1" x="7823"/>
        <item h="1" m="1" x="2804"/>
        <item h="1" m="1" x="7066"/>
        <item h="1" m="1" x="7965"/>
        <item h="1" m="1" x="7956"/>
        <item h="1" m="1" x="7963"/>
        <item h="1" m="1" x="7360"/>
        <item h="1" m="1" x="7966"/>
        <item h="1" m="1" x="7980"/>
        <item h="1" m="1" x="7978"/>
        <item h="1" m="1" x="7984"/>
        <item h="1" m="1" x="7099"/>
        <item h="1" m="1" x="7990"/>
        <item h="1" m="1" x="7884"/>
        <item h="1" m="1" x="7995"/>
        <item h="1" m="1" x="7996"/>
        <item h="1" m="1" x="7998"/>
        <item h="1" m="1" x="7999"/>
        <item h="1" m="1" x="783"/>
        <item h="1" m="1" x="5514"/>
        <item h="1" m="1" x="7723"/>
        <item h="1" m="1" x="4357"/>
        <item h="1" m="1" x="4369"/>
        <item h="1" m="1" x="7148"/>
        <item h="1" m="1" x="3756"/>
        <item h="1" m="1" x="4426"/>
        <item h="1" m="1" x="4425"/>
        <item h="1" m="1" x="4424"/>
        <item h="1" m="1" x="2214"/>
        <item h="1" m="1" x="6969"/>
        <item h="1" m="1" x="7734"/>
        <item h="1" m="1" x="7740"/>
        <item h="1" m="1" x="7667"/>
        <item h="1" m="1" x="7701"/>
        <item h="1" m="1" x="7939"/>
        <item h="1" m="1" x="7940"/>
        <item h="1" m="1" x="789"/>
        <item h="1" m="1" x="7941"/>
        <item h="1" m="1" x="7942"/>
        <item h="1" m="1" x="7948"/>
        <item h="1" m="1" x="7231"/>
        <item h="1" m="1" x="7232"/>
        <item h="1" m="1" x="7233"/>
        <item h="1" m="1" x="7951"/>
        <item h="1" m="1" x="7234"/>
        <item h="1" m="1" x="6622"/>
        <item h="1" m="1" x="7235"/>
        <item h="1" m="1" x="7952"/>
        <item h="1" m="1" x="2137"/>
        <item h="1" m="1" x="6387"/>
        <item h="1" m="1" x="7702"/>
        <item h="1" m="1" x="7809"/>
        <item h="1" m="1" x="7954"/>
        <item h="1" m="1" x="7958"/>
        <item h="1" m="1" x="7959"/>
        <item h="1" m="1" x="7960"/>
        <item h="1" m="1" x="7961"/>
        <item h="1" m="1" x="7962"/>
        <item h="1" m="1" x="7967"/>
        <item h="1" m="1" x="7968"/>
        <item h="1" m="1" x="7969"/>
        <item h="1" m="1" x="7970"/>
        <item h="1" m="1" x="7971"/>
        <item h="1" m="1" x="7972"/>
        <item h="1" m="1" x="7973"/>
        <item h="1" m="1" x="7974"/>
        <item h="1" m="1" x="7975"/>
        <item h="1" m="1" x="7976"/>
        <item h="1" m="1" x="7981"/>
        <item h="1" m="1" x="7982"/>
        <item h="1" m="1" x="7983"/>
        <item h="1" m="1" x="7986"/>
        <item h="1" m="1" x="7987"/>
        <item h="1" m="1" x="7988"/>
        <item h="1" m="1" x="7991"/>
        <item h="1" m="1" x="7992"/>
        <item h="1" m="1" x="7993"/>
        <item h="1" m="1" x="7816"/>
        <item h="1" m="1" x="7545"/>
        <item h="1" m="1" x="7780"/>
        <item h="1" m="1" x="7509"/>
        <item h="1" m="1" x="7510"/>
        <item h="1" m="1" x="7555"/>
        <item h="1" m="1" x="7891"/>
        <item h="1" m="1" x="7265"/>
        <item h="1" m="1" x="7727"/>
        <item h="1" m="1" x="7879"/>
        <item h="1" m="1" x="7519"/>
        <item h="1" m="1" x="4490"/>
        <item h="1" m="1" x="7724"/>
        <item h="1" m="1" x="5205"/>
        <item h="1" m="1" x="5206"/>
        <item h="1" m="1" x="3977"/>
        <item h="1" m="1" x="7516"/>
        <item h="1" m="1" x="4388"/>
        <item h="1" m="1" x="6715"/>
        <item h="1" m="1" x="4549"/>
        <item h="1" m="1" x="5219"/>
        <item h="1" m="1" x="917"/>
        <item h="1" m="1" x="4346"/>
        <item h="1" m="1" x="7659"/>
        <item h="1" m="1" x="7916"/>
        <item h="1" m="1" x="7498"/>
        <item h="1" m="1" x="6897"/>
        <item h="1" m="1" x="7864"/>
        <item h="1" m="1" x="5290"/>
        <item h="1" m="1" x="7807"/>
        <item h="1" m="1" x="7230"/>
        <item h="1" m="1" x="7865"/>
        <item h="1" m="1" x="7867"/>
        <item h="1" m="1" x="7868"/>
        <item h="1" m="1" x="7870"/>
        <item h="1" m="1" x="7871"/>
        <item h="1" m="1" x="7873"/>
        <item h="1" m="1" x="7812"/>
        <item h="1" m="1" x="7874"/>
        <item h="1" m="1" x="7811"/>
        <item h="1" m="1" x="7875"/>
        <item h="1" m="1" x="7711"/>
        <item h="1" m="1" x="7876"/>
        <item h="1" m="1" x="7877"/>
        <item h="1" m="1" x="3246"/>
        <item h="1" m="1" x="7814"/>
        <item h="1" m="1" x="7878"/>
        <item h="1" m="1" x="7880"/>
        <item h="1" m="1" x="7652"/>
        <item h="1" m="1" x="7881"/>
        <item h="1" m="1" x="7882"/>
        <item h="1" m="1" x="7883"/>
        <item h="1" m="1" x="7885"/>
        <item h="1" m="1" x="7166"/>
        <item h="1" m="1" x="7886"/>
        <item h="1" m="1" x="6443"/>
        <item h="1" m="1" x="7887"/>
        <item h="1" m="1" x="7888"/>
        <item h="1" m="1" x="7889"/>
        <item h="1" m="1" x="7308"/>
        <item h="1" m="1" x="7890"/>
        <item h="1" m="1" x="7892"/>
        <item h="1" m="1" x="7893"/>
        <item h="1" m="1" x="7894"/>
        <item h="1" m="1" x="7895"/>
        <item h="1" m="1" x="7896"/>
        <item h="1" m="1" x="7897"/>
        <item h="1" m="1" x="7238"/>
        <item h="1" m="1" x="7898"/>
        <item h="1" m="1" x="7720"/>
        <item h="1" m="1" x="7721"/>
        <item h="1" m="1" x="7722"/>
        <item h="1" m="1" x="7899"/>
        <item h="1" m="1" x="4429"/>
        <item h="1" m="1" x="4427"/>
        <item h="1" m="1" x="7900"/>
        <item h="1" m="1" x="7901"/>
        <item h="1" m="1" x="7902"/>
        <item h="1" m="1" x="7903"/>
        <item h="1" m="1" x="4494"/>
        <item h="1" m="1" x="4428"/>
        <item h="1" m="1" x="4245"/>
        <item h="1" m="1" x="7905"/>
        <item h="1" m="1" x="7906"/>
        <item h="1" m="1" x="7818"/>
        <item h="1" m="1" x="7819"/>
        <item h="1" m="1" x="7908"/>
        <item h="1" m="1" x="7665"/>
        <item h="1" m="1" x="7909"/>
        <item h="1" m="1" x="7731"/>
        <item h="1" m="1" x="7729"/>
        <item h="1" m="1" x="7730"/>
        <item h="1" m="1" x="7910"/>
        <item h="1" m="1" x="7911"/>
        <item h="1" m="1" x="7912"/>
        <item h="1" m="1" x="7913"/>
        <item h="1" m="1" x="7446"/>
        <item h="1" m="1" x="7664"/>
        <item h="1" m="1" x="7733"/>
        <item h="1" m="1" x="7915"/>
        <item h="1" m="1" x="7917"/>
        <item h="1" m="1" x="7582"/>
        <item h="1" m="1" x="7808"/>
        <item h="1" m="1" x="7708"/>
        <item h="1" m="1" x="7810"/>
        <item h="1" m="1" x="7704"/>
        <item h="1" m="1" x="7306"/>
        <item h="1" m="1" x="7705"/>
        <item h="1" m="1" x="7710"/>
        <item h="1" m="1" x="7707"/>
        <item h="1" m="1" x="7712"/>
        <item h="1" m="1" x="7587"/>
        <item h="1" m="1" x="7648"/>
        <item h="1" m="1" x="7649"/>
        <item h="1" m="1" x="7813"/>
        <item h="1" m="1" x="7815"/>
        <item h="1" m="1" x="7084"/>
        <item h="1" m="1" x="2975"/>
        <item h="1" m="1" x="7125"/>
        <item h="1" m="1" x="7715"/>
        <item h="1" m="1" x="7739"/>
        <item h="1" m="1" x="7168"/>
        <item h="1" m="1" x="7717"/>
        <item h="1" m="1" x="7718"/>
        <item h="1" m="1" x="4584"/>
        <item h="1" m="1" x="7719"/>
        <item h="1" m="1" x="7593"/>
        <item h="1" m="1" x="6714"/>
        <item h="1" m="1" x="4495"/>
        <item h="1" m="1" x="5093"/>
        <item h="1" m="1" x="4466"/>
        <item h="1" m="1" x="7658"/>
        <item h="1" m="1" x="7726"/>
        <item h="1" m="1" x="7660"/>
        <item h="1" m="1" x="7442"/>
        <item h="1" m="1" x="7596"/>
        <item h="1" m="1" x="6660"/>
        <item h="1" m="1" x="7738"/>
        <item h="1" m="1" x="7732"/>
        <item h="1" m="1" x="7310"/>
        <item h="1" m="1" x="7820"/>
        <item h="1" m="1" x="7523"/>
        <item h="1" m="1" x="7821"/>
        <item h="1" m="1" x="7612"/>
        <item h="1" m="1" x="7745"/>
        <item h="1" m="1" x="7748"/>
        <item h="1" m="1" x="7500"/>
        <item h="1" m="1" x="7822"/>
        <item h="1" m="1" x="6656"/>
        <item h="1" m="1" x="7647"/>
        <item h="1" m="1" x="7824"/>
        <item h="1" m="1" x="7825"/>
        <item h="1" m="1" x="7586"/>
        <item h="1" m="1" x="7709"/>
        <item h="1" m="1" x="7776"/>
        <item h="1" m="1" x="7741"/>
        <item h="1" m="1" x="7713"/>
        <item h="1" m="1" x="7654"/>
        <item h="1" m="1" x="7167"/>
        <item h="1" m="1" x="4819"/>
        <item h="1" m="1" x="7779"/>
        <item h="1" m="1" x="5551"/>
        <item h="1" m="1" x="910"/>
        <item h="1" m="1" x="7656"/>
        <item h="1" m="1" x="1845"/>
        <item h="1" m="1" x="7141"/>
        <item h="1" m="1" x="7787"/>
        <item h="1" m="1" x="7786"/>
        <item h="1" m="1" x="6662"/>
        <item h="1" m="1" x="6518"/>
        <item h="1" m="1" x="7826"/>
        <item h="1" m="1" x="7827"/>
        <item h="1" m="1" x="7828"/>
        <item h="1" m="1" x="7829"/>
        <item h="1" m="1" x="7830"/>
        <item h="1" m="1" x="7434"/>
        <item h="1" m="1" x="7831"/>
        <item h="1" m="1" x="6526"/>
        <item h="1" m="1" x="6950"/>
        <item h="1" m="1" x="7735"/>
        <item h="1" m="1" x="7736"/>
        <item h="1" m="1" x="7737"/>
        <item h="1" m="1" x="7832"/>
        <item h="1" m="1" x="7833"/>
        <item h="1" m="1" x="7800"/>
        <item h="1" m="1" x="7834"/>
        <item h="1" m="1" x="7835"/>
        <item h="1" m="1" x="7443"/>
        <item h="1" m="1" x="7444"/>
        <item h="1" m="1" x="7836"/>
        <item h="1" m="1" x="7744"/>
        <item h="1" m="1" x="7728"/>
        <item h="1" m="1" x="7524"/>
        <item h="1" m="1" x="7700"/>
        <item h="1" m="1" x="7124"/>
        <item h="1" m="1" x="6521"/>
        <item h="1" m="1" x="7603"/>
        <item h="1" m="1" x="7758"/>
        <item h="1" m="1" x="7747"/>
        <item h="1" m="1" x="6980"/>
        <item h="1" m="1" x="7751"/>
        <item h="1" m="1" x="7752"/>
        <item h="1" m="1" x="7753"/>
        <item h="1" m="1" x="7432"/>
        <item h="1" m="1" x="7755"/>
        <item h="1" m="1" x="6690"/>
        <item h="1" m="1" x="6755"/>
        <item h="1" m="1" x="7756"/>
        <item h="1" m="1" x="7757"/>
        <item h="1" m="1" x="7778"/>
        <item h="1" m="1" x="7761"/>
        <item h="1" m="1" x="7762"/>
        <item h="1" m="1" x="7763"/>
        <item h="1" m="1" x="7764"/>
        <item h="1" m="1" x="7165"/>
        <item h="1" m="1" x="7766"/>
        <item h="1" m="1" x="7767"/>
        <item h="1" m="1" x="7650"/>
        <item h="1" m="1" x="7768"/>
        <item h="1" m="1" x="7769"/>
        <item h="1" m="1" x="7770"/>
        <item h="1" m="1" x="7773"/>
        <item h="1" m="1" x="7774"/>
        <item h="1" m="1" x="7651"/>
        <item h="1" m="1" x="7098"/>
        <item h="1" m="1" x="7675"/>
        <item h="1" m="1" x="7775"/>
        <item h="1" m="1" x="7678"/>
        <item h="1" m="1" x="7777"/>
        <item h="1" m="1" x="7781"/>
        <item h="1" m="1" x="4576"/>
        <item h="1" m="1" x="7782"/>
        <item h="1" m="1" x="7783"/>
        <item h="1" m="1" x="1420"/>
        <item h="1" m="1" x="4675"/>
        <item h="1" m="1" x="7655"/>
        <item h="1" m="1" x="7785"/>
        <item h="1" m="1" x="7589"/>
        <item h="1" m="1" x="7788"/>
        <item h="1" m="1" x="7789"/>
        <item h="1" m="1" x="7309"/>
        <item h="1" m="1" x="7790"/>
        <item h="1" m="1" x="7517"/>
        <item h="1" m="1" x="7791"/>
        <item h="1" m="1" x="7792"/>
        <item h="1" m="1" x="7793"/>
        <item h="1" m="1" x="7436"/>
        <item h="1" m="1" x="7795"/>
        <item h="1" m="1" x="7796"/>
        <item h="1" m="1" x="6664"/>
        <item h="1" m="1" x="7591"/>
        <item h="1" m="1" x="7592"/>
        <item h="1" m="1" x="7797"/>
        <item h="1" m="1" x="7657"/>
        <item h="1" m="1" x="7798"/>
        <item h="1" m="1" x="4551"/>
        <item h="1" m="1" x="4370"/>
        <item h="1" m="1" x="7594"/>
        <item h="1" m="1" x="7799"/>
        <item h="1" m="1" x="7661"/>
        <item h="1" m="1" x="7662"/>
        <item h="1" m="1" x="7801"/>
        <item h="1" m="1" x="7663"/>
        <item h="1" m="1" x="7802"/>
        <item h="1" m="1" x="7598"/>
        <item h="1" m="1" x="7599"/>
        <item h="1" m="1" x="7605"/>
        <item h="1" m="1" x="7607"/>
        <item h="1" m="1" x="7803"/>
        <item h="1" m="1" x="7666"/>
        <item h="1" m="1" x="5488"/>
        <item h="1" m="1" x="7669"/>
        <item h="1" m="1" x="7668"/>
        <item h="1" m="1" x="7640"/>
        <item h="1" m="1" x="7670"/>
        <item h="1" m="1" x="7671"/>
        <item h="1" m="1" x="7672"/>
        <item h="1" m="1" x="7673"/>
        <item h="1" m="1" x="6985"/>
        <item h="1" m="1" x="6986"/>
        <item h="1" m="1" x="7583"/>
        <item h="1" m="1" x="7584"/>
        <item h="1" m="1" x="7585"/>
        <item h="1" m="1" x="2847"/>
        <item h="1" m="1" x="7085"/>
        <item h="1" m="1" x="7676"/>
        <item h="1" m="1" x="7499"/>
        <item h="1" m="1" x="1557"/>
        <item h="1" m="1" x="7677"/>
        <item h="1" m="1" x="6448"/>
        <item h="1" m="1" x="7679"/>
        <item h="1" m="1" x="7680"/>
        <item h="1" m="1" x="7254"/>
        <item h="1" m="1" x="7681"/>
        <item h="1" m="1" x="1745"/>
        <item h="1" m="1" x="4476"/>
        <item h="1" m="1" x="7263"/>
        <item h="1" m="1" x="7264"/>
        <item h="1" m="1" x="7590"/>
        <item h="1" m="1" x="4601"/>
        <item h="1" m="1" x="5256"/>
        <item h="1" m="1" x="7511"/>
        <item h="1" m="1" x="7515"/>
        <item h="1" m="1" x="7513"/>
        <item h="1" m="1" x="7514"/>
        <item h="1" m="1" x="6017"/>
        <item h="1" m="1" x="7512"/>
        <item h="1" m="1" x="7682"/>
        <item h="1" m="1" x="7683"/>
        <item h="1" m="1" x="7684"/>
        <item h="1" m="1" x="7685"/>
        <item h="1" m="1" x="7686"/>
        <item h="1" m="1" x="7439"/>
        <item h="1" m="1" x="7437"/>
        <item h="1" m="1" x="7687"/>
        <item h="1" m="1" x="7688"/>
        <item h="1" m="1" x="7689"/>
        <item h="1" m="1" x="5695"/>
        <item h="1" m="1" x="7690"/>
        <item h="1" m="1" x="7691"/>
        <item h="1" m="1" x="7692"/>
        <item h="1" m="1" x="7595"/>
        <item h="1" m="1" x="2652"/>
        <item h="1" m="1" x="7600"/>
        <item h="1" m="1" x="7601"/>
        <item h="1" m="1" x="7445"/>
        <item h="1" m="1" x="7448"/>
        <item h="1" m="1" x="7449"/>
        <item h="1" m="1" x="7693"/>
        <item h="1" m="1" x="7694"/>
        <item h="1" m="1" x="7695"/>
        <item h="1" m="1" x="7696"/>
        <item h="1" m="1" x="7447"/>
        <item h="1" m="1" x="7522"/>
        <item h="1" m="1" x="7602"/>
        <item h="1" m="1" x="7604"/>
        <item h="1" m="1" x="7610"/>
        <item h="1" m="1" x="7611"/>
        <item h="1" m="1" x="5439"/>
        <item h="1" m="1" x="5050"/>
        <item h="1" m="1" x="7049"/>
        <item h="1" m="1" x="7615"/>
        <item h="1" m="1" x="2182"/>
        <item h="1" m="1" x="6288"/>
        <item h="1" m="1" x="7606"/>
        <item h="1" m="1" x="7496"/>
        <item h="1" m="1" x="7497"/>
        <item h="1" m="1" x="7495"/>
        <item h="1" m="1" x="7617"/>
        <item h="1" m="1" x="7618"/>
        <item h="1" m="1" x="7259"/>
        <item h="1" m="1" x="7620"/>
        <item h="1" m="1" x="7330"/>
        <item h="1" m="1" x="7331"/>
        <item h="1" m="1" x="6435"/>
        <item h="1" m="1" x="7621"/>
        <item h="1" m="1" x="5726"/>
        <item h="1" m="1" x="5137"/>
        <item h="1" m="1" x="7504"/>
        <item h="1" m="1" x="7505"/>
        <item h="1" m="1" x="7506"/>
        <item h="1" m="1" x="7507"/>
        <item h="1" m="1" x="7508"/>
        <item h="1" m="1" x="5038"/>
        <item h="1" m="1" x="7502"/>
        <item h="1" m="1" x="7503"/>
        <item h="1" m="1" x="7255"/>
        <item h="1" m="1" x="7543"/>
        <item h="1" m="1" x="7266"/>
        <item h="1" m="1" x="647"/>
        <item h="1" x="247"/>
        <item h="1" m="1" x="7268"/>
        <item h="1" m="1" x="2050"/>
        <item h="1" m="1" x="7267"/>
        <item h="1" m="1" x="7554"/>
        <item h="1" m="1" x="2997"/>
        <item h="1" m="1" x="7140"/>
        <item h="1" m="1" x="7577"/>
        <item h="1" m="1" x="7578"/>
        <item h="1" m="1" x="7338"/>
        <item h="1" m="1" x="7624"/>
        <item h="1" m="1" x="4594"/>
        <item h="1" m="1" x="7625"/>
        <item h="1" m="1" x="7626"/>
        <item h="1" m="1" x="7518"/>
        <item h="1" m="1" x="7435"/>
        <item h="1" m="1" x="7627"/>
        <item h="1" m="1" x="5593"/>
        <item h="1" m="1" x="7628"/>
        <item h="1" m="1" x="6665"/>
        <item h="1" m="1" x="7629"/>
        <item h="1" m="1" x="7630"/>
        <item h="1" m="1" x="7631"/>
        <item h="1" m="1" x="7632"/>
        <item h="1" m="1" x="7633"/>
        <item h="1" m="1" x="7634"/>
        <item h="1" m="1" x="7635"/>
        <item h="1" m="1" x="7636"/>
        <item h="1" m="1" x="7637"/>
        <item h="1" m="1" x="7520"/>
        <item h="1" m="1" x="7638"/>
        <item h="1" m="1" x="7639"/>
        <item h="1" m="1" x="4392"/>
        <item h="1" m="1" x="4049"/>
        <item h="1" m="1" x="6684"/>
        <item h="1" m="1" x="4318"/>
        <item h="1" m="1" x="7525"/>
        <item h="1" m="1" x="7171"/>
        <item h="1" m="1" x="7526"/>
        <item h="1" m="1" x="7527"/>
        <item h="1" m="1" x="7172"/>
        <item h="1" m="1" x="7240"/>
        <item h="1" m="1" x="7431"/>
        <item h="1" m="1" x="7529"/>
        <item h="1" m="1" x="7530"/>
        <item h="1" m="1" x="6392"/>
        <item h="1" m="1" x="7242"/>
        <item h="1" m="1" x="7531"/>
        <item h="1" m="1" x="7533"/>
        <item h="1" m="1" x="7534"/>
        <item h="1" m="1" x="4605"/>
        <item h="1" m="1" x="4941"/>
        <item h="1" m="1" x="7326"/>
        <item h="1" m="1" x="7327"/>
        <item h="1" m="1" x="7329"/>
        <item h="1" m="1" x="7433"/>
        <item h="1" m="1" x="7257"/>
        <item h="1" m="1" x="7535"/>
        <item h="1" m="1" x="7536"/>
        <item h="1" m="1" x="5388"/>
        <item h="1" m="1" x="7537"/>
        <item h="1" m="1" x="7538"/>
        <item h="1" m="1" x="7335"/>
        <item h="1" m="1" x="5293"/>
        <item h="1" m="1" x="7541"/>
        <item h="1" m="1" x="7542"/>
        <item h="1" m="1" x="7544"/>
        <item h="1" m="1" x="7546"/>
        <item h="1" m="1" x="7547"/>
        <item h="1" m="1" x="7548"/>
        <item h="1" m="1" x="7549"/>
        <item h="1" m="1" x="6166"/>
        <item h="1" m="1" x="7551"/>
        <item h="1" m="1" x="7552"/>
        <item h="1" m="1" x="7128"/>
        <item h="1" m="1" x="7553"/>
        <item h="1" m="1" x="5715"/>
        <item h="1" m="1" x="7556"/>
        <item h="1" m="1" x="7557"/>
        <item h="1" m="1" x="7558"/>
        <item h="1" m="1" x="7559"/>
        <item h="1" m="1" x="7560"/>
        <item h="1" m="1" x="7561"/>
        <item h="1" m="1" x="7562"/>
        <item h="1" m="1" x="7563"/>
        <item h="1" m="1" x="7189"/>
        <item h="1" m="1" x="7190"/>
        <item h="1" m="1" x="7564"/>
        <item h="1" m="1" x="4355"/>
        <item h="1" m="1" x="7565"/>
        <item h="1" m="1" x="7566"/>
        <item h="1" m="1" x="4433"/>
        <item h="1" m="1" x="4411"/>
        <item h="1" m="1" x="7472"/>
        <item h="1" m="1" x="7468"/>
        <item h="1" m="1" x="6721"/>
        <item h="1" m="1" x="7567"/>
        <item h="1" m="1" x="7568"/>
        <item h="1" m="1" x="1427"/>
        <item h="1" m="1" x="7569"/>
        <item h="1" m="1" x="4336"/>
        <item h="1" m="1" x="6734"/>
        <item h="1" m="1" x="5949"/>
        <item h="1" m="1" x="5950"/>
        <item h="1" m="1" x="5951"/>
        <item h="1" m="1" x="7572"/>
        <item h="1" m="1" x="7573"/>
        <item h="1" m="1" x="6609"/>
        <item h="1" m="1" x="4321"/>
        <item h="1" m="1" x="4322"/>
        <item h="1" m="1" x="4973"/>
        <item h="1" m="1" x="7575"/>
        <item h="1" m="1" x="4332"/>
        <item h="1" m="1" x="4331"/>
        <item h="1" m="1" x="7477"/>
        <item h="1" m="1" x="7478"/>
        <item h="1" m="1" x="7343"/>
        <item h="1" m="1" x="6746"/>
        <item h="1" m="1" x="6679"/>
        <item h="1" m="1" x="7576"/>
        <item h="1" m="1" x="2787"/>
        <item h="1" m="1" x="6513"/>
        <item h="1" m="1" x="7579"/>
        <item h="1" m="1" x="7182"/>
        <item h="1" m="1" x="7183"/>
        <item h="1" m="1" x="7184"/>
        <item h="1" m="1" x="7188"/>
        <item h="1" m="1" x="7580"/>
        <item h="1" m="1" x="4752"/>
        <item h="1" m="1" x="7450"/>
        <item h="1" m="1" x="7346"/>
        <item h="1" m="1" x="7347"/>
        <item h="1" m="1" x="7312"/>
        <item h="1" m="1" x="7313"/>
        <item h="1" m="1" x="7311"/>
        <item h="1" m="1" x="7241"/>
        <item h="1" m="1" x="7314"/>
        <item h="1" m="1" x="7451"/>
        <item h="1" m="1" x="7315"/>
        <item h="1" m="1" x="7316"/>
        <item h="1" m="1" x="7453"/>
        <item h="1" m="1" x="5526"/>
        <item h="1" m="1" x="7319"/>
        <item h="1" m="1" x="7245"/>
        <item h="1" m="1" x="7454"/>
        <item h="1" m="1" x="7320"/>
        <item h="1" m="1" x="2854"/>
        <item h="1" m="1" x="6782"/>
        <item h="1" m="1" x="7455"/>
        <item h="1" m="1" x="7323"/>
        <item h="1" m="1" x="7324"/>
        <item h="1" m="1" x="7325"/>
        <item h="1" m="1" x="7456"/>
        <item h="1" m="1" x="7457"/>
        <item h="1" m="1" x="7362"/>
        <item h="1" m="1" x="7458"/>
        <item h="1" m="1" x="7459"/>
        <item h="1" m="1" x="7363"/>
        <item h="1" m="1" x="7460"/>
        <item h="1" m="1" x="7364"/>
        <item h="1" m="1" x="7365"/>
        <item h="1" m="1" x="7366"/>
        <item h="1" m="1" x="7367"/>
        <item h="1" m="1" x="7461"/>
        <item h="1" m="1" x="7368"/>
        <item h="1" m="1" x="7369"/>
        <item h="1" m="1" x="7462"/>
        <item h="1" m="1" x="7328"/>
        <item h="1" m="1" x="7334"/>
        <item h="1" m="1" x="7332"/>
        <item h="1" m="1" x="7333"/>
        <item h="1" m="1" x="7109"/>
        <item h="1" m="1" x="7113"/>
        <item h="1" m="1" x="7114"/>
        <item h="1" m="1" x="7260"/>
        <item h="1" m="1" x="7336"/>
        <item h="1" m="1" x="7261"/>
        <item h="1" m="1" x="7337"/>
        <item h="1" m="1" x="7465"/>
        <item h="1" m="1" x="4708"/>
        <item h="1" m="1" x="7277"/>
        <item h="1" m="1" x="7466"/>
        <item h="1" m="1" x="7270"/>
        <item h="1" m="1" x="7262"/>
        <item h="1" m="1" x="4561"/>
        <item h="1" m="1" x="7386"/>
        <item h="1" m="1" x="7387"/>
        <item h="1" m="1" x="6024"/>
        <item h="1" m="1" x="7130"/>
        <item h="1" m="1" x="7388"/>
        <item h="1" m="1" x="7131"/>
        <item h="1" m="1" x="7349"/>
        <item h="1" m="1" x="7271"/>
        <item h="1" m="1" x="7350"/>
        <item h="1" x="419"/>
        <item h="1" m="1" x="7273"/>
        <item h="1" m="1" x="7467"/>
        <item h="1" m="1" x="7276"/>
        <item h="1" m="1" x="4461"/>
        <item h="1" m="1" x="7469"/>
        <item h="1" m="1" x="6720"/>
        <item h="1" m="1" x="7470"/>
        <item h="1" m="1" x="7471"/>
        <item h="1" m="1" x="7473"/>
        <item h="1" m="1" x="4493"/>
        <item h="1" m="1" x="7038"/>
        <item h="1" m="1" x="4364"/>
        <item h="1" m="1" x="4356"/>
        <item h="1" m="1" x="7474"/>
        <item h="1" m="1" x="7475"/>
        <item h="1" m="1" x="6363"/>
        <item h="1" m="1" x="7278"/>
        <item h="1" m="1" x="6957"/>
        <item h="1" m="1" x="7339"/>
        <item h="1" m="1" x="7340"/>
        <item h="1" m="1" x="7476"/>
        <item h="1" m="1" x="7479"/>
        <item h="1" m="1" x="7480"/>
        <item h="1" m="1" x="7481"/>
        <item h="1" m="1" x="7482"/>
        <item h="1" m="1" x="7341"/>
        <item h="1" m="1" x="7342"/>
        <item h="1" m="1" x="7483"/>
        <item h="1" m="1" x="7279"/>
        <item h="1" m="1" x="7344"/>
        <item h="1" m="1" x="7050"/>
        <item h="1" m="1" x="7345"/>
        <item h="1" m="1" x="7236"/>
        <item h="1" m="1" x="7191"/>
        <item h="1" m="1" x="7192"/>
        <item h="1" m="1" x="7348"/>
        <item h="1" m="1" x="7352"/>
        <item h="1" m="1" x="7173"/>
        <item h="1" m="1" x="7353"/>
        <item h="1" m="1" x="5504"/>
        <item h="1" m="1" x="7354"/>
        <item h="1" m="1" x="7068"/>
        <item h="1" m="1" x="7244"/>
        <item h="1" m="1" x="6783"/>
        <item h="1" m="1" x="6329"/>
        <item h="1" m="1" x="7355"/>
        <item h="1" m="1" x="7356"/>
        <item h="1" m="1" x="6776"/>
        <item h="1" m="1" x="6766"/>
        <item h="1" m="1" x="6767"/>
        <item h="1" m="1" x="7357"/>
        <item h="1" m="1" x="6649"/>
        <item h="1" m="1" x="6754"/>
        <item h="1" m="1" x="6385"/>
        <item h="1" m="1" x="7243"/>
        <item h="1" m="1" x="7174"/>
        <item h="1" m="1" x="6752"/>
        <item h="1" m="1" x="7358"/>
        <item h="1" m="1" x="7359"/>
        <item h="1" m="1" x="7251"/>
        <item h="1" m="1" x="7252"/>
        <item h="1" m="1" x="7077"/>
        <item h="1" m="1" x="2242"/>
        <item h="1" m="1" x="7361"/>
        <item h="1" m="1" x="7246"/>
        <item h="1" m="1" x="7247"/>
        <item h="1" m="1" x="7248"/>
        <item h="1" m="1" x="7249"/>
        <item h="1" m="1" x="7187"/>
        <item h="1" m="1" x="7370"/>
        <item h="1" m="1" x="7372"/>
        <item h="1" m="1" x="7374"/>
        <item h="1" m="1" x="7253"/>
        <item h="1" m="1" x="7376"/>
        <item h="1" m="1" x="7256"/>
        <item h="1" m="1" x="7377"/>
        <item h="1" m="1" x="5394"/>
        <item h="1" m="1" x="7378"/>
        <item h="1" m="1" x="6822"/>
        <item h="1" m="1" x="7379"/>
        <item h="1" m="1" x="7380"/>
        <item h="1" m="1" x="7381"/>
        <item h="1" m="1" x="7382"/>
        <item h="1" m="1" x="7383"/>
        <item h="1" m="1" x="7384"/>
        <item h="1" m="1" x="5456"/>
        <item h="1" m="1" x="7272"/>
        <item h="1" m="1" x="4554"/>
        <item h="1" m="1" x="7389"/>
        <item h="1" m="1" x="6702"/>
        <item h="1" m="1" x="7274"/>
        <item h="1" m="1" x="7275"/>
        <item h="1" m="1" x="4073"/>
        <item h="1" m="1" x="7390"/>
        <item h="1" m="1" x="7391"/>
        <item h="1" m="1" x="7392"/>
        <item h="1" m="1" x="7393"/>
        <item h="1" m="1" x="7394"/>
        <item h="1" m="1" x="4362"/>
        <item h="1" m="1" x="7395"/>
        <item h="1" m="1" x="4347"/>
        <item h="1" m="1" x="7396"/>
        <item h="1" m="1" x="7397"/>
        <item h="1" m="1" x="7398"/>
        <item h="1" m="1" x="7399"/>
        <item h="1" m="1" x="7400"/>
        <item h="1" m="1" x="4552"/>
        <item h="1" m="1" x="6732"/>
        <item h="1" m="1" x="7401"/>
        <item h="1" m="1" x="6951"/>
        <item h="1" m="1" x="4408"/>
        <item h="1" m="1" x="7402"/>
        <item h="1" m="1" x="6960"/>
        <item h="1" m="1" x="6372"/>
        <item h="1" m="1" x="6748"/>
        <item h="1" m="1" x="6749"/>
        <item h="1" m="1" x="7403"/>
        <item h="1" m="1" x="7404"/>
        <item h="1" m="1" x="7405"/>
        <item h="1" m="1" x="6758"/>
        <item h="1" m="1" x="7280"/>
        <item h="1" m="1" x="7406"/>
        <item h="1" m="1" x="6759"/>
        <item h="1" m="1" x="6760"/>
        <item h="1" m="1" x="4092"/>
        <item h="1" m="1" x="7258"/>
        <item h="1" m="1" x="7144"/>
        <item h="1" m="1" x="4323"/>
        <item h="1" m="1" x="6972"/>
        <item h="1" m="1" x="7057"/>
        <item h="1" m="1" x="7281"/>
        <item h="1" m="1" x="7282"/>
        <item h="1" m="1" x="7170"/>
        <item h="1" m="1" x="7283"/>
        <item h="1" m="1" x="7284"/>
        <item h="1" m="1" x="7285"/>
        <item h="1" m="1" x="7065"/>
        <item h="1" m="1" x="7045"/>
        <item h="1" m="1" x="7175"/>
        <item h="1" m="1" x="7176"/>
        <item h="1" m="1" x="6786"/>
        <item h="1" m="1" x="7069"/>
        <item h="1" m="1" x="7178"/>
        <item h="1" m="1" x="7177"/>
        <item h="1" m="1" x="3891"/>
        <item h="1" m="1" x="7287"/>
        <item h="1" m="1" x="7288"/>
        <item h="1" m="1" x="6657"/>
        <item h="1" m="1" x="7289"/>
        <item h="1" m="1" x="6054"/>
        <item h="1" m="1" x="7088"/>
        <item h="1" m="1" x="5859"/>
        <item h="1" m="1" x="7087"/>
        <item h="1" m="1" x="6018"/>
        <item h="1" m="1" x="7111"/>
        <item h="1" m="1" x="1870"/>
        <item h="1" m="1" x="7104"/>
        <item h="1" m="1" x="7083"/>
        <item h="1" m="1" x="2806"/>
        <item h="1" m="1" x="7291"/>
        <item h="1" m="1" x="7120"/>
        <item h="1" m="1" x="7292"/>
        <item h="1" m="1" x="7132"/>
        <item h="1" m="1" x="4018"/>
        <item h="1" m="1" x="6835"/>
        <item h="1" m="1" x="6847"/>
        <item h="1" m="1" x="7294"/>
        <item h="1" m="1" x="6857"/>
        <item h="1" m="1" x="7295"/>
        <item h="1" m="1" x="7296"/>
        <item h="1" m="1" x="7297"/>
        <item h="1" m="1" x="6916"/>
        <item h="1" m="1" x="6914"/>
        <item h="1" m="1" x="5897"/>
        <item h="1" m="1" x="7298"/>
        <item h="1" m="1" x="7299"/>
        <item h="1" m="1" x="4587"/>
        <item h="1" m="1" x="4590"/>
        <item h="1" m="1" x="6528"/>
        <item h="1" m="1" x="4586"/>
        <item h="1" m="1" x="6672"/>
        <item h="1" m="1" x="6673"/>
        <item h="1" m="1" x="4544"/>
        <item h="1" m="1" x="7300"/>
        <item h="1" m="1" x="7301"/>
        <item h="1" m="1" x="7302"/>
        <item h="1" m="1" x="7303"/>
        <item h="1" m="1" x="543"/>
        <item h="1" m="1" x="6966"/>
        <item h="1" m="1" x="6967"/>
        <item h="1" m="1" x="7304"/>
        <item h="1" m="1" x="6777"/>
        <item h="1" m="1" x="7305"/>
        <item h="1" m="1" x="6686"/>
        <item h="1" m="1" x="6781"/>
        <item h="1" m="1" x="7179"/>
        <item h="1" m="1" x="7180"/>
        <item h="1" m="1" x="7181"/>
        <item h="1" m="1" x="7185"/>
        <item h="1" m="1" x="7076"/>
        <item h="1" m="1" x="7186"/>
        <item h="1" m="1" x="7090"/>
        <item h="1" m="1" x="5438"/>
        <item h="1" m="1" x="7115"/>
        <item h="1" m="1" x="5420"/>
        <item h="1" m="1" x="7193"/>
        <item h="1" m="1" x="7159"/>
        <item h="1" m="1" x="7164"/>
        <item h="1" m="1" x="7194"/>
        <item h="1" m="1" x="7195"/>
        <item h="1" m="1" x="7196"/>
        <item h="1" m="1" x="7197"/>
        <item h="1" m="1" x="1617"/>
        <item h="1" m="1" x="7198"/>
        <item h="1" m="1" x="7199"/>
        <item h="1" m="1" x="4420"/>
        <item h="1" m="1" x="7063"/>
        <item h="1" m="1" x="6629"/>
        <item h="1" m="1" x="7067"/>
        <item h="1" m="1" x="7200"/>
        <item h="1" m="1" x="7089"/>
        <item h="1" m="1" x="7091"/>
        <item h="1" m="1" x="7092"/>
        <item h="1" m="1" x="7103"/>
        <item h="1" m="1" x="7097"/>
        <item h="1" m="1" x="2230"/>
        <item h="1" m="1" x="5161"/>
        <item h="1" m="1" x="7203"/>
        <item h="1" m="1" x="7070"/>
        <item h="1" m="1" x="7204"/>
        <item h="1" m="1" x="7110"/>
        <item h="1" m="1" x="3324"/>
        <item h="1" m="1" x="7205"/>
        <item h="1" m="1" x="7206"/>
        <item h="1" m="1" x="7208"/>
        <item h="1" m="1" x="7142"/>
        <item h="1" m="1" x="7126"/>
        <item h="1" m="1" x="7127"/>
        <item h="1" m="1" x="7129"/>
        <item h="1" m="1" x="7210"/>
        <item h="1" m="1" x="7211"/>
        <item h="1" m="1" x="7145"/>
        <item h="1" m="1" x="7213"/>
        <item h="1" m="1" x="4450"/>
        <item h="1" m="1" x="7147"/>
        <item h="1" m="1" x="7026"/>
        <item h="1" m="1" x="5963"/>
        <item h="1" m="1" x="7214"/>
        <item h="1" m="1" x="7027"/>
        <item h="1" m="1" x="5999"/>
        <item h="1" m="1" x="7215"/>
        <item h="1" m="1" x="6918"/>
        <item h="1" m="1" x="2555"/>
        <item h="1" m="1" x="7153"/>
        <item h="1" m="1" x="4404"/>
        <item h="1" m="1" x="7216"/>
        <item h="1" m="1" x="7217"/>
        <item h="1" m="1" x="7218"/>
        <item h="1" m="1" x="7219"/>
        <item h="1" m="1" x="6305"/>
        <item h="1" m="1" x="4335"/>
        <item h="1" m="1" x="2674"/>
        <item h="1" m="1" x="4553"/>
        <item h="1" m="1" x="7220"/>
        <item h="1" m="1" x="6931"/>
        <item h="1" m="1" x="6932"/>
        <item h="1" m="1" x="7221"/>
        <item h="1" m="1" x="6733"/>
        <item h="1" m="1" x="4472"/>
        <item h="1" m="1" x="4354"/>
        <item h="1" m="1" x="7222"/>
        <item h="1" m="1" x="6944"/>
        <item h="1" m="1" x="7223"/>
        <item h="1" m="1" x="7224"/>
        <item h="1" m="1" x="7225"/>
        <item h="1" m="1" x="7162"/>
        <item h="1" m="1" x="7226"/>
        <item h="1" m="1" x="6680"/>
        <item h="1" m="1" x="6973"/>
        <item h="1" m="1" x="7227"/>
        <item h="1" m="1" x="6322"/>
        <item h="1" m="1" x="6548"/>
        <item h="1" m="1" x="7051"/>
        <item h="1" m="1" x="6978"/>
        <item h="1" m="1" x="7052"/>
        <item h="1" m="1" x="7053"/>
        <item h="1" m="1" x="6555"/>
        <item h="1" m="1" x="7054"/>
        <item h="1" m="1" x="7056"/>
        <item h="1" m="1" x="6635"/>
        <item h="1" m="1" x="6636"/>
        <item h="1" m="1" x="6983"/>
        <item h="1" m="1" x="7058"/>
        <item h="1" m="1" x="772"/>
        <item h="1" m="1" x="6984"/>
        <item h="1" m="1" x="7060"/>
        <item h="1" m="1" x="7061"/>
        <item h="1" m="1" x="7062"/>
        <item h="1" m="1" x="6989"/>
        <item h="1" m="1" x="7064"/>
        <item h="1" m="1" x="6784"/>
        <item h="1" m="1" x="6990"/>
        <item h="1" m="1" x="7071"/>
        <item h="1" m="1" x="7072"/>
        <item h="1" m="1" x="7073"/>
        <item h="1" m="1" x="7074"/>
        <item h="1" m="1" x="7075"/>
        <item h="1" m="1" x="7078"/>
        <item h="1" m="1" x="5569"/>
        <item h="1" m="1" x="5978"/>
        <item h="1" m="1" x="7079"/>
        <item h="1" m="1" x="7080"/>
        <item h="1" m="1" x="7081"/>
        <item h="1" m="1" x="7000"/>
        <item h="1" m="1" x="7001"/>
        <item h="1" m="1" x="7082"/>
        <item h="1" m="1" x="2234"/>
        <item h="1" m="1" x="7093"/>
        <item h="1" m="1" x="7094"/>
        <item h="1" m="1" x="7096"/>
        <item h="1" m="1" x="7101"/>
        <item h="1" m="1" x="2641"/>
        <item h="1" m="1" x="7102"/>
        <item h="1" m="1" x="6575"/>
        <item h="1" m="1" x="6952"/>
        <item h="1" m="1" x="6801"/>
        <item h="1" m="1" x="6802"/>
        <item h="1" m="1" x="6652"/>
        <item h="1" m="1" x="6440"/>
        <item h="1" m="1" x="7105"/>
        <item h="1" m="1" x="7107"/>
        <item h="1" m="1" x="7108"/>
        <item h="1" m="1" x="6810"/>
        <item h="1" m="1" x="6813"/>
        <item h="1" m="1" x="6803"/>
        <item h="1" m="1" x="7112"/>
        <item h="1" m="1" x="7116"/>
        <item h="1" m="1" x="7117"/>
        <item h="1" m="1" x="7118"/>
        <item h="1" m="1" x="7119"/>
        <item h="1" m="1" x="7121"/>
        <item h="1" m="1" x="7122"/>
        <item h="1" m="1" x="7123"/>
        <item h="1" m="1" x="7017"/>
        <item h="1" m="1" x="7133"/>
        <item h="1" m="1" x="7134"/>
        <item h="1" m="1" x="7135"/>
        <item h="1" x="182"/>
        <item h="1" m="1" x="7136"/>
        <item h="1" m="1" x="7018"/>
        <item h="1" m="1" x="7137"/>
        <item h="1" m="1" x="7138"/>
        <item h="1" m="1" x="7139"/>
        <item h="1" m="1" x="7012"/>
        <item h="1" m="1" x="7019"/>
        <item h="1" m="1" x="7016"/>
        <item h="1" m="1" x="7015"/>
        <item h="1" m="1" x="7014"/>
        <item h="1" m="1" x="7013"/>
        <item h="1" m="1" x="7143"/>
        <item h="1" m="1" x="7020"/>
        <item h="1" m="1" x="7021"/>
        <item h="1" m="1" x="7022"/>
        <item h="1" m="1" x="7146"/>
        <item h="1" m="1" x="6594"/>
        <item h="1" m="1" x="6834"/>
        <item h="1" m="1" x="6706"/>
        <item h="1" m="1" x="7150"/>
        <item h="1" m="1" x="4410"/>
        <item h="1" m="1" x="6710"/>
        <item h="1" m="1" x="6711"/>
        <item h="1" m="1" x="7151"/>
        <item h="1" m="1" x="7152"/>
        <item h="1" m="1" x="6917"/>
        <item h="1" m="1" x="6725"/>
        <item h="1" m="1" x="7154"/>
        <item h="1" m="1" x="5686"/>
        <item h="1" m="1" x="4440"/>
        <item h="1" m="1" x="7155"/>
        <item h="1" m="1" x="7156"/>
        <item h="1" m="1" x="7031"/>
        <item h="1" m="1" x="7157"/>
        <item h="1" m="1" x="4320"/>
        <item h="1" m="1" x="7028"/>
        <item h="1" m="1" x="2100"/>
        <item h="1" m="1" x="2101"/>
        <item h="1" m="1" x="5698"/>
        <item h="1" m="1" x="5701"/>
        <item h="1" m="1" x="4423"/>
        <item h="1" m="1" x="4434"/>
        <item h="1" m="1" x="7158"/>
        <item h="1" m="1" x="7160"/>
        <item h="1" m="1" x="7161"/>
        <item h="1" m="1" x="7046"/>
        <item h="1" m="1" x="6971"/>
        <item h="1" m="1" x="6619"/>
        <item h="1" m="1" x="6681"/>
        <item h="1" m="1" x="6756"/>
        <item h="1" m="1" x="7163"/>
        <item h="1" x="200"/>
        <item h="1" m="1" x="6764"/>
        <item h="1" m="1" x="6977"/>
        <item h="1" m="1" x="6765"/>
        <item h="1" m="1" x="6769"/>
        <item h="1" m="1" x="6979"/>
        <item h="1" m="1" x="6630"/>
        <item h="1" m="1" x="6774"/>
        <item h="1" m="1" x="6631"/>
        <item h="1" m="1" x="6981"/>
        <item h="1" m="1" x="6982"/>
        <item h="1" m="1" x="6688"/>
        <item h="1" m="1" x="6637"/>
        <item h="1" m="1" x="6384"/>
        <item h="1" m="1" x="5945"/>
        <item h="1" m="1" x="6793"/>
        <item h="1" m="1" x="6792"/>
        <item h="1" m="1" x="6785"/>
        <item h="1" m="1" x="6788"/>
        <item h="1" m="1" x="5646"/>
        <item h="1" m="1" x="6795"/>
        <item h="1" m="1" x="6991"/>
        <item h="1" m="1" x="6992"/>
        <item h="1" m="1" x="6993"/>
        <item h="1" m="1" x="6994"/>
        <item h="1" m="1" x="6995"/>
        <item h="1" m="1" x="566"/>
        <item h="1" m="1" x="6997"/>
        <item h="1" m="1" x="6998"/>
        <item h="1" m="1" x="6811"/>
        <item h="1" m="1" x="6999"/>
        <item h="1" m="1" x="6812"/>
        <item h="1" m="1" x="6804"/>
        <item h="1" m="1" x="6805"/>
        <item h="1" m="1" x="7003"/>
        <item h="1" m="1" x="7004"/>
        <item h="1" m="1" x="7005"/>
        <item h="1" m="1" x="7006"/>
        <item h="1" m="1" x="7007"/>
        <item h="1" m="1" x="7008"/>
        <item h="1" m="1" x="7009"/>
        <item h="1" m="1" x="7010"/>
        <item h="1" m="1" x="6818"/>
        <item h="1" m="1" x="6819"/>
        <item h="1" m="1" x="5547"/>
        <item h="1" m="1" x="5674"/>
        <item h="1" m="1" x="6828"/>
        <item h="1" m="1" x="6825"/>
        <item h="1" m="1" x="6826"/>
        <item h="1" m="1" x="5329"/>
        <item h="1" m="1" x="6827"/>
        <item h="1" m="1" x="6830"/>
        <item h="1" m="1" x="6836"/>
        <item h="1" m="1" x="7023"/>
        <item h="1" m="1" x="7024"/>
        <item h="1" m="1" x="7025"/>
        <item h="1" m="1" x="5947"/>
        <item h="1" m="1" x="6858"/>
        <item h="1" m="1" x="6859"/>
        <item h="1" m="1" x="4267"/>
        <item h="1" m="1" x="4547"/>
        <item h="1" m="1" x="6719"/>
        <item h="1" m="1" x="6729"/>
        <item h="1" m="1" x="6728"/>
        <item h="1" m="1" x="6724"/>
        <item h="1" m="1" x="7029"/>
        <item h="1" m="1" x="7030"/>
        <item h="1" m="1" x="3768"/>
        <item h="1" m="1" x="4412"/>
        <item h="1" m="1" x="7032"/>
        <item h="1" m="1" x="7033"/>
        <item h="1" m="1" x="7034"/>
        <item h="1" m="1" x="7035"/>
        <item h="1" m="1" x="7036"/>
        <item h="1" m="1" x="4264"/>
        <item h="1" m="1" x="7037"/>
        <item h="1" m="1" x="4436"/>
        <item h="1" m="1" x="4435"/>
        <item h="1" m="1" x="5700"/>
        <item h="1" m="1" x="7039"/>
        <item h="1" m="1" x="6735"/>
        <item h="1" m="1" x="4437"/>
        <item h="1" m="1" x="4422"/>
        <item h="1" m="1" x="6737"/>
        <item h="1" m="1" x="7040"/>
        <item h="1" m="1" x="7041"/>
        <item h="1" m="1" x="7042"/>
        <item h="1" m="1" x="7043"/>
        <item h="1" m="1" x="6019"/>
        <item h="1" m="1" x="6366"/>
        <item h="1" m="1" x="6959"/>
        <item h="1" m="1" x="7044"/>
        <item h="1" m="1" x="4770"/>
        <item h="1" m="1" x="5708"/>
        <item h="1" m="1" x="7047"/>
        <item h="1" m="1" x="4241"/>
        <item h="1" m="1" x="6538"/>
        <item h="1" m="1" x="975"/>
        <item h="1" m="1" x="6976"/>
        <item h="1" m="1" x="6628"/>
        <item h="1" m="1" x="6763"/>
        <item h="1" m="1" x="6768"/>
        <item h="1" m="1" x="6770"/>
        <item h="1" m="1" x="6771"/>
        <item h="1" m="1" x="6323"/>
        <item h="1" m="1" x="6772"/>
        <item h="1" m="1" x="6775"/>
        <item h="1" m="1" x="6691"/>
        <item h="1" m="1" x="6778"/>
        <item h="1" m="1" x="6779"/>
        <item h="1" m="1" x="6399"/>
        <item h="1" m="1" x="6787"/>
        <item h="1" m="1" x="6789"/>
        <item h="1" m="1" x="6267"/>
        <item h="1" m="1" x="6790"/>
        <item h="1" m="1" x="6791"/>
        <item h="1" m="1" x="6794"/>
        <item h="1" m="1" x="6970"/>
        <item h="1" m="1" x="6796"/>
        <item h="1" m="1" x="6797"/>
        <item h="1" m="1" x="571"/>
        <item h="1" m="1" x="6798"/>
        <item h="1" m="1" x="6799"/>
        <item h="1" m="1" x="6800"/>
        <item h="1" m="1" x="6806"/>
        <item h="1" m="1" x="6807"/>
        <item h="1" m="1" x="6808"/>
        <item h="1" m="1" x="6809"/>
        <item h="1" m="1" x="1495"/>
        <item h="1" m="1" x="6814"/>
        <item h="1" m="1" x="6815"/>
        <item h="1" m="1" x="6816"/>
        <item h="1" m="1" x="3263"/>
        <item h="1" m="1" x="6817"/>
        <item h="1" m="1" x="3546"/>
        <item h="1" m="1" x="4824"/>
        <item h="1" m="1" x="6975"/>
        <item h="1" m="1" x="6820"/>
        <item h="1" m="1" x="6821"/>
        <item h="1" m="1" x="6823"/>
        <item h="1" m="1" x="6824"/>
        <item h="1" m="1" x="5806"/>
        <item h="1" m="1" x="6829"/>
        <item h="1" m="1" x="6840"/>
        <item h="1" m="1" x="6841"/>
        <item h="1" m="1" x="6842"/>
        <item h="1" m="1" x="6843"/>
        <item h="1" m="1" x="6844"/>
        <item h="1" m="1" x="6845"/>
        <item h="1" m="1" x="6846"/>
        <item h="1" m="1" x="6848"/>
        <item h="1" m="1" x="5339"/>
        <item h="1" m="1" x="5340"/>
        <item h="1" m="1" x="6707"/>
        <item h="1" m="1" x="6708"/>
        <item h="1" m="1" x="6867"/>
        <item h="1" m="1" x="6716"/>
        <item h="1" m="1" x="6717"/>
        <item h="1" m="1" x="6723"/>
        <item h="1" m="1" x="6722"/>
        <item h="1" m="1" x="6727"/>
        <item h="1" m="1" x="4381"/>
        <item h="1" m="1" x="6924"/>
        <item h="1" m="1" x="6926"/>
        <item h="1" m="1" x="6927"/>
        <item h="1" m="1" x="6731"/>
        <item h="1" m="1" x="6949"/>
        <item h="1" m="1" x="6958"/>
        <item h="1" m="1" x="6371"/>
        <item h="1" m="1" x="5119"/>
        <item h="1" m="1" x="6535"/>
        <item h="1" m="1" x="6536"/>
        <item h="1" m="1" x="6750"/>
        <item h="1" m="1" x="6753"/>
        <item h="1" m="1" x="4674"/>
        <item h="1" m="1" x="6685"/>
        <item h="1" m="1" x="6623"/>
        <item h="1" m="1" x="6632"/>
        <item h="1" m="1" x="6379"/>
        <item h="1" m="1" x="6388"/>
        <item h="1" m="1" x="2791"/>
        <item h="1" m="1" x="6687"/>
        <item h="1" m="1" x="6640"/>
        <item h="1" m="1" x="6644"/>
        <item h="1" m="1" x="6645"/>
        <item h="1" m="1" x="6646"/>
        <item h="1" m="1" x="6647"/>
        <item h="1" m="1" x="6648"/>
        <item h="1" m="1" x="6695"/>
        <item h="1" m="1" x="5162"/>
        <item h="1" m="1" x="6568"/>
        <item h="1" m="1" x="6569"/>
        <item h="1" m="1" x="6570"/>
        <item h="1" m="1" x="6566"/>
        <item h="1" m="1" x="6567"/>
        <item h="1" m="1" x="4580"/>
        <item h="1" m="1" x="6697"/>
        <item h="1" m="1" x="6427"/>
        <item h="1" m="1" x="6698"/>
        <item h="1" m="1" x="6481"/>
        <item h="1" m="1" x="6699"/>
        <item h="1" m="1" x="6700"/>
        <item h="1" m="1" x="6701"/>
        <item h="1" m="1" x="6703"/>
        <item h="1" m="1" x="6705"/>
        <item h="1" m="1" x="6345"/>
        <item h="1" m="1" x="6346"/>
        <item h="1" m="1" x="6712"/>
        <item h="1" m="1" x="6713"/>
        <item h="1" m="1" x="6718"/>
        <item h="1" m="1" x="6667"/>
        <item h="1" m="1" x="6666"/>
        <item h="1" m="1" x="6348"/>
        <item h="1" m="1" x="6349"/>
        <item h="1" m="1" x="6525"/>
        <item h="1" m="1" x="6730"/>
        <item h="1" m="1" x="4471"/>
        <item h="1" m="1" x="4358"/>
        <item h="1" m="1" x="4359"/>
        <item h="1" m="1" x="6736"/>
        <item h="1" m="1" x="6739"/>
        <item h="1" m="1" x="6530"/>
        <item h="1" m="1" x="5106"/>
        <item h="1" m="1" x="6740"/>
        <item h="1" m="1" x="2711"/>
        <item h="1" m="1" x="6741"/>
        <item h="1" m="1" x="6370"/>
        <item h="1" m="1" x="6742"/>
        <item h="1" m="1" x="6743"/>
        <item h="1" m="1" x="6744"/>
        <item h="1" m="1" x="6745"/>
        <item h="1" m="1" x="6533"/>
        <item h="1" m="1" x="6747"/>
        <item h="1" m="1" x="5359"/>
        <item h="1" m="1" x="6751"/>
        <item h="1" m="1" x="6683"/>
        <item h="1" m="1" x="6761"/>
        <item h="1" m="1" x="6762"/>
        <item h="1" m="1" x="6625"/>
        <item h="1" m="1" x="6626"/>
        <item h="1" m="1" x="6627"/>
        <item h="1" m="1" x="6633"/>
        <item h="1" m="1" x="6634"/>
        <item h="1" m="1" x="6014"/>
        <item h="1" m="1" x="6015"/>
        <item h="1" m="1" x="1618"/>
        <item h="1" m="1" x="6386"/>
        <item h="1" m="1" x="1546"/>
        <item h="1" m="1" x="6638"/>
        <item h="1" m="1" x="6641"/>
        <item h="1" m="1" x="6397"/>
        <item h="1" m="1" x="6642"/>
        <item h="1" m="1" x="6643"/>
        <item h="1" m="1" x="6328"/>
        <item h="1" m="1" x="6650"/>
        <item h="1" m="1" x="6651"/>
        <item h="1" m="1" x="6405"/>
        <item h="1" m="1" x="6412"/>
        <item h="1" m="1" x="4793"/>
        <item h="1" m="1" x="6417"/>
        <item h="1" m="1" x="6653"/>
        <item h="1" m="1" x="6447"/>
        <item h="1" m="1" x="6654"/>
        <item h="1" m="1" x="2149"/>
        <item h="1" m="1" x="6022"/>
        <item h="1" m="1" x="6655"/>
        <item h="1" m="1" x="6658"/>
        <item h="1" m="1" x="6529"/>
        <item h="1" m="1" x="6592"/>
        <item h="1" m="1" x="6512"/>
        <item h="1" m="1" x="6659"/>
        <item h="1" m="1" x="6661"/>
        <item h="1" m="1" x="6663"/>
        <item h="1" m="1" x="6236"/>
        <item h="1" m="1" x="6351"/>
        <item h="1" m="1" x="6356"/>
        <item h="1" m="1" x="4441"/>
        <item h="1" m="1" x="4442"/>
        <item h="1" m="1" x="6668"/>
        <item h="1" m="1" x="6669"/>
        <item h="1" m="1" x="6520"/>
        <item h="1" m="1" x="6670"/>
        <item h="1" m="1" x="4249"/>
        <item h="1" m="1" x="4349"/>
        <item h="1" m="1" x="5697"/>
        <item h="1" m="1" x="4348"/>
        <item h="1" m="1" x="5703"/>
        <item h="1" m="1" x="6671"/>
        <item h="1" m="1" x="4443"/>
        <item h="1" m="1" x="4446"/>
        <item h="1" m="1" x="4444"/>
        <item h="1" m="1" x="4244"/>
        <item h="1" m="1" x="5704"/>
        <item h="1" m="1" x="5496"/>
        <item h="1" m="1" x="855"/>
        <item h="1" m="1" x="5465"/>
        <item h="1" m="1" x="6368"/>
        <item h="1" m="1" x="6258"/>
        <item h="1" m="1" x="6674"/>
        <item h="1" m="1" x="6675"/>
        <item h="1" m="1" x="866"/>
        <item h="1" m="1" x="5111"/>
        <item h="1" m="1" x="6676"/>
        <item h="1" m="1" x="6677"/>
        <item h="1" m="1" x="6678"/>
        <item h="1" m="1" x="920"/>
        <item h="1" m="1" x="6682"/>
        <item h="1" m="1" x="5519"/>
        <item h="1" m="1" x="6540"/>
        <item h="1" m="1" x="3509"/>
        <item h="1" m="1" x="6542"/>
        <item h="1" m="1" x="6543"/>
        <item h="1" m="1" x="6544"/>
        <item h="1" m="1" x="6545"/>
        <item h="1" m="1" x="6546"/>
        <item h="1" m="1" x="6547"/>
        <item h="1" m="1" x="6377"/>
        <item h="1" m="1" x="6549"/>
        <item h="1" m="1" x="6550"/>
        <item h="1" m="1" x="6551"/>
        <item h="1" m="1" x="6552"/>
        <item h="1" m="1" x="6553"/>
        <item h="1" m="1" x="6554"/>
        <item h="1" m="1" x="5727"/>
        <item h="1" m="1" x="6556"/>
        <item h="1" m="1" x="6380"/>
        <item h="1" m="1" x="6557"/>
        <item h="1" m="1" x="6020"/>
        <item h="1" m="1" x="6558"/>
        <item h="1" m="1" x="6559"/>
        <item h="1" m="1" x="6560"/>
        <item h="1" m="1" x="6561"/>
        <item h="1" m="1" x="6383"/>
        <item h="1" m="1" x="6327"/>
        <item h="1" m="1" x="6562"/>
        <item h="1" m="1" x="6206"/>
        <item h="1" m="1" x="6403"/>
        <item h="1" m="1" x="6563"/>
        <item h="1" m="1" x="6564"/>
        <item h="1" m="1" x="6571"/>
        <item h="1" m="1" x="6572"/>
        <item h="1" m="1" x="6573"/>
        <item h="1" m="1" x="6574"/>
        <item h="1" m="1" x="6429"/>
        <item h="1" m="1" x="6576"/>
        <item h="1" m="1" x="6430"/>
        <item h="1" m="1" x="6577"/>
        <item h="1" m="1" x="5017"/>
        <item h="1" m="1" x="6431"/>
        <item h="1" m="1" x="6578"/>
        <item h="1" m="1" x="6579"/>
        <item h="1" m="1" x="6580"/>
        <item h="1" m="1" x="6581"/>
        <item h="1" m="1" x="6582"/>
        <item h="1" m="1" x="6419"/>
        <item h="1" m="1" x="6583"/>
        <item h="1" m="1" x="6434"/>
        <item h="1" m="1" x="6442"/>
        <item h="1" m="1" x="6444"/>
        <item h="1" m="1" x="2377"/>
        <item h="1" m="1" x="6584"/>
        <item h="1" m="1" x="6585"/>
        <item h="1" m="1" x="6021"/>
        <item h="1" m="1" x="6445"/>
        <item h="1" m="1" x="6437"/>
        <item h="1" m="1" x="6025"/>
        <item h="1" m="1" x="6586"/>
        <item h="1" m="1" x="6450"/>
        <item h="1" m="1" x="6587"/>
        <item h="1" m="1" x="6588"/>
        <item h="1" m="1" x="6451"/>
        <item h="1" m="1" x="5672"/>
        <item h="1" m="1" x="6460"/>
        <item h="1" m="1" x="6461"/>
        <item h="1" m="1" x="6462"/>
        <item h="1" m="1" x="6458"/>
        <item h="1" m="1" x="6459"/>
        <item h="1" m="1" x="6474"/>
        <item h="1" m="1" x="6465"/>
        <item h="1" m="1" x="6464"/>
        <item h="1" m="1" x="6590"/>
        <item h="1" m="1" x="6591"/>
        <item h="1" m="1" x="6476"/>
        <item h="1" m="1" x="6485"/>
        <item h="1" m="1" x="6484"/>
        <item h="1" m="1" x="6482"/>
        <item h="1" m="1" x="6477"/>
        <item h="1" m="1" x="6483"/>
        <item h="1" m="1" x="6479"/>
        <item h="1" m="1" x="6480"/>
        <item h="1" m="1" x="6493"/>
        <item h="1" m="1" x="6494"/>
        <item h="1" m="1" x="6500"/>
        <item h="1" m="1" x="1067"/>
        <item h="1" m="1" x="6495"/>
        <item h="1" m="1" x="6497"/>
        <item h="1" m="1" x="6505"/>
        <item h="1" m="1" x="6496"/>
        <item h="1" m="1" x="6498"/>
        <item h="1" m="1" x="6499"/>
        <item h="1" m="1" x="6501"/>
        <item h="1" m="1" x="6593"/>
        <item h="1" m="1" x="6507"/>
        <item h="1" m="1" x="6508"/>
        <item h="1" m="1" x="6509"/>
        <item h="1" m="1" x="6510"/>
        <item h="1" m="1" x="6511"/>
        <item h="1" m="1" x="6515"/>
        <item h="1" m="1" x="6595"/>
        <item h="1" m="1" x="6596"/>
        <item h="1" m="1" x="6597"/>
        <item h="1" m="1" x="4328"/>
        <item h="1" m="1" x="6599"/>
        <item h="1" m="1" x="6600"/>
        <item h="1" m="1" x="4384"/>
        <item h="1" m="1" x="4378"/>
        <item h="1" m="1" x="6601"/>
        <item h="1" m="1" x="6602"/>
        <item h="1" m="1" x="5629"/>
        <item h="1" m="1" x="4383"/>
        <item h="1" m="1" x="6350"/>
        <item h="1" m="1" x="4165"/>
        <item h="1" m="1" x="4405"/>
        <item h="1" m="1" x="4247"/>
        <item h="1" m="1" x="4248"/>
        <item h="1" m="1" x="5419"/>
        <item h="1" m="1" x="6603"/>
        <item h="1" m="1" x="6604"/>
        <item h="1" m="1" x="6605"/>
        <item h="1" m="1" x="6606"/>
        <item h="1" m="1" x="5948"/>
        <item h="1" m="1" x="6607"/>
        <item h="1" m="1" x="6608"/>
        <item h="1" m="1" x="4338"/>
        <item h="1" m="1" x="4337"/>
        <item h="1" m="1" x="4492"/>
        <item h="1" m="1" x="4568"/>
        <item h="1" m="1" x="4360"/>
        <item h="1" m="1" x="4749"/>
        <item h="1" m="1" x="4380"/>
        <item h="1" m="1" x="4353"/>
        <item h="1" m="1" x="6307"/>
        <item h="1" m="1" x="4467"/>
        <item h="1" m="1" x="5952"/>
        <item h="1" m="1" x="5953"/>
        <item h="1" m="1" x="6610"/>
        <item h="1" m="1" x="6611"/>
        <item h="1" m="1" x="5354"/>
        <item h="1" m="1" x="6612"/>
        <item h="1" x="280"/>
        <item h="1" m="1" x="6613"/>
        <item h="1" m="1" x="6614"/>
        <item h="1" m="1" x="6532"/>
        <item h="1" m="1" x="6615"/>
        <item h="1" m="1" x="6616"/>
        <item h="1" m="1" x="3721"/>
        <item h="1" m="1" x="6617"/>
        <item h="1" m="1" x="6534"/>
        <item h="1" m="1" x="4361"/>
        <item h="1" m="1" x="4400"/>
        <item h="1" m="1" x="4445"/>
        <item h="1" m="1" x="5707"/>
        <item h="1" m="1" x="6618"/>
        <item h="1" m="1" x="4454"/>
        <item h="1" m="1" x="5128"/>
        <item h="1" m="1" x="6620"/>
        <item h="1" m="1" x="6621"/>
        <item h="1" m="1" x="993"/>
        <item h="1" m="1" x="6028"/>
        <item h="1" m="1" x="6029"/>
        <item h="1" m="1" x="6321"/>
        <item h="1" m="1" x="6376"/>
        <item h="1" m="1" x="6378"/>
        <item h="1" m="1" x="5139"/>
        <item h="1" m="1" x="6325"/>
        <item h="1" m="1" x="6382"/>
        <item h="1" m="1" x="6389"/>
        <item h="1" m="1" x="6390"/>
        <item h="1" m="1" x="6391"/>
        <item h="1" x="34"/>
        <item h="1" m="1" x="3907"/>
        <item h="1" m="1" x="6045"/>
        <item h="1" m="1" x="6396"/>
        <item h="1" m="1" x="6400"/>
        <item h="1" m="1" x="6401"/>
        <item h="1" m="1" x="6402"/>
        <item h="1" m="1" x="5785"/>
        <item h="1" m="1" x="6330"/>
        <item h="1" m="1" x="6404"/>
        <item h="1" m="1" x="6406"/>
        <item h="1" m="1" x="6407"/>
        <item h="1" m="1" x="6409"/>
        <item h="1" m="1" x="6410"/>
        <item h="1" m="1" x="6411"/>
        <item h="1" m="1" x="6413"/>
        <item h="1" m="1" x="6414"/>
        <item h="1" m="1" x="6415"/>
        <item h="1" m="1" x="6416"/>
        <item h="1" m="1" x="6418"/>
        <item h="1" m="1" x="5865"/>
        <item h="1" m="1" x="6052"/>
        <item h="1" m="1" x="6420"/>
        <item h="1" m="1" x="6421"/>
        <item h="1" m="1" x="6422"/>
        <item h="1" m="1" x="4570"/>
        <item h="1" m="1" x="6423"/>
        <item h="1" m="1" x="6424"/>
        <item h="1" m="1" x="6425"/>
        <item h="1" m="1" x="5018"/>
        <item h="1" m="1" x="6426"/>
        <item h="1" m="1" x="6333"/>
        <item h="1" m="1" x="6432"/>
        <item h="1" m="1" x="6433"/>
        <item h="1" m="1" x="6436"/>
        <item h="1" m="1" x="6438"/>
        <item h="1" m="1" x="6441"/>
        <item h="1" m="1" x="6446"/>
        <item h="1" m="1" x="6336"/>
        <item h="1" m="1" x="6449"/>
        <item h="1" m="1" x="6453"/>
        <item h="1" m="1" x="6455"/>
        <item h="1" m="1" x="6456"/>
        <item h="1" m="1" x="6457"/>
        <item h="1" m="1" x="6064"/>
        <item h="1" m="1" x="6065"/>
        <item h="1" m="1" x="6463"/>
        <item h="1" m="1" x="6466"/>
        <item h="1" m="1" x="6467"/>
        <item h="1" m="1" x="6468"/>
        <item h="1" m="1" x="6469"/>
        <item h="1" m="1" x="6470"/>
        <item h="1" m="1" x="6471"/>
        <item h="1" m="1" x="6472"/>
        <item h="1" m="1" x="6473"/>
        <item h="1" m="1" x="6337"/>
        <item h="1" m="1" x="6475"/>
        <item h="1" m="1" x="2194"/>
        <item h="1" m="1" x="6340"/>
        <item h="1" m="1" x="6023"/>
        <item h="1" m="1" x="6478"/>
        <item h="1" m="1" x="4783"/>
        <item h="1" m="1" x="6486"/>
        <item h="1" m="1" x="5616"/>
        <item h="1" m="1" x="6487"/>
        <item h="1" m="1" x="6488"/>
        <item h="1" m="1" x="6489"/>
        <item h="1" m="1" x="6490"/>
        <item h="1" m="1" x="6491"/>
        <item h="1" m="1" x="6492"/>
        <item h="1" m="1" x="6502"/>
        <item h="1" m="1" x="6503"/>
        <item h="1" m="1" x="6504"/>
        <item h="1" m="1" x="6506"/>
        <item h="1" m="1" x="6343"/>
        <item h="1" m="1" x="4585"/>
        <item h="1" m="1" x="6514"/>
        <item h="1" m="1" x="6516"/>
        <item h="1" m="1" x="4448"/>
        <item h="1" m="1" x="5483"/>
        <item h="1" m="1" x="4534"/>
        <item h="1" m="1" x="5485"/>
        <item h="1" m="1" x="6353"/>
        <item h="1" m="1" x="6354"/>
        <item h="1" m="1" x="6519"/>
        <item h="1" m="1" x="6301"/>
        <item h="1" m="1" x="4527"/>
        <item h="1" m="1" x="4881"/>
        <item h="1" m="1" x="6522"/>
        <item h="1" m="1" x="6523"/>
        <item h="1" m="1" x="6524"/>
        <item h="1" m="1" x="4536"/>
        <item h="1" m="1" x="4489"/>
        <item h="1" m="1" x="5967"/>
        <item h="1" m="1" x="5968"/>
        <item h="1" m="1" x="5969"/>
        <item h="1" m="1" x="6527"/>
        <item h="1" m="1" x="4350"/>
        <item h="1" m="1" x="4376"/>
        <item h="1" m="1" x="5255"/>
        <item h="1" m="1" x="5821"/>
        <item h="1" m="1" x="6531"/>
        <item h="1" m="1" x="6373"/>
        <item h="1" m="1" x="5954"/>
        <item h="1" m="1" x="5825"/>
        <item h="1" m="1" x="6030"/>
        <item h="1" m="1" x="6034"/>
        <item h="1" m="1" x="6035"/>
        <item h="1" m="1" x="6037"/>
        <item h="1" m="1" x="6044"/>
        <item h="1" m="1" x="6042"/>
        <item h="1" m="1" x="6038"/>
        <item h="1" m="1" x="6039"/>
        <item h="1" m="1" x="6040"/>
        <item h="1" m="1" x="6041"/>
        <item h="1" m="1" x="4769"/>
        <item h="1" m="1" x="6324"/>
        <item h="1" m="1" x="2504"/>
        <item h="1" m="1" x="6190"/>
        <item h="1" m="1" x="6195"/>
        <item h="1" m="1" x="6196"/>
        <item h="1" m="1" x="6197"/>
        <item h="1" m="1" x="6198"/>
        <item h="1" m="1" x="6266"/>
        <item h="1" m="1" x="6194"/>
        <item h="1" m="1" x="5958"/>
        <item h="1" m="1" x="5959"/>
        <item h="1" m="1" x="6199"/>
        <item h="1" m="1" x="6332"/>
        <item h="1" m="1" x="6046"/>
        <item h="1" m="1" x="4704"/>
        <item h="1" m="1" x="497"/>
        <item h="1" m="1" x="6051"/>
        <item h="1" m="1" x="6334"/>
        <item h="1" m="1" x="6335"/>
        <item h="1" m="1" x="517"/>
        <item h="1" m="1" x="3897"/>
        <item h="1" m="1" x="6275"/>
        <item h="1" m="1" x="6057"/>
        <item h="1" x="426"/>
        <item h="1" m="1" x="6277"/>
        <item h="1" m="1" x="6278"/>
        <item h="1" m="1" x="6071"/>
        <item h="1" m="1" x="6072"/>
        <item h="1" m="1" x="6073"/>
        <item h="1" m="1" x="6067"/>
        <item h="1" m="1" x="6068"/>
        <item h="1" m="1" x="6338"/>
        <item h="1" m="1" x="6339"/>
        <item h="1" m="1" x="6075"/>
        <item h="1" m="1" x="937"/>
        <item h="1" m="1" x="6341"/>
        <item h="1" m="1" x="5816"/>
        <item h="1" m="1" x="5817"/>
        <item h="1" m="1" x="5601"/>
        <item h="1" m="1" x="6342"/>
        <item h="1" m="1" x="6076"/>
        <item h="1" m="1" x="6077"/>
        <item h="1" m="1" x="6078"/>
        <item h="1" m="1" x="6079"/>
        <item h="1" m="1" x="6083"/>
        <item h="1" m="1" x="6084"/>
        <item h="1" m="1" x="5818"/>
        <item h="1" m="1" x="6344"/>
        <item h="1" m="1" x="6231"/>
        <item h="1" m="1" x="6237"/>
        <item h="1" m="1" x="6235"/>
        <item h="1" m="1" x="6234"/>
        <item h="1" m="1" x="6238"/>
        <item h="1" m="1" x="6347"/>
        <item h="1" m="1" x="5964"/>
        <item h="1" m="1" x="6289"/>
        <item h="1" m="1" x="5819"/>
        <item h="1" m="1" x="6239"/>
        <item h="1" m="1" x="6242"/>
        <item h="1" m="1" x="6244"/>
        <item h="1" m="1" x="6247"/>
        <item h="1" m="1" x="6248"/>
        <item h="1" m="1" x="6243"/>
        <item h="1" m="1" x="6246"/>
        <item h="1" m="1" x="6245"/>
        <item h="1" m="1" x="6240"/>
        <item h="1" m="1" x="4519"/>
        <item h="1" m="1" x="4539"/>
        <item h="1" m="1" x="6357"/>
        <item h="1" m="1" x="6251"/>
        <item h="1" m="1" x="6303"/>
        <item h="1" m="1" x="6304"/>
        <item h="1" m="1" x="6358"/>
        <item h="1" m="1" x="5820"/>
        <item h="1" m="1" x="6306"/>
        <item h="1" m="1" x="6359"/>
        <item h="1" m="1" x="4406"/>
        <item h="1" m="1" x="6308"/>
        <item h="1" m="1" x="6362"/>
        <item h="1" m="1" x="6364"/>
        <item h="1" m="1" x="6365"/>
        <item h="1" m="1" x="6367"/>
        <item h="1" m="1" x="6369"/>
        <item h="1" m="1" x="6374"/>
        <item h="1" m="1" x="5823"/>
        <item h="1" m="1" x="5824"/>
        <item h="1" m="1" x="5822"/>
        <item h="1" m="1" x="2632"/>
        <item h="1" m="1" x="5527"/>
        <item h="1" m="1" x="6262"/>
        <item h="1" m="1" x="6263"/>
        <item h="1" m="1" x="6264"/>
        <item h="1" m="1" x="5662"/>
        <item h="1" m="1" x="6043"/>
        <item h="1" m="1" x="6036"/>
        <item h="1" m="1" x="821"/>
        <item h="1" m="1" x="6265"/>
        <item h="1" m="1" x="6203"/>
        <item h="1" m="1" x="6204"/>
        <item h="1" m="1" x="6268"/>
        <item h="1" m="1" x="6205"/>
        <item h="1" m="1" x="6193"/>
        <item h="1" m="1" x="6207"/>
        <item h="1" m="1" x="6191"/>
        <item h="1" m="1" x="6208"/>
        <item h="1" m="1" x="6269"/>
        <item h="1" m="1" x="6047"/>
        <item h="1" m="1" x="6270"/>
        <item h="1" m="1" x="6271"/>
        <item h="1" m="1" x="6272"/>
        <item h="1" m="1" x="6273"/>
        <item h="1" m="1" x="6274"/>
        <item h="1" m="1" x="6048"/>
        <item h="1" m="1" x="6055"/>
        <item h="1" m="1" x="5498"/>
        <item h="1" m="1" x="6217"/>
        <item h="1" m="1" x="6218"/>
        <item h="1" m="1" x="6219"/>
        <item h="1" m="1" x="6216"/>
        <item h="1" m="1" x="6053"/>
        <item h="1" m="1" x="6220"/>
        <item h="1" m="1" x="6276"/>
        <item h="1" m="1" x="6060"/>
        <item h="1" m="1" x="6061"/>
        <item h="1" m="1" x="6062"/>
        <item h="1" m="1" x="6074"/>
        <item h="1" m="1" x="6279"/>
        <item h="1" m="1" x="6280"/>
        <item h="1" m="1" x="6066"/>
        <item h="1" m="1" x="6221"/>
        <item h="1" m="1" x="6281"/>
        <item h="1" m="1" x="6282"/>
        <item h="1" m="1" x="6283"/>
        <item h="1" m="1" x="6226"/>
        <item h="1" m="1" x="6222"/>
        <item h="1" m="1" x="6223"/>
        <item h="1" m="1" x="6225"/>
        <item h="1" m="1" x="6224"/>
        <item h="1" m="1" x="5675"/>
        <item h="1" m="1" x="5837"/>
        <item h="1" m="1" x="3886"/>
        <item h="1" m="1" x="6284"/>
        <item h="1" m="1" x="6081"/>
        <item h="1" m="1" x="6229"/>
        <item h="1" m="1" x="6285"/>
        <item h="1" m="1" x="4520"/>
        <item h="1" m="1" x="6286"/>
        <item h="1" m="1" x="5961"/>
        <item h="1" m="1" x="5962"/>
        <item h="1" m="1" x="6287"/>
        <item h="1" m="1" x="6085"/>
        <item h="1" m="1" x="4510"/>
        <item h="1" m="1" x="4377"/>
        <item h="1" m="1" x="6290"/>
        <item h="1" m="1" x="6291"/>
        <item h="1" m="1" x="6292"/>
        <item h="1" m="1" x="6293"/>
        <item h="1" m="1" x="6296"/>
        <item h="1" m="1" x="6297"/>
        <item h="1" m="1" x="6298"/>
        <item h="1" m="1" x="6299"/>
        <item h="1" m="1" x="6300"/>
        <item h="1" m="1" x="5725"/>
        <item h="1" m="1" x="5965"/>
        <item h="1" m="1" x="5966"/>
        <item h="1" m="1" x="4538"/>
        <item h="1" m="1" x="4537"/>
        <item h="1" m="1" x="3936"/>
        <item h="1" m="1" x="6302"/>
        <item h="1" m="1" x="5839"/>
        <item h="1" m="1" x="6252"/>
        <item h="1" m="1" x="6309"/>
        <item h="1" m="1" x="6310"/>
        <item h="1" m="1" x="6311"/>
        <item h="1" m="1" x="6312"/>
        <item h="1" m="1" x="6313"/>
        <item h="1" m="1" x="6314"/>
        <item h="1" m="1" x="6315"/>
        <item h="1" m="1" x="6316"/>
        <item h="1" m="1" x="6317"/>
        <item h="1" m="1" x="6318"/>
        <item h="1" m="1" x="5842"/>
        <item h="1" m="1" x="6319"/>
        <item h="1" m="1" x="5126"/>
        <item h="1" m="1" x="2362"/>
        <item h="1" m="1" x="6320"/>
        <item h="1" m="1" x="5533"/>
        <item h="1" m="1" x="5534"/>
        <item h="1" m="1" x="1096"/>
        <item h="1" m="1" x="5863"/>
        <item h="1" m="1" x="6031"/>
        <item h="1" m="1" x="6032"/>
        <item h="1" m="1" x="6033"/>
        <item h="1" m="1" x="6188"/>
        <item h="1" m="1" x="6095"/>
        <item h="1" m="1" x="6096"/>
        <item h="1" m="1" x="5826"/>
        <item h="1" m="1" x="2299"/>
        <item h="1" m="1" x="4694"/>
        <item h="1" m="1" x="6192"/>
        <item h="1" m="1" x="5163"/>
        <item h="1" m="1" x="6200"/>
        <item h="1" m="1" x="6201"/>
        <item h="1" m="1" x="3295"/>
        <item h="1" m="1" x="6209"/>
        <item h="1" m="1" x="6050"/>
        <item h="1" m="1" x="6049"/>
        <item h="1" m="1" x="6210"/>
        <item h="1" m="1" x="6211"/>
        <item h="1" m="1" x="2515"/>
        <item h="1" m="1" x="6212"/>
        <item h="1" m="1" x="6213"/>
        <item h="1" m="1" x="6103"/>
        <item h="1" m="1" x="6104"/>
        <item h="1" m="1" x="6111"/>
        <item h="1" m="1" x="6116"/>
        <item h="1" m="1" x="6117"/>
        <item h="1" m="1" x="6214"/>
        <item h="1" m="1" x="6215"/>
        <item h="1" m="1" x="3895"/>
        <item h="1" m="1" x="4803"/>
        <item h="1" m="1" x="6056"/>
        <item h="1" m="1" x="6122"/>
        <item h="1" m="1" x="6129"/>
        <item h="1" m="1" x="6063"/>
        <item h="1" m="1" x="6132"/>
        <item h="1" m="1" x="6069"/>
        <item h="1" m="1" x="6227"/>
        <item h="1" m="1" x="5395"/>
        <item h="1" m="1" x="5681"/>
        <item h="1" m="1" x="5669"/>
        <item h="1" m="1" x="6080"/>
        <item h="1" m="1" x="6174"/>
        <item h="1" m="1" x="6181"/>
        <item h="1" m="1" x="6082"/>
        <item h="1" m="1" x="6228"/>
        <item h="1" m="1" x="6179"/>
        <item h="1" m="1" x="6230"/>
        <item h="1" m="1" x="6232"/>
        <item h="1" m="1" x="6233"/>
        <item h="1" m="1" x="4394"/>
        <item h="1" m="1" x="5838"/>
        <item h="1" m="1" x="5724"/>
        <item h="1" m="1" x="4719"/>
        <item h="1" m="1" x="6249"/>
        <item h="1" m="1" x="2648"/>
        <item h="1" m="1" x="6250"/>
        <item h="1" m="1" x="4744"/>
        <item h="1" m="1" x="6253"/>
        <item h="1" m="1" x="6254"/>
        <item h="1" m="1" x="6255"/>
        <item h="1" m="1" x="6257"/>
        <item h="1" m="1" x="6162"/>
        <item h="1" m="1" x="5656"/>
        <item h="1" m="1" x="5360"/>
        <item h="1" m="1" x="6259"/>
        <item h="1" m="1" x="6260"/>
        <item h="1" m="1" x="5660"/>
        <item h="1" m="1" x="5713"/>
        <item h="1" m="1" x="5292"/>
        <item h="1" m="1" x="6163"/>
        <item h="1" m="1" x="1251"/>
        <item h="1" m="1" x="6086"/>
        <item h="1" m="1" x="6087"/>
        <item h="1" m="1" x="6088"/>
        <item h="1" m="1" x="6089"/>
        <item h="1" m="1" x="6090"/>
        <item h="1" m="1" x="6091"/>
        <item h="1" m="1" x="6092"/>
        <item h="1" m="1" x="6093"/>
        <item h="1" m="1" x="6094"/>
        <item h="1" m="1" x="6097"/>
        <item h="1" m="1" x="521"/>
        <item h="1" m="1" x="6098"/>
        <item h="1" m="1" x="6099"/>
        <item h="1" m="1" x="6100"/>
        <item h="1" m="1" x="5147"/>
        <item h="1" m="1" x="5828"/>
        <item h="1" m="1" x="503"/>
        <item h="1" m="1" x="6101"/>
        <item h="1" m="1" x="5829"/>
        <item h="1" m="1" x="6102"/>
        <item h="1" m="1" x="5719"/>
        <item h="1" m="1" x="5956"/>
        <item h="1" m="1" x="5957"/>
        <item h="1" m="1" x="3141"/>
        <item h="1" m="1" x="6105"/>
        <item h="1" m="1" x="6106"/>
        <item h="1" m="1" x="6107"/>
        <item h="1" m="1" x="6108"/>
        <item h="1" m="1" x="6109"/>
        <item h="1" m="1" x="6110"/>
        <item h="1" m="1" x="6112"/>
        <item h="1" m="1" x="6113"/>
        <item h="1" m="1" x="6114"/>
        <item h="1" m="1" x="6115"/>
        <item h="1" m="1" x="6118"/>
        <item h="1" m="1" x="6119"/>
        <item h="1" m="1" x="6120"/>
        <item h="1" m="1" x="6121"/>
        <item h="1" m="1" x="607"/>
        <item h="1" m="1" x="6123"/>
        <item h="1" m="1" x="6124"/>
        <item h="1" m="1" x="6125"/>
        <item h="1" m="1" x="6126"/>
        <item h="1" m="1" x="6127"/>
        <item h="1" m="1" x="6128"/>
        <item h="1" m="1" x="6130"/>
        <item h="1" m="1" x="6131"/>
        <item h="1" m="1" x="6133"/>
        <item h="1" m="1" x="6134"/>
        <item h="1" m="1" x="6135"/>
        <item h="1" m="1" x="4052"/>
        <item h="1" m="1" x="6136"/>
        <item h="1" m="1" x="6137"/>
        <item h="1" m="1" x="5600"/>
        <item h="1" m="1" x="5670"/>
        <item h="1" m="1" x="5671"/>
        <item h="1" x="269"/>
        <item h="1" m="1" x="6138"/>
        <item h="1" m="1" x="6139"/>
        <item h="1" m="1" x="6140"/>
        <item h="1" m="1" x="1634"/>
        <item h="1" m="1" x="6141"/>
        <item h="1" m="1" x="6142"/>
        <item h="1" m="1" x="6143"/>
        <item h="1" m="1" x="4595"/>
        <item h="1" m="1" x="6144"/>
        <item h="1" m="1" x="6145"/>
        <item h="1" m="1" x="5990"/>
        <item h="1" m="1" x="5991"/>
        <item h="1" m="1" x="4460"/>
        <item h="1" m="1" x="6146"/>
        <item h="1" m="1" x="6147"/>
        <item h="1" m="1" x="4533"/>
        <item h="1" m="1" x="6148"/>
        <item h="1" m="1" x="6149"/>
        <item h="1" m="1" x="6150"/>
        <item h="1" m="1" x="4666"/>
        <item h="1" m="1" x="4310"/>
        <item h="1" m="1" x="6151"/>
        <item h="1" m="1" x="4530"/>
        <item h="1" m="1" x="6152"/>
        <item h="1" m="1" x="6153"/>
        <item h="1" m="1" x="6154"/>
        <item h="1" m="1" x="5427"/>
        <item h="1" m="1" x="5970"/>
        <item h="1" m="1" x="5971"/>
        <item h="1" m="1" x="6155"/>
        <item h="1" m="1" x="6156"/>
        <item h="1" m="1" x="6157"/>
        <item h="1" m="1" x="6158"/>
        <item h="1" m="1" x="6159"/>
        <item h="1" m="1" x="4309"/>
        <item h="1" m="1" x="6160"/>
        <item h="1" m="1" x="5841"/>
        <item h="1" m="1" x="6161"/>
        <item h="1" m="1" x="4271"/>
        <item h="1" x="96"/>
        <item h="1" m="1" x="5844"/>
        <item h="1" m="1" x="5983"/>
        <item h="1" m="1" x="6164"/>
        <item h="1" m="1" x="6165"/>
        <item h="1" m="1" x="6167"/>
        <item h="1" m="1" x="6168"/>
        <item h="1" m="1" x="6169"/>
        <item h="1" m="1" x="6170"/>
        <item h="1" m="1" x="6171"/>
        <item h="1" m="1" x="5476"/>
        <item h="1" m="1" x="6172"/>
        <item h="1" m="1" x="6173"/>
        <item h="1" m="1" x="6175"/>
        <item h="1" m="1" x="6176"/>
        <item h="1" m="1" x="6177"/>
        <item h="1" m="1" x="6178"/>
        <item h="1" m="1" x="6180"/>
        <item h="1" m="1" x="6182"/>
        <item h="1" m="1" x="6183"/>
        <item h="1" m="1" x="6184"/>
        <item h="1" m="1" x="6185"/>
        <item h="1" m="1" x="6186"/>
        <item h="1" m="1" x="6187"/>
        <item h="1" m="1" x="6008"/>
        <item h="1" m="1" x="6009"/>
        <item h="1" m="1" x="6010"/>
        <item h="1" m="1" x="453"/>
        <item h="1" m="1" x="5955"/>
        <item h="1" m="1" x="5972"/>
        <item h="1" m="1" x="5973"/>
        <item h="1" m="1" x="2633"/>
        <item h="1" m="1" x="5974"/>
        <item h="1" m="1" x="5975"/>
        <item h="1" m="1" x="5976"/>
        <item h="1" m="1" x="5977"/>
        <item h="1" m="1" x="5846"/>
        <item h="1" m="1" x="5544"/>
        <item h="1" m="1" x="5847"/>
        <item h="1" m="1" x="5131"/>
        <item h="1" m="1" x="5848"/>
        <item h="1" m="1" x="5827"/>
        <item h="1" m="1" x="3646"/>
        <item h="1" m="1" x="857"/>
        <item h="1" m="1" x="5980"/>
        <item h="1" m="1" x="3168"/>
        <item h="1" m="1" x="5153"/>
        <item h="1" m="1" x="5981"/>
        <item h="1" m="1" x="5982"/>
        <item h="1" m="1" x="5716"/>
        <item h="1" m="1" x="5449"/>
        <item h="1" m="1" x="5851"/>
        <item h="1" m="1" x="4196"/>
        <item h="1" m="1" x="5984"/>
        <item h="1" m="1" x="5830"/>
        <item h="1" m="1" x="5985"/>
        <item h="1" m="1" x="5986"/>
        <item h="1" m="1" x="5987"/>
        <item h="1" m="1" x="5464"/>
        <item h="1" m="1" x="5989"/>
        <item h="1" m="1" x="5866"/>
        <item h="1" m="1" x="5867"/>
        <item h="1" m="1" x="5836"/>
        <item h="1" m="1" x="5873"/>
        <item h="1" m="1" x="5876"/>
        <item h="1" m="1" x="5877"/>
        <item h="1" m="1" x="5878"/>
        <item h="1" m="1" x="5879"/>
        <item h="1" m="1" x="5831"/>
        <item h="1" m="1" x="5832"/>
        <item h="1" m="1" x="5833"/>
        <item h="1" m="1" x="5834"/>
        <item h="1" m="1" x="5835"/>
        <item h="1" m="1" x="5884"/>
        <item h="1" m="1" x="5908"/>
        <item h="1" m="1" x="4343"/>
        <item h="1" m="1" x="5337"/>
        <item h="1" m="1" x="4948"/>
        <item h="1" m="1" x="5992"/>
        <item h="1" m="1" x="4742"/>
        <item h="1" m="1" x="4743"/>
        <item h="1" m="1" x="5993"/>
        <item h="1" m="1" x="5994"/>
        <item h="1" m="1" x="5995"/>
        <item h="1" m="1" x="5996"/>
        <item h="1" m="1" x="5997"/>
        <item h="1" m="1" x="5998"/>
        <item h="1" m="1" x="6000"/>
        <item h="1" m="1" x="6001"/>
        <item h="1" m="1" x="6002"/>
        <item h="1" m="1" x="3012"/>
        <item h="1" m="1" x="4308"/>
        <item h="1" m="1" x="6003"/>
        <item h="1" m="1" x="6004"/>
        <item h="1" m="1" x="4970"/>
        <item h="1" m="1" x="4750"/>
        <item h="1" m="1" x="6005"/>
        <item h="1" m="1" x="5840"/>
        <item h="1" m="1" x="4491"/>
        <item h="1" m="1" x="6006"/>
        <item h="1" m="1" x="6007"/>
        <item h="1" m="1" x="4455"/>
        <item h="1" m="1" x="769"/>
        <item h="1" m="1" x="5517"/>
        <item h="1" m="1" x="4911"/>
        <item h="1" m="1" x="5521"/>
        <item h="1" m="1" x="5523"/>
        <item h="1" m="1" x="5130"/>
        <item h="1" m="1" x="2644"/>
        <item h="1" m="1" x="5845"/>
        <item h="1" m="1" x="5732"/>
        <item h="1" m="1" x="5717"/>
        <item h="1" m="1" x="5852"/>
        <item h="1" m="1" x="5853"/>
        <item h="1" m="1" x="5377"/>
        <item h="1" m="1" x="5148"/>
        <item h="1" m="1" x="5854"/>
        <item h="1" m="1" x="5720"/>
        <item h="1" x="112"/>
        <item h="1" m="1" x="5469"/>
        <item h="1" m="1" x="5856"/>
        <item h="1" m="1" x="5857"/>
        <item h="1" m="1" x="5858"/>
        <item h="1" m="1" x="5316"/>
        <item h="1" m="1" x="4804"/>
        <item h="1" m="1" x="5860"/>
        <item h="1" x="345"/>
        <item h="1" m="1" x="5582"/>
        <item h="1" m="1" x="5861"/>
        <item h="1" m="1" x="5862"/>
        <item h="1" m="1" x="5864"/>
        <item h="1" m="1" x="2030"/>
        <item h="1" m="1" x="5868"/>
        <item h="1" m="1" x="5869"/>
        <item h="1" m="1" x="5870"/>
        <item h="1" m="1" x="5871"/>
        <item h="1" m="1" x="5872"/>
        <item h="1" m="1" x="5874"/>
        <item h="1" m="1" x="5178"/>
        <item h="1" m="1" x="5875"/>
        <item h="1" m="1" x="5880"/>
        <item h="1" m="1" x="5881"/>
        <item h="1" m="1" x="5882"/>
        <item h="1" m="1" x="5537"/>
        <item h="1" m="1" x="2223"/>
        <item h="1" m="1" x="4548"/>
        <item h="1" m="1" x="5883"/>
        <item h="1" m="1" x="5448"/>
        <item h="1" m="1" x="5886"/>
        <item h="1" x="127"/>
        <item h="1" m="1" x="5474"/>
        <item h="1" m="1" x="5887"/>
        <item h="1" m="1" x="4714"/>
        <item h="1" m="1" x="5609"/>
        <item h="1" m="1" x="5610"/>
        <item h="1" m="1" x="5888"/>
        <item h="1" m="1" x="5889"/>
        <item h="1" m="1" x="5890"/>
        <item h="1" m="1" x="5891"/>
        <item h="1" m="1" x="5892"/>
        <item h="1" m="1" x="5893"/>
        <item h="1" m="1" x="5894"/>
        <item h="1" m="1" x="5895"/>
        <item h="1" m="1" x="5896"/>
        <item h="1" m="1" x="5723"/>
        <item h="1" m="1" x="4306"/>
        <item h="1" m="1" x="4339"/>
        <item h="1" m="1" x="5347"/>
        <item h="1" m="1" x="5898"/>
        <item h="1" m="1" x="4258"/>
        <item h="1" m="1" x="5766"/>
        <item h="1" m="1" x="5767"/>
        <item h="1" m="1" x="5899"/>
        <item h="1" m="1" x="5501"/>
        <item h="1" m="1" x="5506"/>
        <item h="1" m="1" x="5900"/>
        <item h="1" m="1" x="5112"/>
        <item h="1" m="1" x="5792"/>
        <item h="1" m="1" x="5901"/>
        <item h="1" m="1" x="5902"/>
        <item h="1" m="1" x="5903"/>
        <item h="1" m="1" x="5789"/>
        <item h="1" m="1" x="5790"/>
        <item h="1" m="1" x="5904"/>
        <item h="1" m="1" x="5794"/>
        <item h="1" m="1" x="5905"/>
        <item h="1" m="1" x="5786"/>
        <item h="1" m="1" x="5906"/>
        <item h="1" m="1" x="2571"/>
        <item h="1" m="1" x="5787"/>
        <item h="1" m="1" x="5788"/>
        <item h="1" m="1" x="5907"/>
        <item h="1" m="1" x="5909"/>
        <item h="1" m="1" x="5910"/>
        <item h="1" m="1" x="5911"/>
        <item h="1" m="1" x="5912"/>
        <item h="1" m="1" x="5741"/>
        <item h="1" m="1" x="5913"/>
        <item h="1" m="1" x="5914"/>
        <item h="1" m="1" x="5915"/>
        <item h="1" m="1" x="5916"/>
        <item h="1" m="1" x="5917"/>
        <item h="1" m="1" x="5918"/>
        <item h="1" m="1" x="5171"/>
        <item h="1" m="1" x="5919"/>
        <item h="1" m="1" x="5920"/>
        <item h="1" m="1" x="5659"/>
        <item h="1" m="1" x="5922"/>
        <item h="1" m="1" x="5923"/>
        <item h="1" m="1" x="5924"/>
        <item h="1" m="1" x="5756"/>
        <item h="1" m="1" x="5925"/>
        <item h="1" m="1" x="4486"/>
        <item h="1" m="1" x="4449"/>
        <item h="1" m="1" x="5926"/>
        <item h="1" m="1" x="5927"/>
        <item h="1" m="1" x="5928"/>
        <item h="1" m="1" x="5929"/>
        <item h="1" m="1" x="5930"/>
        <item h="1" m="1" x="4532"/>
        <item h="1" m="1" x="5783"/>
        <item h="1" m="1" x="5777"/>
        <item h="1" m="1" x="5931"/>
        <item h="1" m="1" x="5779"/>
        <item h="1" m="1" x="5774"/>
        <item h="1" m="1" x="5932"/>
        <item h="1" m="1" x="5933"/>
        <item h="1" m="1" x="5693"/>
        <item h="1" m="1" x="5934"/>
        <item h="1" m="1" x="5784"/>
        <item h="1" m="1" x="4334"/>
        <item h="1" m="1" x="4488"/>
        <item h="1" m="1" x="5507"/>
        <item h="1" m="1" x="5935"/>
        <item h="1" m="1" x="4583"/>
        <item h="1" m="1" x="5936"/>
        <item h="1" m="1" x="5937"/>
        <item h="1" m="1" x="5938"/>
        <item h="1" m="1" x="5793"/>
        <item h="1" m="1" x="5939"/>
        <item h="1" m="1" x="5940"/>
        <item h="1" m="1" x="5710"/>
        <item h="1" m="1" x="5524"/>
        <item h="1" m="1" x="5941"/>
        <item h="1" m="1" x="5942"/>
        <item h="1" m="1" x="5532"/>
        <item h="1" m="1" x="5722"/>
        <item h="1" m="1" x="4240"/>
        <item h="1" m="1" x="4239"/>
        <item h="1" m="1" x="4546"/>
        <item h="1" m="1" x="4105"/>
        <item h="1" m="1" x="5729"/>
        <item h="1" m="1" x="5730"/>
        <item h="1" m="1" x="5731"/>
        <item h="1" m="1" x="5661"/>
        <item h="1" m="1" x="5733"/>
        <item h="1" m="1" x="5734"/>
        <item h="1" m="1" x="5735"/>
        <item h="1" m="1" x="5736"/>
        <item h="1" m="1" x="4182"/>
        <item h="1" m="1" x="5450"/>
        <item h="1" m="1" x="5451"/>
        <item h="1" m="1" x="5379"/>
        <item h="1" m="1" x="4608"/>
        <item h="1" m="1" x="5159"/>
        <item h="1" m="1" x="5160"/>
        <item h="1" m="1" x="5740"/>
        <item h="1" m="1" x="5743"/>
        <item h="1" m="1" x="5744"/>
        <item h="1" m="1" x="5667"/>
        <item h="1" m="1" x="5745"/>
        <item h="1" m="1" x="5746"/>
        <item h="1" m="1" x="5747"/>
        <item h="1" m="1" x="5748"/>
        <item h="1" m="1" x="3896"/>
        <item h="1" m="1" x="5566"/>
        <item h="1" m="1" x="5750"/>
        <item h="1" m="1" x="5463"/>
        <item h="1" m="1" x="5751"/>
        <item h="1" m="1" x="5752"/>
        <item h="1" m="1" x="1065"/>
        <item h="1" m="1" x="5588"/>
        <item h="1" m="1" x="5753"/>
        <item h="1" m="1" x="5594"/>
        <item h="1" m="1" x="4778"/>
        <item h="1" m="1" x="5754"/>
        <item h="1" m="1" x="5755"/>
        <item h="1" m="1" x="5583"/>
        <item h="1" m="1" x="5679"/>
        <item h="1" m="1" x="5604"/>
        <item h="1" m="1" x="5678"/>
        <item h="1" m="1" x="5677"/>
        <item h="1" m="1" x="5603"/>
        <item h="1" m="1" x="5605"/>
        <item h="1" m="1" x="5757"/>
        <item h="1" m="1" x="4604"/>
        <item h="1" m="1" x="5758"/>
        <item h="1" m="1" x="5759"/>
        <item h="1" m="1" x="5760"/>
        <item h="1" m="1" x="5761"/>
        <item h="1" m="1" x="5762"/>
        <item h="1" m="1" x="5418"/>
        <item h="1" m="1" x="5763"/>
        <item h="1" m="1" x="5764"/>
        <item h="1" m="1" x="5765"/>
        <item h="1" m="1" x="4413"/>
        <item h="1" m="1" x="4382"/>
        <item h="1" m="1" x="5769"/>
        <item h="1" m="1" x="5771"/>
        <item h="1" m="1" x="5772"/>
        <item h="1" m="1" x="5773"/>
        <item h="1" m="1" x="5775"/>
        <item h="1" m="1" x="5776"/>
        <item h="1" m="1" x="5688"/>
        <item h="1" m="1" x="5780"/>
        <item h="1" m="1" x="5782"/>
        <item h="1" m="1" x="5105"/>
        <item h="1" m="1" x="5791"/>
        <item h="1" m="1" x="5795"/>
        <item h="1" m="1" x="5431"/>
        <item h="1" m="1" x="5432"/>
        <item h="1" m="1" x="5796"/>
        <item h="1" m="1" x="5797"/>
        <item h="1" m="1" x="3882"/>
        <item h="1" m="1" x="4183"/>
        <item h="1" m="1" x="5714"/>
        <item h="1" m="1" x="5798"/>
        <item h="1" m="1" x="5545"/>
        <item h="1" m="1" x="5799"/>
        <item h="1" m="1" x="5800"/>
        <item h="1" m="1" x="5801"/>
        <item h="1" m="1" x="5802"/>
        <item h="1" m="1" x="5803"/>
        <item h="1" m="1" x="5804"/>
        <item h="1" m="1" x="2658"/>
        <item h="1" m="1" x="5805"/>
        <item h="1" m="1" x="4841"/>
        <item h="1" m="1" x="5807"/>
        <item h="1" m="1" x="5808"/>
        <item h="1" m="1" x="5809"/>
        <item h="1" m="1" x="5810"/>
        <item h="1" m="1" x="1682"/>
        <item h="1" m="1" x="5811"/>
        <item h="1" m="1" x="5812"/>
        <item h="1" m="1" x="5813"/>
        <item h="1" m="1" x="4523"/>
        <item h="1" m="1" x="5814"/>
        <item h="1" m="1" x="2128"/>
        <item h="1" m="1" x="5815"/>
        <item h="1" m="1" x="5699"/>
        <item h="1" m="1" x="5540"/>
        <item h="1" m="1" x="5542"/>
        <item h="1" m="1" x="5541"/>
        <item h="1" m="1" x="5444"/>
        <item h="1" m="1" x="5546"/>
        <item h="1" m="1" x="5052"/>
        <item h="1" m="1" x="5663"/>
        <item h="1" m="1" x="5664"/>
        <item h="1" m="1" x="2575"/>
        <item h="1" m="1" x="5550"/>
        <item h="1" m="1" x="5376"/>
        <item h="1" m="1" x="5378"/>
        <item h="1" m="1" x="5555"/>
        <item h="1" m="1" x="5452"/>
        <item h="1" m="1" x="5556"/>
        <item h="1" m="1" x="5558"/>
        <item h="1" m="1" x="5559"/>
        <item h="1" m="1" x="5158"/>
        <item h="1" m="1" x="5564"/>
        <item h="1" m="1" x="5565"/>
        <item h="1" m="1" x="5665"/>
        <item h="1" m="1" x="5666"/>
        <item h="1" m="1" x="5570"/>
        <item h="1" m="1" x="5571"/>
        <item h="1" m="1" x="5577"/>
        <item h="1" m="1" x="5578"/>
        <item h="1" m="1" x="5470"/>
        <item h="1" m="1" x="5581"/>
        <item h="1" m="1" x="5668"/>
        <item h="1" m="1" x="5592"/>
        <item h="1" m="1" x="5587"/>
        <item h="1" m="1" x="5590"/>
        <item h="1" m="1" x="5597"/>
        <item h="1" m="1" x="5602"/>
        <item h="1" m="1" x="5680"/>
        <item h="1" m="1" x="5608"/>
        <item h="1" m="1" x="5613"/>
        <item h="1" m="1" x="5618"/>
        <item h="1" m="1" x="5619"/>
        <item h="1" m="1" x="5620"/>
        <item h="1" m="1" x="5621"/>
        <item h="1" m="1" x="5622"/>
        <item h="1" m="1" x="5682"/>
        <item h="1" m="1" x="5683"/>
        <item h="1" m="1" x="5684"/>
        <item h="1" m="1" x="5685"/>
        <item h="1" m="1" x="5075"/>
        <item h="1" m="1" x="4385"/>
        <item h="1" m="1" x="4225"/>
        <item h="1" m="1" x="5486"/>
        <item h="1" m="1" x="4217"/>
        <item h="1" m="1" x="4226"/>
        <item h="1" m="1" x="4221"/>
        <item h="1" m="1" x="4222"/>
        <item h="1" m="1" x="4224"/>
        <item h="1" m="1" x="5687"/>
        <item h="1" m="1" x="4511"/>
        <item h="1" m="1" x="4512"/>
        <item h="1" m="1" x="5689"/>
        <item h="1" m="1" x="5690"/>
        <item h="1" m="1" x="5691"/>
        <item h="1" m="1" x="5692"/>
        <item h="1" m="1" x="4469"/>
        <item h="1" m="1" x="4470"/>
        <item h="1" m="1" x="5694"/>
        <item h="1" m="1" x="5490"/>
        <item h="1" m="1" x="5491"/>
        <item h="1" m="1" x="5696"/>
        <item h="1" m="1" x="4351"/>
        <item h="1" m="1" x="5702"/>
        <item h="1" m="1" x="5512"/>
        <item h="1" m="1" x="4227"/>
        <item h="1" m="1" x="4223"/>
        <item h="1" m="1" x="5652"/>
        <item h="1" m="1" x="5706"/>
        <item h="1" m="1" x="5709"/>
        <item h="1" m="1" x="5711"/>
        <item h="1" m="1" x="5712"/>
        <item h="1" m="1" x="5530"/>
        <item h="1" m="1" x="5440"/>
        <item h="1" m="1" x="5543"/>
        <item h="1" m="1" x="5371"/>
        <item h="1" x="402"/>
        <item h="1" m="1" x="5548"/>
        <item h="1" m="1" x="5549"/>
        <item h="1" m="1" x="5552"/>
        <item h="1" m="1" x="1620"/>
        <item h="1" m="1" x="5553"/>
        <item h="1" m="1" x="5554"/>
        <item h="1" m="1" x="5380"/>
        <item h="1" m="1" x="5454"/>
        <item h="1" m="1" x="5557"/>
        <item h="1" m="1" x="5384"/>
        <item h="1" m="1" x="2813"/>
        <item h="1" m="1" x="5154"/>
        <item h="1" m="1" x="5155"/>
        <item h="1" m="1" x="5561"/>
        <item h="1" m="1" x="5563"/>
        <item h="1" m="1" x="5567"/>
        <item h="1" m="1" x="5390"/>
        <item h="1" m="1" x="5568"/>
        <item h="1" m="1" x="5572"/>
        <item h="1" m="1" x="1997"/>
        <item h="1" m="1" x="5573"/>
        <item h="1" m="1" x="5574"/>
        <item h="1" m="1" x="5466"/>
        <item h="1" m="1" x="5467"/>
        <item h="1" m="1" x="5468"/>
        <item h="1" m="1" x="5575"/>
        <item h="1" m="1" x="5319"/>
        <item h="1" m="1" x="5576"/>
        <item h="1" m="1" x="561"/>
        <item h="1" m="1" x="5579"/>
        <item h="1" m="1" x="2638"/>
        <item h="1" m="1" x="5585"/>
        <item h="1" m="1" x="5589"/>
        <item h="1" m="1" x="5591"/>
        <item h="1" m="1" x="5177"/>
        <item h="1" m="1" x="5595"/>
        <item h="1" m="1" x="5596"/>
        <item h="1" m="1" x="5598"/>
        <item h="1" m="1" x="5599"/>
        <item h="1" m="1" x="872"/>
        <item h="1" m="1" x="5607"/>
        <item h="1" m="1" x="5611"/>
        <item h="1" m="1" x="5612"/>
        <item h="1" m="1" x="5614"/>
        <item h="1" m="1" x="5615"/>
        <item h="1" m="1" x="5617"/>
        <item h="1" m="1" x="5623"/>
        <item h="1" m="1" x="5477"/>
        <item h="1" m="1" x="5404"/>
        <item h="1" m="1" x="5479"/>
        <item h="1" m="1" x="5624"/>
        <item h="1" m="1" x="5625"/>
        <item h="1" m="1" x="5626"/>
        <item h="1" m="1" x="4402"/>
        <item h="1" m="1" x="5627"/>
        <item h="1" m="1" x="5353"/>
        <item h="1" m="1" x="5628"/>
        <item h="1" m="1" x="5080"/>
        <item h="1" m="1" x="4220"/>
        <item h="1" m="1" x="5630"/>
        <item h="1" m="1" x="5631"/>
        <item h="1" m="1" x="4307"/>
        <item h="1" m="1" x="4256"/>
        <item h="1" m="1" x="4253"/>
        <item h="1" m="1" x="5633"/>
        <item h="1" m="1" x="5634"/>
        <item h="1" m="1" x="5635"/>
        <item h="1" m="1" x="5636"/>
        <item h="1" m="1" x="5637"/>
        <item h="1" m="1" x="5638"/>
        <item h="1" m="1" x="5639"/>
        <item h="1" m="1" x="5641"/>
        <item h="1" m="1" x="4543"/>
        <item h="1" m="1" x="5642"/>
        <item h="1" m="1" x="5643"/>
        <item h="1" m="1" x="5644"/>
        <item h="1" m="1" x="5497"/>
        <item h="1" m="1" x="5647"/>
        <item h="1" m="1" x="5648"/>
        <item h="1" m="1" x="5649"/>
        <item h="1" m="1" x="5650"/>
        <item h="1" m="1" x="5651"/>
        <item h="1" m="1" x="5653"/>
        <item h="1" m="1" x="5267"/>
        <item h="1" m="1" x="5654"/>
        <item h="1" m="1" x="5655"/>
        <item h="1" m="1" x="5657"/>
        <item h="1" m="1" x="5658"/>
        <item h="1" m="1" x="5289"/>
        <item h="1" m="1" x="5291"/>
        <item h="1" m="1" x="3636"/>
        <item h="1" m="1" x="5538"/>
        <item h="1" m="1" x="4984"/>
        <item h="1" m="1" x="5443"/>
        <item h="1" m="1" x="440"/>
        <item h="1" m="1" x="5445"/>
        <item h="1" m="1" x="5297"/>
        <item h="1" m="1" x="5446"/>
        <item h="1" m="1" x="5372"/>
        <item h="1" m="1" x="5140"/>
        <item h="1" m="1" x="5298"/>
        <item h="1" m="1" x="5447"/>
        <item h="1" m="1" x="494"/>
        <item h="1" m="1" x="5375"/>
        <item h="1" m="1" x="5146"/>
        <item h="1" m="1" x="5306"/>
        <item h="1" m="1" x="5453"/>
        <item h="1" m="1" x="5455"/>
        <item h="1" m="1" x="4700"/>
        <item h="1" m="1" x="5381"/>
        <item h="1" m="1" x="5457"/>
        <item h="1" m="1" x="5382"/>
        <item h="1" m="1" x="5458"/>
        <item h="1" m="1" x="5459"/>
        <item h="1" m="1" x="5391"/>
        <item h="1" m="1" x="5392"/>
        <item h="1" m="1" x="5460"/>
        <item h="1" m="1" x="5461"/>
        <item h="1" m="1" x="5385"/>
        <item h="1" m="1" x="5386"/>
        <item h="1" m="1" x="5165"/>
        <item h="1" m="1" x="5314"/>
        <item h="1" m="1" x="5313"/>
        <item h="1" m="1" x="5016"/>
        <item h="1" m="1" x="4809"/>
        <item h="1" m="1" x="4808"/>
        <item h="1" m="1" x="5020"/>
        <item h="1" m="1" x="5019"/>
        <item h="1" m="1" x="5393"/>
        <item h="1" m="1" x="5182"/>
        <item h="1" m="1" x="5040"/>
        <item h="1" m="1" x="5041"/>
        <item h="1" m="1" x="5043"/>
        <item h="1" m="1" x="5042"/>
        <item h="1" m="1" x="5472"/>
        <item h="1" m="1" x="5185"/>
        <item h="1" m="1" x="5473"/>
        <item h="1" m="1" x="5475"/>
        <item h="1" m="1" x="5399"/>
        <item h="1" m="1" x="5401"/>
        <item h="1" m="1" x="5402"/>
        <item h="1" m="1" x="5069"/>
        <item h="1" m="1" x="5333"/>
        <item h="1" m="1" x="5070"/>
        <item h="1" m="1" x="4589"/>
        <item h="1" m="1" x="5207"/>
        <item h="1" m="1" x="5480"/>
        <item h="1" m="1" x="5481"/>
        <item h="1" m="1" x="5482"/>
        <item h="1" m="1" x="4439"/>
        <item h="1" m="1" x="5484"/>
        <item h="1" m="1" x="5487"/>
        <item h="1" m="1" x="5101"/>
        <item h="1" m="1" x="5489"/>
        <item h="1" m="1" x="5221"/>
        <item h="1" m="1" x="5492"/>
        <item h="1" m="1" x="5493"/>
        <item h="1" m="1" x="5494"/>
        <item h="1" m="1" x="5499"/>
        <item h="1" m="1" x="5502"/>
        <item h="1" m="1" x="5257"/>
        <item h="1" m="1" x="5509"/>
        <item h="1" m="1" x="5511"/>
        <item h="1" m="1" x="5259"/>
        <item h="1" m="1" x="5433"/>
        <item h="1" m="1" x="5513"/>
        <item h="1" m="1" x="5286"/>
        <item h="1" m="1" x="5516"/>
        <item h="1" m="1" x="5525"/>
        <item h="1" m="1" x="4773"/>
        <item h="1" m="1" x="4774"/>
        <item h="1" m="1" x="4986"/>
        <item h="1" m="1" x="5294"/>
        <item h="1" m="1" x="437"/>
        <item h="1" m="1" x="5365"/>
        <item h="1" m="1" x="5366"/>
        <item h="1" m="1" x="5367"/>
        <item h="1" m="1" x="4993"/>
        <item h="1" m="1" x="5373"/>
        <item h="1" m="1" x="5142"/>
        <item h="1" m="1" x="5141"/>
        <item h="1" m="1" x="5300"/>
        <item h="1" m="1" x="5301"/>
        <item h="1" m="1" x="5303"/>
        <item h="1" m="1" x="5307"/>
        <item h="1" m="1" x="5150"/>
        <item h="1" m="1" x="5151"/>
        <item h="1" m="1" x="2323"/>
        <item h="1" m="1" x="2156"/>
        <item h="1" m="1" x="5156"/>
        <item h="1" m="1" x="5157"/>
        <item h="1" m="1" x="4921"/>
        <item h="1" m="1" x="5383"/>
        <item h="1" x="277"/>
        <item h="1" m="1" x="5311"/>
        <item h="1" m="1" x="5387"/>
        <item h="1" m="1" x="5389"/>
        <item h="1" m="1" x="5321"/>
        <item h="1" m="1" x="1873"/>
        <item h="1" m="1" x="5169"/>
        <item h="1" m="1" x="5173"/>
        <item h="1" m="1" x="4707"/>
        <item h="1" m="1" x="5326"/>
        <item h="1" m="1" x="5180"/>
        <item h="1" m="1" x="5048"/>
        <item h="1" m="1" x="5184"/>
        <item h="1" m="1" x="5051"/>
        <item h="1" m="1" x="5397"/>
        <item h="1" m="1" x="5398"/>
        <item h="1" m="1" x="3039"/>
        <item h="1" m="1" x="5332"/>
        <item h="1" m="1" x="5400"/>
        <item h="1" m="1" x="5403"/>
        <item h="1" m="1" x="5405"/>
        <item h="1" m="1" x="5406"/>
        <item h="1" m="1" x="5407"/>
        <item h="1" m="1" x="5076"/>
        <item h="1" m="1" x="5408"/>
        <item h="1" m="1" x="4431"/>
        <item h="1" m="1" x="3968"/>
        <item h="1" m="1" x="5409"/>
        <item h="1" m="1" x="5341"/>
        <item h="1" m="1" x="5410"/>
        <item h="1" m="1" x="5411"/>
        <item h="1" m="1" x="4721"/>
        <item h="1" m="1" x="5412"/>
        <item h="1" m="1" x="5413"/>
        <item h="1" m="1" x="5414"/>
        <item h="1" m="1" x="5415"/>
        <item h="1" m="1" x="5416"/>
        <item h="1" m="1" x="5417"/>
        <item h="1" m="1" x="5421"/>
        <item h="1" m="1" x="5422"/>
        <item h="1" m="1" x="4228"/>
        <item h="1" m="1" x="5423"/>
        <item h="1" m="1" x="5424"/>
        <item h="1" m="1" x="5425"/>
        <item h="1" m="1" x="5426"/>
        <item h="1" m="1" x="4540"/>
        <item h="1" m="1" x="5428"/>
        <item h="1" m="1" x="5429"/>
        <item h="1" m="1" x="5434"/>
        <item h="1" m="1" x="5435"/>
        <item h="1" m="1" x="5436"/>
        <item h="1" m="1" x="5437"/>
        <item h="1" m="1" x="4913"/>
        <item h="1" m="1" x="5361"/>
        <item h="1" m="1" x="5441"/>
        <item h="1" m="1" x="3500"/>
        <item h="1" m="1" x="5442"/>
        <item h="1" m="1" x="5296"/>
        <item h="1" m="1" x="5143"/>
        <item h="1" m="1" x="5302"/>
        <item h="1" m="1" x="4999"/>
        <item h="1" m="1" x="5304"/>
        <item h="1" m="1" x="5305"/>
        <item h="1" m="1" x="5009"/>
        <item h="1" m="1" x="4922"/>
        <item h="1" m="1" x="5308"/>
        <item h="1" m="1" x="5121"/>
        <item h="1" m="1" x="5006"/>
        <item h="1" m="1" x="5007"/>
        <item h="1" m="1" x="5309"/>
        <item h="1" m="1" x="5164"/>
        <item h="1" m="1" x="5310"/>
        <item h="1" m="1" x="5312"/>
        <item h="1" m="1" x="5315"/>
        <item h="1" m="1" x="5317"/>
        <item h="1" m="1" x="3983"/>
        <item h="1" x="70"/>
        <item h="1" m="1" x="5021"/>
        <item h="1" m="1" x="5022"/>
        <item h="1" m="1" x="5028"/>
        <item h="1" m="1" x="5029"/>
        <item h="1" m="1" x="4817"/>
        <item h="1" m="1" x="5324"/>
        <item h="1" m="1" x="5176"/>
        <item h="1" m="1" x="5325"/>
        <item h="1" m="1" x="5181"/>
        <item h="1" m="1" x="4825"/>
        <item h="1" m="1" x="5179"/>
        <item h="1" m="1" x="5039"/>
        <item h="1" m="1" x="5327"/>
        <item h="1" m="1" x="5188"/>
        <item h="1" m="1" x="5328"/>
        <item h="1" m="1" x="4823"/>
        <item h="1" m="1" x="5189"/>
        <item h="1" m="1" x="5330"/>
        <item h="1" m="1" x="5331"/>
        <item h="1" m="1" x="5071"/>
        <item h="1" m="1" x="5204"/>
        <item h="1" m="1" x="5335"/>
        <item h="1" m="1" x="4711"/>
        <item h="1" m="1" x="5336"/>
        <item h="1" m="1" x="5338"/>
        <item h="1" m="1" x="4430"/>
        <item h="1" m="1" x="5342"/>
        <item h="1" m="1" x="4728"/>
        <item h="1" m="1" x="4729"/>
        <item h="1" m="1" x="5343"/>
        <item h="1" m="1" x="5344"/>
        <item h="1" m="1" x="5345"/>
        <item h="1" m="1" x="5346"/>
        <item h="1" m="1" x="5348"/>
        <item h="1" m="1" x="5349"/>
        <item h="1" m="1" x="5212"/>
        <item h="1" m="1" x="5213"/>
        <item h="1" m="1" x="5350"/>
        <item h="1" m="1" x="5099"/>
        <item h="1" m="1" x="5351"/>
        <item h="1" m="1" x="5352"/>
        <item h="1" m="1" x="4462"/>
        <item h="1" m="1" x="4463"/>
        <item h="1" m="1" x="4229"/>
        <item h="1" m="1" x="4757"/>
        <item h="1" m="1" x="5266"/>
        <item h="1" m="1" x="5356"/>
        <item h="1" m="1" x="5357"/>
        <item h="1" m="1" x="5282"/>
        <item h="1" m="1" x="5283"/>
        <item h="1" m="1" x="5124"/>
        <item h="1" m="1" x="5287"/>
        <item h="1" m="1" x="5362"/>
        <item h="1" m="1" x="5363"/>
        <item h="1" m="1" x="5133"/>
        <item h="1" m="1" x="4985"/>
        <item h="1" m="1" x="4988"/>
        <item h="1" m="1" x="4990"/>
        <item h="1" m="1" x="4438"/>
        <item h="1" m="1" x="4688"/>
        <item h="1" m="1" x="4991"/>
        <item h="1" m="1" x="5136"/>
        <item h="1" m="1" x="5138"/>
        <item h="1" m="1" x="4771"/>
        <item h="1" m="1" x="5144"/>
        <item h="1" m="1" x="5145"/>
        <item h="1" m="1" x="5149"/>
        <item h="1" m="1" x="5152"/>
        <item h="1" m="1" x="5005"/>
        <item h="1" m="1" x="4798"/>
        <item h="1" m="1" x="5014"/>
        <item h="1" m="1" x="2173"/>
        <item h="1" m="1" x="2174"/>
        <item h="1" m="1" x="1871"/>
        <item h="1" m="1" x="2175"/>
        <item h="1" m="1" x="5013"/>
        <item h="1" m="1" x="5167"/>
        <item h="1" m="1" x="5170"/>
        <item h="1" m="1" x="5172"/>
        <item h="1" m="1" x="5032"/>
        <item h="1" m="1" x="5033"/>
        <item h="1" m="1" x="5175"/>
        <item h="1" m="1" x="4836"/>
        <item h="1" m="1" x="5190"/>
        <item h="1" m="1" x="5191"/>
        <item h="1" m="1" x="5053"/>
        <item h="1" m="1" x="4932"/>
        <item h="1" m="1" x="5063"/>
        <item h="1" m="1" x="5059"/>
        <item h="1" m="1" x="5062"/>
        <item h="1" m="1" x="5061"/>
        <item h="1" m="1" x="5060"/>
        <item h="1" m="1" x="3918"/>
        <item h="1" m="1" x="5192"/>
        <item h="1" m="1" x="5193"/>
        <item h="1" m="1" x="5195"/>
        <item h="1" m="1" x="5196"/>
        <item h="1" m="1" x="5197"/>
        <item h="1" m="1" x="5198"/>
        <item h="1" m="1" x="5199"/>
        <item h="1" m="1" x="5200"/>
        <item h="1" m="1" x="5201"/>
        <item h="1" m="1" x="5202"/>
        <item h="1" m="1" x="5203"/>
        <item h="1" m="1" x="4710"/>
        <item h="1" m="1" x="5208"/>
        <item h="1" m="1" x="5209"/>
        <item h="1" m="1" x="5210"/>
        <item h="1" m="1" x="5211"/>
        <item h="1" m="1" x="4387"/>
        <item h="1" m="1" x="4950"/>
        <item h="1" m="1" x="4949"/>
        <item h="1" m="1" x="5082"/>
        <item h="1" m="1" x="4219"/>
        <item h="1" m="1" x="4955"/>
        <item h="1" m="1" x="4389"/>
        <item h="1" m="1" x="5083"/>
        <item h="1" m="1" x="4722"/>
        <item h="1" m="1" x="5214"/>
        <item h="1" m="1" x="5215"/>
        <item h="1" m="1" x="5216"/>
        <item h="1" m="1" x="5217"/>
        <item h="1" m="1" x="5218"/>
        <item h="1" m="1" x="5220"/>
        <item h="1" m="1" x="5104"/>
        <item h="1" m="1" x="5222"/>
        <item h="1" m="1" x="5223"/>
        <item h="1" m="1" x="5224"/>
        <item h="1" m="1" x="5225"/>
        <item h="1" m="1" x="5226"/>
        <item h="1" m="1" x="5227"/>
        <item h="1" m="1" x="5228"/>
        <item h="1" m="1" x="5229"/>
        <item h="1" m="1" x="5230"/>
        <item h="1" m="1" x="5231"/>
        <item h="1" m="1" x="5232"/>
        <item h="1" m="1" x="5233"/>
        <item h="1" m="1" x="5234"/>
        <item h="1" m="1" x="5235"/>
        <item h="1" m="1" x="5236"/>
        <item h="1" m="1" x="5237"/>
        <item h="1" m="1" x="5238"/>
        <item h="1" m="1" x="5239"/>
        <item h="1" m="1" x="5240"/>
        <item h="1" m="1" x="5241"/>
        <item h="1" m="1" x="5242"/>
        <item h="1" m="1" x="5243"/>
        <item h="1" m="1" x="5244"/>
        <item h="1" m="1" x="5245"/>
        <item h="1" m="1" x="5246"/>
        <item h="1" m="1" x="5247"/>
        <item h="1" m="1" x="5248"/>
        <item h="1" m="1" x="5249"/>
        <item h="1" m="1" x="2728"/>
        <item h="1" m="1" x="5250"/>
        <item h="1" m="1" x="5251"/>
        <item h="1" m="1" x="5252"/>
        <item h="1" m="1" x="5253"/>
        <item h="1" m="1" x="5254"/>
        <item h="1" m="1" x="4588"/>
        <item h="1" m="1" x="4409"/>
        <item h="1" m="1" x="4386"/>
        <item h="1" m="1" x="5258"/>
        <item h="1" m="1" x="5260"/>
        <item h="1" m="1" x="5262"/>
        <item h="1" m="1" x="5263"/>
        <item h="1" m="1" x="5264"/>
        <item h="1" m="1" x="5265"/>
        <item h="1" m="1" x="2929"/>
        <item h="1" m="1" x="4218"/>
        <item h="1" m="1" x="5268"/>
        <item h="1" m="1" x="5269"/>
        <item h="1" m="1" x="5270"/>
        <item h="1" m="1" x="5271"/>
        <item h="1" m="1" x="5272"/>
        <item h="1" m="1" x="5273"/>
        <item h="1" m="1" x="5274"/>
        <item h="1" m="1" x="5275"/>
        <item h="1" m="1" x="5276"/>
        <item h="1" m="1" x="5277"/>
        <item h="1" m="1" x="5278"/>
        <item h="1" m="1" x="5279"/>
        <item h="1" m="1" x="5280"/>
        <item h="1" m="1" x="5281"/>
        <item h="1" m="1" x="4458"/>
        <item h="1" m="1" x="5284"/>
        <item h="1" m="1" x="5285"/>
        <item h="1" m="1" x="4457"/>
        <item h="1" m="1" x="5288"/>
        <item h="1" m="1" x="1346"/>
        <item h="1" m="1" x="4316"/>
        <item h="1" m="1" x="4992"/>
        <item h="1" m="1" x="4994"/>
        <item h="1" m="1" x="4995"/>
        <item h="1" x="167"/>
        <item h="1" m="1" x="4996"/>
        <item h="1" m="1" x="4997"/>
        <item h="1" m="1" x="4998"/>
        <item h="1" m="1" x="5001"/>
        <item h="1" m="1" x="4919"/>
        <item h="1" m="1" x="5008"/>
        <item h="1" m="1" x="4794"/>
        <item h="1" m="1" x="5011"/>
        <item h="1" m="1" x="5012"/>
        <item h="1" m="1" x="1279"/>
        <item h="1" m="1" x="5015"/>
        <item h="1" m="1" x="4812"/>
        <item h="1" m="1" x="5023"/>
        <item h="1" m="1" x="5024"/>
        <item h="1" m="1" x="5025"/>
        <item h="1" m="1" x="5026"/>
        <item h="1" m="1" x="5027"/>
        <item h="1" m="1" x="5030"/>
        <item h="1" m="1" x="5031"/>
        <item h="1" m="1" x="5034"/>
        <item h="1" m="1" x="5035"/>
        <item h="1" m="1" x="5036"/>
        <item h="1" m="1" x="5037"/>
        <item h="1" m="1" x="5044"/>
        <item h="1" m="1" x="5046"/>
        <item h="1" m="1" x="5047"/>
        <item h="1" m="1" x="5049"/>
        <item h="1" m="1" x="4591"/>
        <item h="1" m="1" x="5054"/>
        <item h="1" m="1" x="5055"/>
        <item h="1" m="1" x="5056"/>
        <item h="1" m="1" x="5057"/>
        <item h="1" m="1" x="5058"/>
        <item h="1" m="1" x="4845"/>
        <item h="1" m="1" x="5064"/>
        <item h="1" m="1" x="5065"/>
        <item h="1" m="1" x="5066"/>
        <item h="1" m="1" x="4931"/>
        <item h="1" m="1" x="5067"/>
        <item h="1" m="1" x="5068"/>
        <item h="1" m="1" x="4487"/>
        <item h="1" m="1" x="4933"/>
        <item h="1" m="1" x="4250"/>
        <item h="1" m="1" x="4246"/>
        <item h="1" m="1" x="5072"/>
        <item h="1" m="1" x="5073"/>
        <item h="1" m="1" x="5074"/>
        <item h="1" m="1" x="4862"/>
        <item h="1" m="1" x="4861"/>
        <item h="1" m="1" x="4524"/>
        <item h="1" m="1" x="4432"/>
        <item h="1" m="1" x="5077"/>
        <item h="1" m="1" x="5078"/>
        <item h="1" m="1" x="5079"/>
        <item h="1" m="1" x="5081"/>
        <item h="1" m="1" x="4451"/>
        <item h="1" m="1" x="4252"/>
        <item h="1" m="1" x="5084"/>
        <item h="1" m="1" x="5085"/>
        <item h="1" m="1" x="4888"/>
        <item h="1" m="1" x="5086"/>
        <item h="1" m="1" x="5087"/>
        <item h="1" m="1" x="5088"/>
        <item h="1" m="1" x="5089"/>
        <item h="1" m="1" x="5090"/>
        <item h="1" m="1" x="5091"/>
        <item h="1" m="1" x="5092"/>
        <item h="1" m="1" x="5094"/>
        <item h="1" m="1" x="4041"/>
        <item h="1" m="1" x="4727"/>
        <item h="1" m="1" x="5095"/>
        <item h="1" m="1" x="5096"/>
        <item h="1" m="1" x="4959"/>
        <item h="1" m="1" x="4960"/>
        <item h="1" m="1" x="4526"/>
        <item h="1" m="1" x="5098"/>
        <item h="1" m="1" x="5100"/>
        <item h="1" m="1" x="4373"/>
        <item h="1" m="1" x="5102"/>
        <item h="1" m="1" x="5103"/>
        <item h="1" m="1" x="4606"/>
        <item h="1" m="1" x="4598"/>
        <item h="1" m="1" x="4464"/>
        <item h="1" m="1" x="5108"/>
        <item h="1" m="1" x="4582"/>
        <item h="1" m="1" x="5109"/>
        <item h="1" m="1" x="5110"/>
        <item h="1" m="1" x="5113"/>
        <item h="1" m="1" x="5114"/>
        <item h="1" m="1" x="5115"/>
        <item h="1" m="1" x="5116"/>
        <item h="1" m="1" x="5117"/>
        <item h="1" m="1" x="5118"/>
        <item h="1" m="1" x="4581"/>
        <item h="1" m="1" x="5122"/>
        <item h="1" m="1" x="5125"/>
        <item h="1" m="1" x="4259"/>
        <item h="1" m="1" x="5134"/>
        <item h="1" m="1" x="4779"/>
        <item h="1" m="1" x="4782"/>
        <item h="1" m="1" x="4915"/>
        <item h="1" m="1" x="4784"/>
        <item h="1" m="1" x="4916"/>
        <item h="1" m="1" x="4917"/>
        <item h="1" m="1" x="4918"/>
        <item h="1" m="1" x="1622"/>
        <item h="1" m="1" x="4789"/>
        <item h="1" m="1" x="4790"/>
        <item h="1" m="1" x="4920"/>
        <item h="1" m="1" x="4791"/>
        <item h="1" m="1" x="4701"/>
        <item h="1" m="1" x="871"/>
        <item h="1" x="43"/>
        <item h="1" m="1" x="4923"/>
        <item h="1" m="1" x="4924"/>
        <item h="1" m="1" x="4925"/>
        <item h="1" m="1" x="4926"/>
        <item h="1" m="1" x="4801"/>
        <item h="1" m="1" x="4802"/>
        <item h="1" m="1" x="4806"/>
        <item h="1" m="1" x="4807"/>
        <item h="1" m="1" x="4805"/>
        <item h="1" m="1" x="1024"/>
        <item h="1" m="1" x="4810"/>
        <item h="1" m="1" x="4811"/>
        <item h="1" m="1" x="4813"/>
        <item h="1" m="1" x="4826"/>
        <item h="1" m="1" x="4827"/>
        <item h="1" m="1" x="4828"/>
        <item h="1" m="1" x="4829"/>
        <item h="1" m="1" x="4929"/>
        <item h="1" m="1" x="4593"/>
        <item h="1" m="1" x="3927"/>
        <item h="1" m="1" x="4930"/>
        <item h="1" m="1" x="4844"/>
        <item h="1" m="1" x="4840"/>
        <item h="1" m="1" x="4847"/>
        <item h="1" m="1" x="4848"/>
        <item h="1" m="1" x="4849"/>
        <item h="1" m="1" x="4850"/>
        <item h="1" m="1" x="4854"/>
        <item h="1" m="1" x="4837"/>
        <item h="1" m="1" x="4838"/>
        <item h="1" m="1" x="4934"/>
        <item h="1" m="1" x="4935"/>
        <item h="1" m="1" x="4936"/>
        <item h="1" m="1" x="4937"/>
        <item h="1" m="1" x="4938"/>
        <item h="1" m="1" x="4939"/>
        <item h="1" m="1" x="4940"/>
        <item h="1" m="1" x="4942"/>
        <item h="1" m="1" x="4262"/>
        <item h="1" m="1" x="4452"/>
        <item h="1" m="1" x="4943"/>
        <item h="1" m="1" x="4944"/>
        <item h="1" m="1" x="4945"/>
        <item h="1" m="1" x="4946"/>
        <item h="1" m="1" x="4947"/>
        <item h="1" m="1" x="4265"/>
        <item h="1" m="1" x="4525"/>
        <item h="1" m="1" x="4951"/>
        <item h="1" m="1" x="4952"/>
        <item h="1" m="1" x="4953"/>
        <item h="1" m="1" x="4954"/>
        <item h="1" m="1" x="4956"/>
        <item h="1" m="1" x="4957"/>
        <item h="1" m="1" x="4958"/>
        <item h="1" m="1" x="4961"/>
        <item h="1" m="1" x="4962"/>
        <item h="1" m="1" x="4963"/>
        <item h="1" m="1" x="4964"/>
        <item h="1" m="1" x="4518"/>
        <item h="1" m="1" x="4965"/>
        <item h="1" m="1" x="4966"/>
        <item h="1" m="1" x="4967"/>
        <item h="1" m="1" x="4968"/>
        <item h="1" m="1" x="4272"/>
        <item h="1" m="1" x="4266"/>
        <item h="1" m="1" x="4270"/>
        <item h="1" m="1" x="4268"/>
        <item h="1" m="1" x="4557"/>
        <item h="1" m="1" x="4550"/>
        <item h="1" m="1" x="4340"/>
        <item h="1" m="1" x="4341"/>
        <item h="1" m="1" x="4371"/>
        <item h="1" m="1" x="4969"/>
        <item h="1" m="1" x="2609"/>
        <item h="1" m="1" x="4352"/>
        <item h="1" m="1" x="4342"/>
        <item h="1" m="1" x="4971"/>
        <item h="1" m="1" x="4972"/>
        <item h="1" m="1" x="4465"/>
        <item h="1" m="1" x="4414"/>
        <item h="1" m="1" x="4415"/>
        <item h="1" m="1" x="4416"/>
        <item h="1" m="1" x="4903"/>
        <item h="1" m="1" x="3473"/>
        <item h="1" m="1" x="4974"/>
        <item h="1" m="1" x="4975"/>
        <item h="1" m="1" x="4976"/>
        <item h="1" m="1" x="4977"/>
        <item h="1" m="1" x="4978"/>
        <item h="1" m="1" x="4979"/>
        <item h="1" m="1" x="4980"/>
        <item h="1" m="1" x="4403"/>
        <item h="1" m="1" x="4981"/>
        <item h="1" m="1" x="4453"/>
        <item h="1" m="1" x="4982"/>
        <item h="1" m="1" x="4983"/>
        <item h="1" m="1" x="4780"/>
        <item h="1" m="1" x="1467"/>
        <item h="1" m="1" x="4192"/>
        <item h="1" m="1" x="4785"/>
        <item h="1" m="1" x="4786"/>
        <item h="1" m="1" x="4147"/>
        <item h="1" m="1" x="4692"/>
        <item h="1" m="1" x="4693"/>
        <item h="1" m="1" x="4522"/>
        <item h="1" m="1" x="4697"/>
        <item h="1" m="1" x="4702"/>
        <item h="1" m="1" x="4792"/>
        <item h="1" m="1" x="4503"/>
        <item h="1" m="1" x="4795"/>
        <item h="1" m="1" x="4796"/>
        <item h="1" m="1" x="4797"/>
        <item h="1" m="1" x="4799"/>
        <item h="1" m="1" x="4800"/>
        <item h="1" m="1" x="3904"/>
        <item h="1" m="1" x="4679"/>
        <item h="1" m="1" x="4207"/>
        <item h="1" m="1" x="4541"/>
        <item h="1" m="1" x="4814"/>
        <item h="1" m="1" x="4815"/>
        <item h="1" m="1" x="4816"/>
        <item h="1" m="1" x="1011"/>
        <item h="1" m="1" x="4818"/>
        <item h="1" m="1" x="4820"/>
        <item h="1" m="1" x="4821"/>
        <item h="1" m="1" x="4822"/>
        <item h="1" m="1" x="4830"/>
        <item h="1" m="1" x="4831"/>
        <item h="1" m="1" x="4832"/>
        <item h="1" m="1" x="4833"/>
        <item h="1" m="1" x="4834"/>
        <item h="1" m="1" x="4835"/>
        <item h="1" m="1" x="1547"/>
        <item h="1" x="206"/>
        <item h="1" m="1" x="4600"/>
        <item h="1" m="1" x="4839"/>
        <item h="1" m="1" x="4842"/>
        <item h="1" m="1" x="4843"/>
        <item h="1" m="1" x="4846"/>
        <item h="1" m="1" x="4851"/>
        <item h="1" m="1" x="4852"/>
        <item h="1" m="1" x="4853"/>
        <item h="1" m="1" x="4562"/>
        <item h="1" m="1" x="4856"/>
        <item h="1" m="1" x="4857"/>
        <item h="1" m="1" x="4858"/>
        <item h="1" m="1" x="4859"/>
        <item h="1" m="1" x="4860"/>
        <item h="1" m="1" x="4216"/>
        <item h="1" m="1" x="4260"/>
        <item h="1" m="1" x="4863"/>
        <item h="1" m="1" x="4864"/>
        <item h="1" m="1" x="4865"/>
        <item h="1" m="1" x="4866"/>
        <item h="1" m="1" x="4867"/>
        <item h="1" m="1" x="4868"/>
        <item h="1" m="1" x="4869"/>
        <item h="1" m="1" x="4871"/>
        <item h="1" m="1" x="4872"/>
        <item h="1" m="1" x="4873"/>
        <item h="1" m="1" x="4874"/>
        <item h="1" m="1" x="4875"/>
        <item h="1" m="1" x="4876"/>
        <item h="1" m="1" x="4877"/>
        <item h="1" m="1" x="4878"/>
        <item h="1" m="1" x="4879"/>
        <item h="1" m="1" x="4372"/>
        <item h="1" m="1" x="4880"/>
        <item h="1" m="1" x="1414"/>
        <item h="1" m="1" x="4506"/>
        <item h="1" m="1" x="4508"/>
        <item h="1" m="1" x="4682"/>
        <item h="1" m="1" x="4882"/>
        <item h="1" m="1" x="4269"/>
        <item h="1" m="1" x="4883"/>
        <item h="1" m="1" x="4884"/>
        <item h="1" m="1" x="4681"/>
        <item h="1" m="1" x="4885"/>
        <item h="1" m="1" x="4236"/>
        <item h="1" m="1" x="4886"/>
        <item h="1" m="1" x="4887"/>
        <item h="1" m="1" x="4889"/>
        <item h="1" m="1" x="4890"/>
        <item h="1" m="1" x="4891"/>
        <item h="1" m="1" x="4892"/>
        <item h="1" m="1" x="4893"/>
        <item h="1" m="1" x="4894"/>
        <item h="1" m="1" x="4398"/>
        <item h="1" m="1" x="4895"/>
        <item h="1" m="1" x="4896"/>
        <item h="1" m="1" x="4897"/>
        <item h="1" m="1" x="4898"/>
        <item h="1" m="1" x="4899"/>
        <item h="1" m="1" x="4900"/>
        <item h="1" m="1" x="4901"/>
        <item h="1" m="1" x="4902"/>
        <item h="1" m="1" x="4745"/>
        <item h="1" m="1" x="4746"/>
        <item h="1" m="1" x="4747"/>
        <item h="1" m="1" x="4379"/>
        <item h="1" m="1" x="4904"/>
        <item h="1" m="1" x="4905"/>
        <item h="1" m="1" x="4906"/>
        <item h="1" m="1" x="4907"/>
        <item h="1" m="1" x="3784"/>
        <item h="1" m="1" x="4766"/>
        <item h="1" m="1" x="4712"/>
        <item h="1" m="1" x="4908"/>
        <item h="1" m="1" x="4215"/>
        <item h="1" m="1" x="4243"/>
        <item h="1" m="1" x="4909"/>
        <item h="1" m="1" x="4912"/>
        <item h="1" m="1" x="4667"/>
        <item h="1" m="1" x="4671"/>
        <item h="1" m="1" x="4672"/>
        <item h="1" m="1" x="4689"/>
        <item h="1" m="1" x="4690"/>
        <item h="1" m="1" x="4691"/>
        <item h="1" m="1" x="1906"/>
        <item h="1" m="1" x="782"/>
        <item h="1" m="1" x="781"/>
        <item h="1" m="1" x="4185"/>
        <item h="1" m="1" x="4695"/>
        <item h="1" m="1" x="4696"/>
        <item h="1" m="1" x="4329"/>
        <item h="1" m="1" x="4658"/>
        <item h="1" m="1" x="4698"/>
        <item h="1" m="1" x="4699"/>
        <item h="1" m="1" x="4703"/>
        <item h="1" m="1" x="3668"/>
        <item h="1" m="1" x="4477"/>
        <item h="1" m="1" x="4677"/>
        <item h="1" m="1" x="3158"/>
        <item h="1" m="1" x="3910"/>
        <item h="1" m="1" x="4705"/>
        <item h="1" m="1" x="4555"/>
        <item h="1" m="1" x="4556"/>
        <item h="1" m="1" x="4706"/>
        <item h="1" m="1" x="3594"/>
        <item h="1" m="1" x="4709"/>
        <item h="1" m="1" x="4563"/>
        <item h="1" m="1" x="4564"/>
        <item h="1" m="1" x="4565"/>
        <item h="1" m="1" x="3793"/>
        <item h="1" m="1" x="4713"/>
        <item h="1" m="1" x="4715"/>
        <item h="1" m="1" x="4716"/>
        <item h="1" m="1" x="4717"/>
        <item h="1" m="1" x="4393"/>
        <item h="1" m="1" x="4718"/>
        <item h="1" m="1" x="4720"/>
        <item h="1" m="1" x="4238"/>
        <item h="1" m="1" x="3726"/>
        <item h="1" m="1" x="4723"/>
        <item h="1" m="1" x="4724"/>
        <item h="1" m="1" x="4725"/>
        <item h="1" m="1" x="4726"/>
        <item h="1" m="1" x="4730"/>
        <item h="1" m="1" x="4731"/>
        <item h="1" m="1" x="4732"/>
        <item h="1" m="1" x="4733"/>
        <item h="1" m="1" x="4734"/>
        <item h="1" m="1" x="4735"/>
        <item h="1" m="1" x="4736"/>
        <item h="1" m="1" x="4738"/>
        <item h="1" m="1" x="4505"/>
        <item h="1" m="1" x="4739"/>
        <item h="1" m="1" x="4740"/>
        <item h="1" m="1" x="4741"/>
        <item h="1" m="1" x="4374"/>
        <item h="1" m="1" x="4748"/>
        <item h="1" m="1" x="3810"/>
        <item h="1" m="1" x="4528"/>
        <item h="1" m="1" x="4251"/>
        <item h="1" m="1" x="4751"/>
        <item h="1" m="1" x="4753"/>
        <item h="1" m="1" x="4754"/>
        <item h="1" m="1" x="4755"/>
        <item h="1" m="1" x="4756"/>
        <item h="1" m="1" x="4037"/>
        <item h="1" m="1" x="4758"/>
        <item h="1" m="1" x="4759"/>
        <item h="1" m="1" x="4760"/>
        <item h="1" m="1" x="4761"/>
        <item h="1" m="1" x="4762"/>
        <item h="1" m="1" x="4763"/>
        <item h="1" m="1" x="4764"/>
        <item h="1" m="1" x="4765"/>
        <item h="1" m="1" x="4767"/>
        <item h="1" m="1" x="4214"/>
        <item h="1" m="1" x="4768"/>
        <item h="1" m="1" x="4025"/>
        <item h="1" m="1" x="4775"/>
        <item h="1" m="1" x="4776"/>
        <item h="1" m="1" x="4184"/>
        <item h="1" m="1" x="4022"/>
        <item h="1" m="1" x="4607"/>
        <item h="1" m="1" x="4609"/>
        <item h="1" m="1" x="4234"/>
        <item h="1" m="1" x="4232"/>
        <item h="1" m="1" x="4233"/>
        <item h="1" m="1" x="4230"/>
        <item h="1" m="1" x="4231"/>
        <item h="1" m="1" x="4610"/>
        <item h="1" m="1" x="4611"/>
        <item h="1" m="1" x="4612"/>
        <item h="1" m="1" x="4613"/>
        <item h="1" m="1" x="4614"/>
        <item h="1" m="1" x="4257"/>
        <item h="1" m="1" x="4263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4624"/>
        <item h="1" m="1" x="4625"/>
        <item h="1" m="1" x="4626"/>
        <item h="1" m="1" x="4627"/>
        <item h="1" m="1" x="4628"/>
        <item h="1" m="1" x="4629"/>
        <item h="1" m="1" x="4630"/>
        <item h="1" m="1" x="4631"/>
        <item h="1" m="1" x="4632"/>
        <item h="1" m="1" x="4633"/>
        <item h="1" m="1" x="4634"/>
        <item h="1" m="1" x="4290"/>
        <item h="1" m="1" x="4636"/>
        <item h="1" m="1" x="4637"/>
        <item h="1" m="1" x="4638"/>
        <item h="1" m="1" x="4639"/>
        <item h="1" m="1" x="4640"/>
        <item h="1" m="1" x="4641"/>
        <item h="1" m="1" x="4642"/>
        <item h="1" m="1" x="4643"/>
        <item h="1" m="1" x="4644"/>
        <item h="1" m="1" x="4645"/>
        <item h="1" m="1" x="4646"/>
        <item h="1" m="1" x="4647"/>
        <item h="1" m="1" x="4648"/>
        <item h="1" m="1" x="4649"/>
        <item h="1" m="1" x="4305"/>
        <item h="1" m="1" x="4650"/>
        <item h="1" m="1" x="4651"/>
        <item h="1" m="1" x="4652"/>
        <item h="1" m="1" x="4653"/>
        <item h="1" m="1" x="4654"/>
        <item h="1" m="1" x="4180"/>
        <item h="1" m="1" x="4655"/>
        <item h="1" m="1" x="3667"/>
        <item h="1" m="1" x="4324"/>
        <item h="1" m="1" x="4325"/>
        <item h="1" m="1" x="4656"/>
        <item h="1" m="1" x="4657"/>
        <item h="1" m="1" x="4333"/>
        <item h="1" m="1" x="4659"/>
        <item h="1" m="1" x="4660"/>
        <item h="1" m="1" x="4661"/>
        <item h="1" m="1" x="4662"/>
        <item h="1" m="1" x="4663"/>
        <item h="1" m="1" x="4363"/>
        <item h="1" m="1" x="4664"/>
        <item h="1" m="1" x="3878"/>
        <item h="1" m="1" x="4665"/>
        <item h="1" m="1" x="4391"/>
        <item h="1" m="1" x="4396"/>
        <item h="1" m="1" x="4399"/>
        <item h="1" m="1" x="4407"/>
        <item h="1" m="1" x="3761"/>
        <item h="1" m="1" x="4075"/>
        <item h="1" m="1" x="3771"/>
        <item h="1" m="1" x="4673"/>
        <item h="1" m="1" x="4474"/>
        <item h="1" m="1" x="4475"/>
        <item h="1" m="1" x="4480"/>
        <item h="1" m="1" x="4482"/>
        <item h="1" m="1" x="4678"/>
        <item h="1" m="1" x="2636"/>
        <item h="1" m="1" x="4680"/>
        <item h="1" m="1" x="4497"/>
        <item h="1" m="1" x="4504"/>
        <item h="1" m="1" x="4507"/>
        <item h="1" m="1" x="4521"/>
        <item h="1" m="1" x="4108"/>
        <item h="1" m="1" x="4683"/>
        <item h="1" m="1" x="4560"/>
        <item h="1" m="1" x="4559"/>
        <item h="1" m="1" x="4558"/>
        <item h="1" m="1" x="4569"/>
        <item h="1" m="1" x="4575"/>
        <item h="1" m="1" x="4579"/>
        <item h="1" m="1" x="1574"/>
        <item h="1" m="1" x="4685"/>
        <item h="1" m="1" x="4592"/>
        <item h="1" m="1" x="4596"/>
        <item h="1" m="1" x="1623"/>
        <item h="1" m="1" x="4687"/>
        <item h="1" m="1" x="4602"/>
        <item h="1" m="1" x="4603"/>
        <item h="1" m="1" x="992"/>
        <item h="1" m="1" x="4235"/>
        <item h="1" m="1" x="4237"/>
        <item h="1" m="1" x="4148"/>
        <item h="1" m="1" x="4254"/>
        <item h="1" m="1" x="4255"/>
        <item h="1" m="1" x="2071"/>
        <item h="1" m="1" x="4273"/>
        <item h="1" m="1" x="4274"/>
        <item h="1" m="1" x="4275"/>
        <item h="1" m="1" x="4276"/>
        <item h="1" m="1" x="4277"/>
        <item h="1" m="1" x="4278"/>
        <item h="1" m="1" x="4279"/>
        <item h="1" m="1" x="4280"/>
        <item h="1" m="1" x="4281"/>
        <item h="1" m="1" x="4282"/>
        <item h="1" m="1" x="4283"/>
        <item h="1" m="1" x="1919"/>
        <item h="1" m="1" x="4284"/>
        <item h="1" m="1" x="4285"/>
        <item h="1" m="1" x="4286"/>
        <item h="1" m="1" x="4287"/>
        <item h="1" m="1" x="4288"/>
        <item h="1" m="1" x="4289"/>
        <item h="1" m="1" x="4291"/>
        <item h="1" m="1" x="4292"/>
        <item h="1" m="1" x="4293"/>
        <item h="1" m="1" x="4294"/>
        <item h="1" m="1" x="4295"/>
        <item h="1" m="1" x="4296"/>
        <item h="1" m="1" x="2086"/>
        <item h="1" m="1" x="4297"/>
        <item h="1" m="1" x="4298"/>
        <item h="1" m="1" x="4299"/>
        <item h="1" m="1" x="4300"/>
        <item h="1" m="1" x="4301"/>
        <item h="1" m="1" x="4302"/>
        <item h="1" m="1" x="4303"/>
        <item h="1" m="1" x="4304"/>
        <item h="1" m="1" x="3387"/>
        <item h="1" m="1" x="4311"/>
        <item h="1" m="1" x="4312"/>
        <item h="1" m="1" x="4313"/>
        <item h="1" m="1" x="4319"/>
        <item h="1" m="1" x="3869"/>
        <item h="1" m="1" x="4187"/>
        <item h="1" m="1" x="3666"/>
        <item h="1" m="1" x="4327"/>
        <item h="1" m="1" x="4344"/>
        <item h="1" m="1" x="4345"/>
        <item h="1" m="1" x="4016"/>
        <item h="1" m="1" x="780"/>
        <item h="1" m="1" x="4365"/>
        <item h="1" m="1" x="4367"/>
        <item h="1" m="1" x="4368"/>
        <item h="1" m="1" x="4390"/>
        <item h="1" m="1" x="4395"/>
        <item h="1" m="1" x="4401"/>
        <item h="1" m="1" x="4417"/>
        <item h="1" m="1" x="4418"/>
        <item h="1" m="1" x="4419"/>
        <item h="1" m="1" x="4447"/>
        <item h="1" m="1" x="3765"/>
        <item h="1" m="1" x="3766"/>
        <item h="1" m="1" x="4456"/>
        <item h="1" m="1" x="4468"/>
        <item h="1" m="1" x="1972"/>
        <item h="1" m="1" x="4473"/>
        <item h="1" m="1" x="2779"/>
        <item h="1" m="1" x="4478"/>
        <item h="1" m="1" x="4479"/>
        <item h="1" m="1" x="4481"/>
        <item h="1" m="1" x="4483"/>
        <item h="1" m="1" x="4484"/>
        <item h="1" m="1" x="4485"/>
        <item h="1" m="1" x="4496"/>
        <item h="1" m="1" x="4096"/>
        <item h="1" m="1" x="4498"/>
        <item h="1" m="1" x="4499"/>
        <item h="1" m="1" x="4500"/>
        <item h="1" m="1" x="4501"/>
        <item h="1" m="1" x="4502"/>
        <item h="1" m="1" x="4509"/>
        <item h="1" m="1" x="4513"/>
        <item h="1" m="1" x="4514"/>
        <item h="1" m="1" x="4515"/>
        <item h="1" m="1" x="4516"/>
        <item h="1" m="1" x="4517"/>
        <item h="1" x="428"/>
        <item h="1" m="1" x="4529"/>
        <item h="1" m="1" x="4531"/>
        <item h="1" m="1" x="4015"/>
        <item h="1" m="1" x="3673"/>
        <item h="1" m="1" x="4542"/>
        <item h="1" m="1" x="4545"/>
        <item h="1" m="1" x="4566"/>
        <item h="1" m="1" x="4567"/>
        <item h="1" m="1" x="4571"/>
        <item h="1" m="1" x="4572"/>
        <item h="1" m="1" x="4573"/>
        <item h="1" m="1" x="4574"/>
        <item h="1" m="1" x="3806"/>
        <item h="1" m="1" x="4577"/>
        <item h="1" m="1" x="4597"/>
        <item h="1" m="1" x="4599"/>
        <item h="1" m="1" x="4137"/>
        <item h="1" m="1" x="4138"/>
        <item h="1" m="1" x="4139"/>
        <item h="1" m="1" x="4140"/>
        <item h="1" m="1" x="3665"/>
        <item h="1" m="1" x="4141"/>
        <item h="1" m="1" x="4142"/>
        <item h="1" m="1" x="4143"/>
        <item h="1" m="1" x="4144"/>
        <item h="1" m="1" x="4145"/>
        <item h="1" m="1" x="4146"/>
        <item h="1" m="1" x="4149"/>
        <item h="1" m="1" x="4150"/>
        <item h="1" m="1" x="4151"/>
        <item h="1" m="1" x="4153"/>
        <item h="1" m="1" x="4154"/>
        <item h="1" m="1" x="4155"/>
        <item h="1" m="1" x="4156"/>
        <item h="1" m="1" x="4157"/>
        <item h="1" m="1" x="4158"/>
        <item h="1" m="1" x="3406"/>
        <item h="1" m="1" x="4159"/>
        <item h="1" m="1" x="4160"/>
        <item h="1" m="1" x="4161"/>
        <item h="1" m="1" x="4162"/>
        <item h="1" m="1" x="4163"/>
        <item h="1" m="1" x="4164"/>
        <item h="1" m="1" x="4166"/>
        <item h="1" m="1" x="4167"/>
        <item h="1" m="1" x="4168"/>
        <item h="1" m="1" x="4169"/>
        <item h="1" m="1" x="4170"/>
        <item h="1" m="1" x="4171"/>
        <item h="1" m="1" x="4172"/>
        <item h="1" m="1" x="4173"/>
        <item h="1" m="1" x="4174"/>
        <item h="1" m="1" x="4175"/>
        <item h="1" m="1" x="4176"/>
        <item h="1" m="1" x="4177"/>
        <item h="1" m="1" x="4178"/>
        <item h="1" m="1" x="4179"/>
        <item h="1" m="1" x="3849"/>
        <item h="1" m="1" x="3626"/>
        <item h="1" m="1" x="4186"/>
        <item h="1" m="1" x="4188"/>
        <item h="1" m="1" x="4189"/>
        <item h="1" m="1" x="4190"/>
        <item h="1" m="1" x="4191"/>
        <item h="1" m="1" x="4063"/>
        <item h="1" m="1" x="4071"/>
        <item h="1" m="1" x="4068"/>
        <item h="1" m="1" x="4194"/>
        <item h="1" m="1" x="4074"/>
        <item h="1" m="1" x="3764"/>
        <item h="1" m="1" x="4078"/>
        <item h="1" m="1" x="3884"/>
        <item h="1" m="1" x="3888"/>
        <item h="1" m="1" x="3889"/>
        <item h="1" m="1" x="3890"/>
        <item h="1" m="1" x="4081"/>
        <item h="1" m="1" x="4082"/>
        <item h="1" m="1" x="4083"/>
        <item h="1" m="1" x="4088"/>
        <item h="1" m="1" x="4094"/>
        <item h="1" m="1" x="4091"/>
        <item h="1" m="1" x="4199"/>
        <item h="1" m="1" x="4200"/>
        <item h="1" m="1" x="4201"/>
        <item h="1" m="1" x="4202"/>
        <item h="1" m="1" x="4203"/>
        <item h="1" x="264"/>
        <item h="1" m="1" x="4205"/>
        <item h="1" m="1" x="4206"/>
        <item h="1" m="1" x="4107"/>
        <item h="1" m="1" x="4106"/>
        <item h="1" m="1" x="4208"/>
        <item h="1" m="1" x="4209"/>
        <item h="1" m="1" x="4210"/>
        <item h="1" m="1" x="4109"/>
        <item h="1" m="1" x="3912"/>
        <item h="1" m="1" x="3913"/>
        <item h="1" m="1" x="4111"/>
        <item h="1" m="1" x="4114"/>
        <item h="1" m="1" x="3916"/>
        <item h="1" m="1" x="3917"/>
        <item h="1" m="1" x="4119"/>
        <item h="1" m="1" x="4118"/>
        <item h="1" m="1" x="4121"/>
        <item h="1" m="1" x="4127"/>
        <item h="1" m="1" x="4014"/>
        <item h="1" m="1" x="1247"/>
        <item h="1" m="1" x="3593"/>
        <item h="1" m="1" x="2637"/>
        <item h="1" m="1" x="4128"/>
        <item h="1" m="1" x="4013"/>
        <item h="1" m="1" x="4012"/>
        <item h="1" m="1" x="4211"/>
        <item h="1" m="1" x="4212"/>
        <item h="1" m="1" x="3677"/>
        <item h="1" m="1" x="3436"/>
        <item h="1" m="1" x="4020"/>
        <item h="1" m="1" x="3683"/>
        <item h="1" m="1" x="3684"/>
        <item h="1" m="1" x="3687"/>
        <item h="1" m="1" x="4021"/>
        <item h="1" m="1" x="4023"/>
        <item h="1" m="1" x="3846"/>
        <item h="1" m="1" x="4024"/>
        <item h="1" m="1" x="4026"/>
        <item h="1" m="1" x="4027"/>
        <item h="1" m="1" x="4028"/>
        <item h="1" m="1" x="4029"/>
        <item h="1" m="1" x="4030"/>
        <item h="1" m="1" x="4007"/>
        <item h="1" m="1" x="4031"/>
        <item h="1" m="1" x="4006"/>
        <item h="1" m="1" x="3395"/>
        <item h="1" m="1" x="4032"/>
        <item h="1" m="1" x="4033"/>
        <item h="1" m="1" x="4034"/>
        <item h="1" m="1" x="4035"/>
        <item h="1" m="1" x="3507"/>
        <item h="1" m="1" x="4036"/>
        <item h="1" m="1" x="4038"/>
        <item h="1" m="1" x="4011"/>
        <item h="1" m="1" x="3095"/>
        <item h="1" m="1" x="4039"/>
        <item h="1" m="1" x="4040"/>
        <item h="1" m="1" x="4042"/>
        <item h="1" m="1" x="4004"/>
        <item h="1" m="1" x="4043"/>
        <item h="1" m="1" x="4044"/>
        <item h="1" m="1" x="4045"/>
        <item h="1" m="1" x="4046"/>
        <item h="1" m="1" x="4047"/>
        <item h="1" m="1" x="4048"/>
        <item h="1" m="1" x="4050"/>
        <item h="1" m="1" x="4051"/>
        <item h="1" m="1" x="3702"/>
        <item h="1" m="1" x="4053"/>
        <item h="1" m="1" x="4054"/>
        <item h="1" m="1" x="4055"/>
        <item h="1" m="1" x="4056"/>
        <item h="1" m="1" x="4057"/>
        <item h="1" m="1" x="4009"/>
        <item h="1" m="1" x="4008"/>
        <item h="1" m="1" x="4058"/>
        <item h="1" m="1" x="4059"/>
        <item h="1" m="1" x="4060"/>
        <item h="1" m="1" x="3868"/>
        <item h="1" m="1" x="4005"/>
        <item h="1" m="1" x="4061"/>
        <item h="1" m="1" x="4010"/>
        <item h="1" m="1" x="3875"/>
        <item h="1" m="1" x="2635"/>
        <item h="1" m="1" x="4062"/>
        <item h="1" m="1" x="4064"/>
        <item h="1" m="1" x="4065"/>
        <item h="1" m="1" x="4066"/>
        <item h="1" m="1" x="3737"/>
        <item h="1" m="1" x="4072"/>
        <item h="1" m="1" x="4076"/>
        <item h="1" m="1" x="4077"/>
        <item h="1" m="1" x="3769"/>
        <item h="1" m="1" x="4079"/>
        <item h="1" m="1" x="3773"/>
        <item h="1" m="1" x="4080"/>
        <item h="1" m="1" x="4084"/>
        <item h="1" m="1" x="4085"/>
        <item h="1" m="1" x="4086"/>
        <item h="1" m="1" x="4087"/>
        <item h="1" m="1" x="4089"/>
        <item h="1" m="1" x="4090"/>
        <item h="1" m="1" x="4093"/>
        <item h="1" m="1" x="1276"/>
        <item h="1" m="1" x="4095"/>
        <item h="1" m="1" x="3662"/>
        <item h="1" m="1" x="4097"/>
        <item h="1" m="1" x="4098"/>
        <item h="1" m="1" x="4099"/>
        <item h="1" m="1" x="4100"/>
        <item h="1" m="1" x="4101"/>
        <item h="1" m="1" x="4102"/>
        <item h="1" m="1" x="4103"/>
        <item h="1" m="1" x="4104"/>
        <item h="1" m="1" x="1429"/>
        <item h="1" m="1" x="3789"/>
        <item h="1" m="1" x="3790"/>
        <item h="1" m="1" x="4110"/>
        <item h="1" m="1" x="4112"/>
        <item h="1" m="1" x="4113"/>
        <item h="1" m="1" x="4116"/>
        <item h="1" m="1" x="4117"/>
        <item h="1" m="1" x="4120"/>
        <item h="1" m="1" x="3178"/>
        <item h="1" m="1" x="4122"/>
        <item h="1" m="1" x="4123"/>
        <item h="1" m="1" x="4124"/>
        <item h="1" m="1" x="4125"/>
        <item h="1" m="1" x="4126"/>
        <item h="1" m="1" x="4129"/>
        <item h="1" m="1" x="4130"/>
        <item h="1" m="1" x="4131"/>
        <item h="1" m="1" x="4132"/>
        <item h="1" m="1" x="4133"/>
        <item h="1" m="1" x="4134"/>
        <item h="1" m="1" x="4135"/>
        <item h="1" m="1" x="4136"/>
        <item h="1" m="1" x="3982"/>
        <item h="1" m="1" x="3685"/>
        <item h="1" m="1" x="3960"/>
        <item h="1" m="1" x="3843"/>
        <item h="1" m="1" x="3625"/>
        <item h="1" m="1" x="3959"/>
        <item h="1" m="1" x="3692"/>
        <item h="1" m="1" x="3850"/>
        <item h="1" m="1" x="3934"/>
        <item h="1" m="1" x="3938"/>
        <item h="1" m="1" x="3998"/>
        <item h="1" m="1" x="3992"/>
        <item h="1" m="1" x="3991"/>
        <item h="1" m="1" x="3978"/>
        <item h="1" m="1" x="3990"/>
        <item h="1" m="1" x="3989"/>
        <item h="1" m="1" x="3988"/>
        <item h="1" m="1" x="3987"/>
        <item h="1" m="1" x="3986"/>
        <item h="1" m="1" x="4003"/>
        <item h="1" m="1" x="4002"/>
        <item h="1" m="1" x="4001"/>
        <item h="1" m="1" x="3970"/>
        <item h="1" m="1" x="3969"/>
        <item h="1" m="1" x="3999"/>
        <item h="1" m="1" x="1762"/>
        <item h="1" m="1" x="3967"/>
        <item h="1" m="1" x="3965"/>
        <item h="1" m="1" x="3976"/>
        <item h="1" m="1" x="3975"/>
        <item h="1" m="1" x="3973"/>
        <item h="1" m="1" x="3974"/>
        <item h="1" m="1" x="3701"/>
        <item h="1" m="1" x="3972"/>
        <item h="1" m="1" x="3971"/>
        <item h="1" m="1" x="3981"/>
        <item h="1" m="1" x="3980"/>
        <item h="1" m="1" x="3979"/>
        <item h="1" m="1" x="3957"/>
        <item h="1" m="1" x="3956"/>
        <item h="1" m="1" x="3955"/>
        <item h="1" m="1" x="3939"/>
        <item h="1" m="1" x="3718"/>
        <item h="1" m="1" x="2148"/>
        <item h="1" m="1" x="3949"/>
        <item h="1" m="1" x="3719"/>
        <item h="1" m="1" x="3866"/>
        <item h="1" m="1" x="3954"/>
        <item h="1" m="1" x="3953"/>
        <item h="1" m="1" x="3964"/>
        <item h="1" m="1" x="3963"/>
        <item h="1" m="1" x="3962"/>
        <item h="1" m="1" x="3961"/>
        <item h="1" m="1" x="3952"/>
        <item h="1" m="1" x="3951"/>
        <item h="1" m="1" x="3661"/>
        <item h="1" m="1" x="3874"/>
        <item h="1" m="1" x="3984"/>
        <item h="1" m="1" x="3993"/>
        <item h="1" m="1" x="3877"/>
        <item h="1" m="1" x="3739"/>
        <item h="1" m="1" x="3742"/>
        <item h="1" m="1" x="1339"/>
        <item h="1" m="1" x="3881"/>
        <item h="1" m="1" x="3933"/>
        <item h="1" m="1" x="3937"/>
        <item h="1" m="1" x="3772"/>
        <item h="1" m="1" x="3948"/>
        <item h="1" m="1" x="3947"/>
        <item h="1" m="1" x="3946"/>
        <item h="1" m="1" x="3945"/>
        <item h="1" m="1" x="3997"/>
        <item h="1" m="1" x="3996"/>
        <item h="1" m="1" x="3901"/>
        <item h="1" m="1" x="3900"/>
        <item h="1" m="1" x="2963"/>
        <item h="1" m="1" x="3899"/>
        <item h="1" m="1" x="3994"/>
        <item h="1" m="1" x="991"/>
        <item h="1" m="1" x="3935"/>
        <item h="1" m="1" x="3966"/>
        <item h="1" m="1" x="3786"/>
        <item h="1" m="1" x="3785"/>
        <item h="1" m="1" x="3958"/>
        <item h="1" m="1" x="4000"/>
        <item h="1" m="1" x="3908"/>
        <item h="1" m="1" x="3792"/>
        <item h="1" m="1" x="3660"/>
        <item h="1" m="1" x="3985"/>
        <item h="1" m="1" x="3943"/>
        <item h="1" m="1" x="3942"/>
        <item h="1" m="1" x="3995"/>
        <item h="1" m="1" x="3659"/>
        <item h="1" m="1" x="3941"/>
        <item h="1" m="1" x="3919"/>
        <item h="1" m="1" x="3932"/>
        <item h="1" m="1" x="3807"/>
        <item h="1" m="1" x="3592"/>
        <item h="1" m="1" x="3950"/>
        <item h="1" m="1" x="2134"/>
        <item h="1" m="1" x="3676"/>
        <item h="1" m="1" x="3682"/>
        <item h="1" m="1" x="3815"/>
        <item h="1" m="1" x="3816"/>
        <item h="1" m="1" x="3817"/>
        <item h="1" m="1" x="3818"/>
        <item h="1" m="1" x="3819"/>
        <item h="1" m="1" x="2079"/>
        <item h="1" m="1" x="3821"/>
        <item h="1" m="1" x="3822"/>
        <item h="1" m="1" x="3823"/>
        <item h="1" m="1" x="3824"/>
        <item h="1" m="1" x="3825"/>
        <item h="1" m="1" x="2074"/>
        <item h="1" m="1" x="3826"/>
        <item h="1" m="1" x="3827"/>
        <item h="1" m="1" x="3828"/>
        <item h="1" m="1" x="3829"/>
        <item h="1" m="1" x="3830"/>
        <item h="1" m="1" x="3831"/>
        <item h="1" m="1" x="3832"/>
        <item h="1" m="1" x="3833"/>
        <item h="1" m="1" x="3834"/>
        <item h="1" m="1" x="3835"/>
        <item h="1" m="1" x="3836"/>
        <item h="1" m="1" x="3837"/>
        <item h="1" m="1" x="3838"/>
        <item h="1" m="1" x="3839"/>
        <item h="1" m="1" x="3840"/>
        <item h="1" m="1" x="3841"/>
        <item h="1" m="1" x="3842"/>
        <item h="1" m="1" x="3844"/>
        <item h="1" m="1" x="3845"/>
        <item h="1" m="1" x="1527"/>
        <item h="1" m="1" x="3694"/>
        <item h="1" m="1" x="3627"/>
        <item h="1" m="1" x="3634"/>
        <item h="1" m="1" x="3847"/>
        <item h="1" m="1" x="3848"/>
        <item h="1" m="1" x="2425"/>
        <item h="1" m="1" x="3700"/>
        <item h="1" m="1" x="3851"/>
        <item h="1" m="1" x="3852"/>
        <item h="1" m="1" x="3853"/>
        <item h="1" m="1" x="3854"/>
        <item h="1" m="1" x="3855"/>
        <item h="1" m="1" x="3856"/>
        <item h="1" m="1" x="3857"/>
        <item h="1" m="1" x="3858"/>
        <item h="1" m="1" x="3699"/>
        <item h="1" m="1" x="3859"/>
        <item h="1" m="1" x="3695"/>
        <item h="1" m="1" x="3860"/>
        <item h="1" m="1" x="3696"/>
        <item h="1" m="1" x="3861"/>
        <item h="1" m="1" x="3862"/>
        <item h="1" m="1" x="3863"/>
        <item h="1" m="1" x="3864"/>
        <item h="1" m="1" x="3865"/>
        <item h="1" m="1" x="3697"/>
        <item h="1" m="1" x="3698"/>
        <item h="1" m="1" x="3459"/>
        <item h="1" m="1" x="1621"/>
        <item h="1" m="1" x="1619"/>
        <item h="1" m="1" x="3628"/>
        <item h="1" m="1" x="706"/>
        <item h="1" m="1" x="3867"/>
        <item h="1" m="1" x="3871"/>
        <item h="1" m="1" x="3872"/>
        <item h="1" m="1" x="3655"/>
        <item h="1" m="1" x="3732"/>
        <item h="1" m="1" x="3733"/>
        <item h="1" m="1" x="3734"/>
        <item h="1" m="1" x="3735"/>
        <item h="1" m="1" x="2640"/>
        <item h="1" m="1" x="3879"/>
        <item h="1" m="1" x="3740"/>
        <item h="1" m="1" x="3880"/>
        <item h="1" m="1" x="3746"/>
        <item h="1" m="1" x="3747"/>
        <item h="1" m="1" x="3748"/>
        <item h="1" m="1" x="3749"/>
        <item h="1" m="1" x="3759"/>
        <item h="1" m="1" x="3302"/>
        <item h="1" m="1" x="3763"/>
        <item h="1" m="1" x="3885"/>
        <item h="1" m="1" x="3892"/>
        <item h="1" m="1" x="3893"/>
        <item h="1" m="1" x="3894"/>
        <item h="1" m="1" x="3898"/>
        <item h="1" m="1" x="755"/>
        <item h="1" m="1" x="3902"/>
        <item h="1" m="1" x="3778"/>
        <item h="1" m="1" x="2222"/>
        <item h="1" m="1" x="3782"/>
        <item h="1" m="1" x="3165"/>
        <item h="1" m="1" x="1565"/>
        <item h="1" m="1" x="3905"/>
        <item h="1" m="1" x="3906"/>
        <item h="1" m="1" x="3791"/>
        <item h="1" m="1" x="3914"/>
        <item h="1" m="1" x="3794"/>
        <item h="1" m="1" x="3915"/>
        <item h="1" m="1" x="3795"/>
        <item h="1" m="1" x="3799"/>
        <item h="1" m="1" x="3805"/>
        <item h="1" m="1" x="3801"/>
        <item h="1" m="1" x="3802"/>
        <item h="1" m="1" x="3803"/>
        <item h="1" m="1" x="3804"/>
        <item h="1" m="1" x="3920"/>
        <item h="1" m="1" x="3921"/>
        <item h="1" m="1" x="3494"/>
        <item h="1" m="1" x="3922"/>
        <item h="1" m="1" x="3923"/>
        <item h="1" m="1" x="3924"/>
        <item h="1" m="1" x="3926"/>
        <item h="1" m="1" x="3928"/>
        <item h="1" m="1" x="3929"/>
        <item h="1" m="1" x="3930"/>
        <item h="1" m="1" x="3931"/>
        <item h="1" m="1" x="3337"/>
        <item h="1" m="1" x="3813"/>
        <item h="1" m="1" x="3814"/>
        <item h="1" m="1" x="3642"/>
        <item h="1" m="1" x="3674"/>
        <item h="1" m="1" x="3675"/>
        <item h="1" m="1" x="3193"/>
        <item h="1" m="1" x="3678"/>
        <item h="1" m="1" x="3679"/>
        <item h="1" m="1" x="3680"/>
        <item h="1" m="1" x="3663"/>
        <item h="1" m="1" x="3686"/>
        <item h="1" m="1" x="3640"/>
        <item h="1" m="1" x="3689"/>
        <item h="1" m="1" x="3690"/>
        <item h="1" m="1" x="3691"/>
        <item h="1" m="1" x="3639"/>
        <item h="1" m="1" x="3693"/>
        <item h="1" m="1" x="3658"/>
        <item h="1" m="1" x="3703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712"/>
        <item h="1" m="1" x="3713"/>
        <item h="1" m="1" x="3714"/>
        <item h="1" m="1" x="3715"/>
        <item h="1" m="1" x="3716"/>
        <item h="1" m="1" x="3647"/>
        <item h="1" m="1" x="3717"/>
        <item h="1" m="1" x="3720"/>
        <item h="1" m="1" x="3670"/>
        <item h="1" m="1" x="1224"/>
        <item h="1" m="1" x="1225"/>
        <item h="1" m="1" x="1223"/>
        <item h="1" m="1" x="3722"/>
        <item h="1" m="1" x="3723"/>
        <item h="1" m="1" x="3724"/>
        <item h="1" m="1" x="3725"/>
        <item h="1" m="1" x="3649"/>
        <item h="1" m="1" x="3648"/>
        <item h="1" m="1" x="3653"/>
        <item h="1" m="1" x="3652"/>
        <item h="1" m="1" x="3730"/>
        <item h="1" m="1" x="3638"/>
        <item h="1" m="1" x="1726"/>
        <item h="1" m="1" x="3731"/>
        <item h="1" m="1" x="3736"/>
        <item h="1" m="1" x="2139"/>
        <item h="1" m="1" x="3738"/>
        <item h="1" m="1" x="779"/>
        <item h="1" m="1" x="3148"/>
        <item h="1" m="1" x="3741"/>
        <item h="1" m="1" x="3743"/>
        <item h="1" m="1" x="3744"/>
        <item h="1" m="1" x="3745"/>
        <item h="1" m="1" x="3750"/>
        <item h="1" m="1" x="3751"/>
        <item h="1" m="1" x="3752"/>
        <item h="1" m="1" x="3477"/>
        <item h="1" m="1" x="3754"/>
        <item h="1" m="1" x="3480"/>
        <item h="1" m="1" x="3762"/>
        <item h="1" m="1" x="3770"/>
        <item h="1" m="1" x="3774"/>
        <item h="1" m="1" x="3776"/>
        <item h="1" x="159"/>
        <item h="1" m="1" x="3777"/>
        <item h="1" m="1" x="3284"/>
        <item h="1" m="1" x="3779"/>
        <item h="1" m="1" x="3780"/>
        <item h="1" m="1" x="3657"/>
        <item h="1" m="1" x="3656"/>
        <item h="1" m="1" x="3573"/>
        <item h="1" m="1" x="1836"/>
        <item h="1" m="1" x="3163"/>
        <item h="1" m="1" x="3781"/>
        <item h="1" m="1" x="3783"/>
        <item h="1" m="1" x="3160"/>
        <item h="1" m="1" x="1566"/>
        <item h="1" m="1" x="3788"/>
        <item h="1" m="1" x="3489"/>
        <item h="1" m="1" x="3490"/>
        <item h="1" m="1" x="3641"/>
        <item h="1" m="1" x="2786"/>
        <item h="1" m="1" x="3796"/>
        <item h="1" m="1" x="3797"/>
        <item h="1" m="1" x="3798"/>
        <item h="1" m="1" x="3305"/>
        <item h="1" m="1" x="3800"/>
        <item h="1" m="1" x="3323"/>
        <item h="1" m="1" x="3435"/>
        <item h="1" m="1" x="3434"/>
        <item h="1" m="1" x="3811"/>
        <item h="1" m="1" x="3812"/>
        <item h="1" m="1" x="2395"/>
        <item h="1" m="1" x="3191"/>
        <item h="1" m="1" x="3617"/>
        <item h="1" m="1" x="3606"/>
        <item h="1" m="1" x="3607"/>
        <item h="1" m="1" x="3084"/>
        <item h="1" m="1" x="2258"/>
        <item h="1" m="1" x="3624"/>
        <item h="1" m="1" x="3651"/>
        <item h="1" m="1" x="3615"/>
        <item h="1" m="1" x="3635"/>
        <item h="1" m="1" x="3345"/>
        <item h="1" m="1" x="3616"/>
        <item h="1" m="1" x="3610"/>
        <item h="1" m="1" x="3612"/>
        <item h="1" m="1" x="3637"/>
        <item h="1" m="1" x="3622"/>
        <item h="1" m="1" x="3524"/>
        <item h="1" m="1" x="3525"/>
        <item h="1" m="1" x="3618"/>
        <item h="1" m="1" x="3608"/>
        <item h="1" m="1" x="3521"/>
        <item h="1" m="1" x="3611"/>
        <item h="1" m="1" x="3613"/>
        <item h="1" m="1" x="3650"/>
        <item h="1" m="1" x="3541"/>
        <item h="1" m="1" x="3545"/>
        <item h="1" m="1" x="3475"/>
        <item h="1" m="1" x="2781"/>
        <item h="1" m="1" x="2782"/>
        <item h="1" m="1" x="3542"/>
        <item h="1" m="1" x="3543"/>
        <item h="1" m="1" x="2789"/>
        <item h="1" m="1" x="3549"/>
        <item h="1" m="1" x="3623"/>
        <item h="1" m="1" x="3614"/>
        <item h="1" m="1" x="3630"/>
        <item h="1" m="1" x="3609"/>
        <item h="1" m="1" x="3632"/>
        <item h="1" m="1" x="3631"/>
        <item h="1" x="270"/>
        <item h="1" m="1" x="3560"/>
        <item h="1" m="1" x="3559"/>
        <item h="1" m="1" x="3562"/>
        <item h="1" m="1" x="3431"/>
        <item h="1" m="1" x="3629"/>
        <item h="1" m="1" x="3621"/>
        <item h="1" m="1" x="3671"/>
        <item h="1" m="1" x="3568"/>
        <item h="1" m="1" x="1401"/>
        <item h="1" m="1" x="1402"/>
        <item h="1" m="1" x="3042"/>
        <item h="1" m="1" x="3575"/>
        <item h="1" m="1" x="3574"/>
        <item h="1" m="1" x="3643"/>
        <item h="1" m="1" x="1948"/>
        <item h="1" m="1" x="1835"/>
        <item h="1" m="1" x="3033"/>
        <item h="1" m="1" x="2784"/>
        <item h="1" m="1" x="1469"/>
        <item h="1" m="1" x="2785"/>
        <item h="1" m="1" x="3578"/>
        <item h="1" m="1" x="3579"/>
        <item h="1" m="1" x="3580"/>
        <item h="1" m="1" x="3582"/>
        <item h="1" m="1" x="3583"/>
        <item h="1" m="1" x="3318"/>
        <item h="1" m="1" x="3588"/>
        <item h="1" m="1" x="3589"/>
        <item h="1" m="1" x="3590"/>
        <item h="1" m="1" x="3591"/>
        <item h="1" m="1" x="3432"/>
        <item h="1" m="1" x="3645"/>
        <item h="1" m="1" x="3644"/>
        <item h="1" m="1" x="3595"/>
        <item h="1" m="1" x="3596"/>
        <item h="1" m="1" x="3597"/>
        <item h="1" m="1" x="3620"/>
        <item h="1" m="1" x="3619"/>
        <item h="1" m="1" x="3633"/>
        <item h="1" m="1" x="3599"/>
        <item h="1" m="1" x="3601"/>
        <item h="1" m="1" x="3602"/>
        <item h="1" m="1" x="2406"/>
        <item h="1" m="1" x="3603"/>
        <item h="1" m="1" x="3604"/>
        <item h="1" m="1" x="3333"/>
        <item h="1" m="1" x="3340"/>
        <item h="1" m="1" x="3600"/>
        <item h="1" m="1" x="3496"/>
        <item h="1" m="1" x="3497"/>
        <item h="1" m="1" x="3498"/>
        <item h="1" m="1" x="3499"/>
        <item h="1" m="1" x="3501"/>
        <item h="1" m="1" x="1180"/>
        <item h="1" m="1" x="1181"/>
        <item h="1" m="1" x="3503"/>
        <item h="1" m="1" x="3504"/>
        <item h="1" m="1" x="3505"/>
        <item h="1" m="1" x="3506"/>
        <item h="1" m="1" x="3508"/>
        <item h="1" m="1" x="3452"/>
        <item h="1" m="1" x="3453"/>
        <item h="1" m="1" x="3510"/>
        <item h="1" m="1" x="3511"/>
        <item h="1" m="1" x="3512"/>
        <item h="1" m="1" x="3513"/>
        <item h="1" m="1" x="3202"/>
        <item h="1" m="1" x="3097"/>
        <item h="1" m="1" x="3514"/>
        <item h="1" m="1" x="3515"/>
        <item h="1" m="1" x="3516"/>
        <item h="1" m="1" x="3518"/>
        <item h="1" m="1" x="3519"/>
        <item h="1" m="1" x="3096"/>
        <item h="1" m="1" x="3522"/>
        <item h="1" m="1" x="3523"/>
        <item h="1" m="1" x="3526"/>
        <item h="1" m="1" x="3527"/>
        <item h="1" m="1" x="3528"/>
        <item h="1" m="1" x="3448"/>
        <item h="1" m="1" x="3449"/>
        <item h="1" m="1" x="3529"/>
        <item h="1" m="1" x="3098"/>
        <item h="1" m="1" x="3530"/>
        <item h="1" m="1" x="3531"/>
        <item h="1" m="1" x="3532"/>
        <item h="1" m="1" x="3534"/>
        <item h="1" m="1" x="3535"/>
        <item h="1" m="1" x="3538"/>
        <item h="1" m="1" x="3539"/>
        <item h="1" m="1" x="3540"/>
        <item h="1" m="1" x="2796"/>
        <item h="1" m="1" x="3544"/>
        <item h="1" m="1" x="3547"/>
        <item h="1" m="1" x="3548"/>
        <item h="1" m="1" x="3265"/>
        <item h="1" m="1" x="3429"/>
        <item h="1" m="1" x="3550"/>
        <item h="1" m="1" x="3551"/>
        <item h="1" m="1" x="3552"/>
        <item h="1" m="1" x="3553"/>
        <item h="1" m="1" x="3554"/>
        <item h="1" m="1" x="3555"/>
        <item h="1" m="1" x="3556"/>
        <item h="1" m="1" x="3557"/>
        <item h="1" m="1" x="3558"/>
        <item h="1" m="1" x="1351"/>
        <item h="1" m="1" x="1352"/>
        <item h="1" m="1" x="3476"/>
        <item h="1" m="1" x="3561"/>
        <item h="1" m="1" x="1248"/>
        <item h="1" m="1" x="3563"/>
        <item h="1" m="1" x="3564"/>
        <item h="1" m="1" x="3565"/>
        <item h="1" m="1" x="3566"/>
        <item h="1" m="1" x="3567"/>
        <item h="1" m="1" x="3486"/>
        <item h="1" m="1" x="3280"/>
        <item h="1" m="1" x="3283"/>
        <item h="1" m="1" x="1399"/>
        <item h="1" m="1" x="2461"/>
        <item h="1" m="1" x="3569"/>
        <item h="1" m="1" x="3570"/>
        <item h="1" m="1" x="3571"/>
        <item h="1" x="369"/>
        <item h="1" m="1" x="3159"/>
        <item h="1" m="1" x="3430"/>
        <item h="1" m="1" x="3034"/>
        <item h="1" m="1" x="1944"/>
        <item h="1" m="1" x="1834"/>
        <item h="1" m="1" x="2180"/>
        <item h="1" m="1" x="3169"/>
        <item h="1" m="1" x="3576"/>
        <item h="1" m="1" x="3577"/>
        <item h="1" x="83"/>
        <item h="1" m="1" x="2027"/>
        <item h="1" m="1" x="2802"/>
        <item h="1" m="1" x="3581"/>
        <item h="1" m="1" x="3584"/>
        <item h="1" m="1" x="3493"/>
        <item h="1" m="1" x="3585"/>
        <item h="1" m="1" x="3586"/>
        <item h="1" m="1" x="3587"/>
        <item h="1" m="1" x="3183"/>
        <item h="1" m="1" x="3598"/>
        <item h="1" m="1" x="1205"/>
        <item h="1" m="1" x="1738"/>
        <item h="1" m="1" x="1739"/>
        <item h="1" m="1" x="3605"/>
        <item h="1" m="1" x="3437"/>
        <item h="1" m="1" x="3438"/>
        <item h="1" m="1" x="3195"/>
        <item h="1" m="1" x="776"/>
        <item h="1" m="1" x="3439"/>
        <item h="1" m="1" x="3440"/>
        <item h="1" m="1" x="3441"/>
        <item h="1" m="1" x="3442"/>
        <item h="1" m="1" x="3443"/>
        <item h="1" m="1" x="3444"/>
        <item h="1" m="1" x="3445"/>
        <item h="1" m="1" x="3100"/>
        <item h="1" m="1" x="3446"/>
        <item h="1" m="1" x="3447"/>
        <item h="1" m="1" x="3450"/>
        <item h="1" m="1" x="3451"/>
        <item h="1" m="1" x="3099"/>
        <item h="1" m="1" x="3454"/>
        <item h="1" m="1" x="3455"/>
        <item h="1" m="1" x="3457"/>
        <item h="1" m="1" x="3458"/>
        <item h="1" m="1" x="3460"/>
        <item h="1" m="1" x="3461"/>
        <item h="1" m="1" x="3462"/>
        <item h="1" m="1" x="3463"/>
        <item h="1" x="349"/>
        <item h="1" m="1" x="3236"/>
        <item h="1" m="1" x="3465"/>
        <item h="1" m="1" x="3466"/>
        <item h="1" m="1" x="3467"/>
        <item h="1" m="1" x="3468"/>
        <item h="1" m="1" x="3469"/>
        <item h="1" m="1" x="3470"/>
        <item h="1" m="1" x="3471"/>
        <item h="1" m="1" x="3472"/>
        <item h="1" m="1" x="1250"/>
        <item h="1" m="1" x="2798"/>
        <item h="1" m="1" x="3248"/>
        <item h="1" m="1" x="3254"/>
        <item h="1" m="1" x="3252"/>
        <item h="1" m="1" x="3255"/>
        <item h="1" m="1" x="3257"/>
        <item h="1" m="1" x="3258"/>
        <item h="1" m="1" x="470"/>
        <item h="1" m="1" x="1259"/>
        <item h="1" m="1" x="3423"/>
        <item h="1" m="1" x="3478"/>
        <item h="1" m="1" x="3482"/>
        <item h="1" m="1" x="3483"/>
        <item h="1" m="1" x="3421"/>
        <item h="1" m="1" x="3419"/>
        <item h="1" m="1" x="3425"/>
        <item h="1" m="1" x="3422"/>
        <item h="1" m="1" x="3424"/>
        <item h="1" m="1" x="3484"/>
        <item h="1" m="1" x="3277"/>
        <item h="1" m="1" x="2718"/>
        <item h="1" m="1" x="3279"/>
        <item h="1" m="1" x="3281"/>
        <item h="1" m="1" x="3420"/>
        <item h="1" m="1" x="3289"/>
        <item h="1" m="1" x="3487"/>
        <item h="1" m="1" x="3348"/>
        <item h="1" m="1" x="1853"/>
        <item h="1" m="1" x="3035"/>
        <item h="1" m="1" x="3426"/>
        <item h="1" m="1" x="3040"/>
        <item h="1" m="1" x="3296"/>
        <item h="1" m="1" x="1443"/>
        <item h="1" m="1" x="3488"/>
        <item h="1" m="1" x="3491"/>
        <item h="1" m="1" x="3492"/>
        <item h="1" m="1" x="3307"/>
        <item h="1" m="1" x="3308"/>
        <item h="1" m="1" x="3309"/>
        <item h="1" m="1" x="3310"/>
        <item h="1" m="1" x="3314"/>
        <item h="1" m="1" x="3315"/>
        <item h="1" m="1" x="3319"/>
        <item h="1" m="1" x="3418"/>
        <item h="1" m="1" x="3427"/>
        <item h="1" m="1" x="2049"/>
        <item h="1" m="1" x="3495"/>
        <item h="1" m="1" x="3327"/>
        <item h="1" m="1" x="3339"/>
        <item h="1" m="1" x="3417"/>
        <item h="1" m="1" x="3338"/>
        <item h="1" m="1" x="3331"/>
        <item h="1" m="1" x="3332"/>
        <item h="1" m="1" x="1518"/>
        <item h="1" m="1" x="2040"/>
        <item h="1" m="1" x="1725"/>
        <item h="1" m="1" x="3336"/>
        <item h="1" m="1" x="3400"/>
        <item h="1" m="1" x="3200"/>
        <item h="1" m="1" x="3199"/>
        <item h="1" m="1" x="3344"/>
        <item h="1" m="1" x="3196"/>
        <item h="1" m="1" x="3197"/>
        <item h="1" m="1" x="3198"/>
        <item h="1" m="1" x="3410"/>
        <item h="1" m="1" x="3349"/>
        <item h="1" m="1" x="1141"/>
        <item h="1" m="1" x="3407"/>
        <item h="1" m="1" x="3416"/>
        <item h="1" m="1" x="1441"/>
        <item h="1" m="1" x="3211"/>
        <item h="1" m="1" x="3353"/>
        <item h="1" m="1" x="3352"/>
        <item h="1" m="1" x="3351"/>
        <item h="1" m="1" x="3350"/>
        <item h="1" m="1" x="3212"/>
        <item h="1" m="1" x="3343"/>
        <item h="1" m="1" x="3342"/>
        <item h="1" m="1" x="3341"/>
        <item h="1" m="1" x="3213"/>
        <item h="1" m="1" x="3210"/>
        <item h="1" m="1" x="3209"/>
        <item h="1" m="1" x="3356"/>
        <item h="1" m="1" x="3370"/>
        <item h="1" m="1" x="3380"/>
        <item h="1" m="1" x="3206"/>
        <item h="1" m="1" x="3381"/>
        <item h="1" m="1" x="3208"/>
        <item h="1" m="1" x="2735"/>
        <item h="1" m="1" x="3207"/>
        <item h="1" m="1" x="3390"/>
        <item h="1" m="1" x="3389"/>
        <item h="1" m="1" x="3388"/>
        <item h="1" m="1" x="3386"/>
        <item h="1" m="1" x="3409"/>
        <item h="1" m="1" x="3411"/>
        <item h="1" m="1" x="3203"/>
        <item h="1" m="1" x="3408"/>
        <item h="1" m="1" x="3415"/>
        <item h="1" m="1" x="3414"/>
        <item h="1" m="1" x="3413"/>
        <item h="1" m="1" x="3204"/>
        <item h="1" m="1" x="3401"/>
        <item h="1" m="1" x="3396"/>
        <item h="1" m="1" x="3397"/>
        <item h="1" m="1" x="3205"/>
        <item h="1" m="1" x="3394"/>
        <item h="1" m="1" x="3378"/>
        <item h="1" m="1" x="3379"/>
        <item h="1" m="1" x="3369"/>
        <item h="1" m="1" x="3368"/>
        <item h="1" m="1" x="3374"/>
        <item h="1" m="1" x="3405"/>
        <item h="1" m="1" x="3237"/>
        <item h="1" m="1" x="3241"/>
        <item h="1" m="1" x="3355"/>
        <item h="1" m="1" x="2645"/>
        <item h="1" m="1" x="2315"/>
        <item h="1" m="1" x="3385"/>
        <item h="1" m="1" x="3384"/>
        <item h="1" m="1" x="3256"/>
        <item h="1" m="1" x="3249"/>
        <item h="1" m="1" x="3347"/>
        <item h="1" m="1" x="3250"/>
        <item h="1" m="1" x="1252"/>
        <item h="1" m="1" x="3366"/>
        <item h="1" m="1" x="3264"/>
        <item h="1" m="1" x="3262"/>
        <item h="1" m="1" x="1280"/>
        <item h="1" m="1" x="3404"/>
        <item h="1" m="1" x="3403"/>
        <item h="1" m="1" x="3402"/>
        <item h="1" m="1" x="3361"/>
        <item h="1" m="1" x="2264"/>
        <item h="1" m="1" x="3269"/>
        <item h="1" m="1" x="451"/>
        <item h="1" m="1" x="3358"/>
        <item h="1" m="1" x="1373"/>
        <item h="1" m="1" x="3399"/>
        <item h="1" m="1" x="3382"/>
        <item h="1" m="1" x="3359"/>
        <item h="1" m="1" x="3398"/>
        <item h="1" m="1" x="3367"/>
        <item h="1" m="1" x="2400"/>
        <item h="1" m="1" x="2372"/>
        <item h="1" m="1" x="1391"/>
        <item h="1" m="1" x="3278"/>
        <item h="1" m="1" x="2003"/>
        <item h="1" m="1" x="2647"/>
        <item h="1" m="1" x="3286"/>
        <item h="1" m="1" x="3392"/>
        <item h="1" m="1" x="3282"/>
        <item h="1" m="1" x="3285"/>
        <item h="1" m="1" x="1405"/>
        <item h="1" m="1" x="1404"/>
        <item h="1" m="1" x="553"/>
        <item h="1" m="1" x="3293"/>
        <item h="1" m="1" x="1413"/>
        <item h="1" m="1" x="1668"/>
        <item h="1" m="1" x="2179"/>
        <item h="1" m="1" x="554"/>
        <item h="1" m="1" x="555"/>
        <item h="1" m="1" x="556"/>
        <item h="1" m="1" x="3041"/>
        <item h="1" m="1" x="3412"/>
        <item h="1" m="1" x="2544"/>
        <item h="1" m="1" x="3297"/>
        <item h="1" m="1" x="3171"/>
        <item h="1" m="1" x="3298"/>
        <item h="1" m="1" x="3299"/>
        <item h="1" m="1" x="3300"/>
        <item h="1" m="1" x="3383"/>
        <item h="1" m="1" x="3301"/>
        <item h="1" m="1" x="2800"/>
        <item h="1" m="1" x="3346"/>
        <item h="1" m="1" x="3376"/>
        <item h="1" m="1" x="3375"/>
        <item h="1" m="1" x="3363"/>
        <item h="1" m="1" x="3362"/>
        <item h="1" m="1" x="802"/>
        <item h="1" m="1" x="3313"/>
        <item h="1" m="1" x="3304"/>
        <item h="1" m="1" x="3306"/>
        <item h="1" m="1" x="3320"/>
        <item h="1" m="1" x="3321"/>
        <item h="1" m="1" x="3316"/>
        <item h="1" m="1" x="3393"/>
        <item h="1" m="1" x="3182"/>
        <item h="1" m="1" x="3365"/>
        <item h="1" m="1" x="3364"/>
        <item h="1" m="1" x="1653"/>
        <item h="1" m="1" x="3373"/>
        <item h="1" m="1" x="3335"/>
        <item h="1" m="1" x="3372"/>
        <item h="1" m="1" x="3329"/>
        <item h="1" m="1" x="3330"/>
        <item h="1" m="1" x="2020"/>
        <item h="1" m="1" x="3371"/>
        <item h="1" m="1" x="3328"/>
        <item h="1" m="1" x="3077"/>
        <item h="1" m="1" x="3194"/>
        <item h="1" m="1" x="1524"/>
        <item h="1" m="1" x="1525"/>
        <item h="1" m="1" x="3214"/>
        <item h="1" m="1" x="3215"/>
        <item h="1" m="1" x="3216"/>
        <item h="1" m="1" x="3217"/>
        <item h="1" m="1" x="3219"/>
        <item h="1" m="1" x="3220"/>
        <item h="1" m="1" x="3221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2835"/>
        <item h="1" m="1" x="3235"/>
        <item h="1" m="1" x="3128"/>
        <item h="1" m="1" x="3129"/>
        <item h="1" m="1" x="3238"/>
        <item h="1" m="1" x="3239"/>
        <item h="1" m="1" x="3240"/>
        <item h="1" m="1" x="3242"/>
        <item h="1" m="1" x="3244"/>
        <item h="1" m="1" x="2319"/>
        <item h="1" m="1" x="2318"/>
        <item h="1" m="1" x="3136"/>
        <item h="1" m="1" x="3137"/>
        <item h="1" m="1" x="3135"/>
        <item h="1" m="1" x="534"/>
        <item h="1" m="1" x="3143"/>
        <item h="1" m="1" x="2646"/>
        <item h="1" m="1" x="533"/>
        <item h="1" m="1" x="518"/>
        <item h="1" m="1" x="2799"/>
        <item h="1" m="1" x="2803"/>
        <item h="1" m="1" x="3251"/>
        <item h="1" m="1" x="3253"/>
        <item h="1" m="1" x="3144"/>
        <item h="1" m="1" x="477"/>
        <item h="1" m="1" x="480"/>
        <item h="1" m="1" x="479"/>
        <item h="1" m="1" x="3259"/>
        <item h="1" m="1" x="3260"/>
        <item h="1" m="1" x="2792"/>
        <item h="1" m="1" x="1258"/>
        <item h="1" m="1" x="3261"/>
        <item h="1" m="1" x="3009"/>
        <item h="1" m="1" x="2793"/>
        <item h="1" m="1" x="2794"/>
        <item h="1" m="1" x="3147"/>
        <item h="1" m="1" x="1323"/>
        <item h="1" m="1" x="1322"/>
        <item h="1" m="1" x="1314"/>
        <item h="1" m="1" x="1320"/>
        <item h="1" m="1" x="1321"/>
        <item h="1" m="1" x="1308"/>
        <item h="1" m="1" x="1309"/>
        <item h="1" m="1" x="1334"/>
        <item h="1" m="1" x="1326"/>
        <item h="1" m="1" x="1327"/>
        <item h="1" m="1" x="1325"/>
        <item h="1" m="1" x="1328"/>
        <item h="1" m="1" x="1329"/>
        <item h="1" m="1" x="1324"/>
        <item h="1" m="1" x="1289"/>
        <item h="1" m="1" x="1293"/>
        <item h="1" m="1" x="1290"/>
        <item h="1" m="1" x="1291"/>
        <item h="1" m="1" x="1292"/>
        <item h="1" m="1" x="1294"/>
        <item h="1" m="1" x="1295"/>
        <item h="1" m="1" x="1296"/>
        <item h="1" m="1" x="2795"/>
        <item h="1" m="1" x="3266"/>
        <item h="1" m="1" x="3267"/>
        <item h="1" m="1" x="3268"/>
        <item h="1" m="1" x="1372"/>
        <item h="1" m="1" x="3274"/>
        <item h="1" m="1" x="3275"/>
        <item h="1" m="1" x="3276"/>
        <item h="1" m="1" x="1390"/>
        <item h="1" m="1" x="2171"/>
        <item h="1" m="1" x="2172"/>
        <item h="1" m="1" x="3288"/>
        <item h="1" m="1" x="3290"/>
        <item h="1" m="1" x="3157"/>
        <item h="1" m="1" x="3291"/>
        <item h="1" m="1" x="3292"/>
        <item h="1" m="1" x="1403"/>
        <item h="1" m="1" x="1660"/>
        <item h="1" m="1" x="3294"/>
        <item h="1" m="1" x="1947"/>
        <item h="1" m="1" x="1838"/>
        <item h="1" m="1" x="3164"/>
        <item h="1" m="1" x="3036"/>
        <item h="1" m="1" x="3037"/>
        <item h="1" m="1" x="2545"/>
        <item h="1" m="1" x="3303"/>
        <item h="1" m="1" x="3311"/>
        <item h="1" m="1" x="3312"/>
        <item h="1" m="1" x="3317"/>
        <item h="1" m="1" x="3322"/>
        <item h="1" m="1" x="1720"/>
        <item h="1" m="1" x="1721"/>
        <item h="1" m="1" x="3181"/>
        <item h="1" m="1" x="3185"/>
        <item h="1" m="1" x="3326"/>
        <item h="1" m="1" x="2469"/>
        <item h="1" m="1" x="3334"/>
        <item h="1" m="1" x="3066"/>
        <item h="1" m="1" x="3073"/>
        <item h="1" m="1" x="3074"/>
        <item h="1" m="1" x="3075"/>
        <item h="1" m="1" x="3076"/>
        <item h="1" m="1" x="3078"/>
        <item h="1" m="1" x="3079"/>
        <item h="1" m="1" x="3080"/>
        <item h="1" m="1" x="3081"/>
        <item h="1" m="1" x="3082"/>
        <item h="1" m="1" x="3083"/>
        <item h="1" m="1" x="3085"/>
        <item h="1" m="1" x="3086"/>
        <item h="1" m="1" x="3087"/>
        <item h="1" m="1" x="3089"/>
        <item h="1" m="1" x="3090"/>
        <item h="1" m="1" x="2675"/>
        <item h="1" m="1" x="3091"/>
        <item h="1" m="1" x="3092"/>
        <item h="1" m="1" x="3093"/>
        <item h="1" m="1" x="3094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9"/>
        <item h="1" m="1" x="3110"/>
        <item h="1" m="1" x="3111"/>
        <item h="1" m="1" x="3112"/>
        <item h="1" m="1" x="3113"/>
        <item h="1" m="1" x="3114"/>
        <item h="1" m="1" x="3115"/>
        <item h="1" m="1" x="3116"/>
        <item h="1" m="1" x="3117"/>
        <item h="1" m="1" x="3118"/>
        <item h="1" m="1" x="3119"/>
        <item h="1" m="1" x="3120"/>
        <item h="1" m="1" x="3121"/>
        <item h="1" m="1" x="3123"/>
        <item h="1" m="1" x="3124"/>
        <item h="1" m="1" x="3127"/>
        <item h="1" m="1" x="3131"/>
        <item h="1" m="1" x="1034"/>
        <item h="1" m="1" x="3132"/>
        <item h="1" m="1" x="3133"/>
        <item h="1" m="1" x="3134"/>
        <item h="1" m="1" x="3138"/>
        <item h="1" m="1" x="3139"/>
        <item h="1" m="1" x="3142"/>
        <item h="1" m="1" x="2814"/>
        <item h="1" m="1" x="2998"/>
        <item h="1" m="1" x="2317"/>
        <item h="1" m="1" x="3002"/>
        <item h="1" m="1" x="3145"/>
        <item h="1" m="1" x="3146"/>
        <item h="1" m="1" x="2316"/>
        <item h="1" m="1" x="2807"/>
        <item h="1" m="1" x="2808"/>
        <item h="1" m="1" x="2809"/>
        <item h="1" m="1" x="2810"/>
        <item h="1" m="1" x="3004"/>
        <item h="1" m="1" x="3005"/>
        <item h="1" m="1" x="2811"/>
        <item h="1" m="1" x="1287"/>
        <item h="1" m="1" x="1288"/>
        <item h="1" m="1" x="1284"/>
        <item h="1" m="1" x="1285"/>
        <item h="1" m="1" x="1286"/>
        <item h="1" m="1" x="3149"/>
        <item h="1" m="1" x="3150"/>
        <item h="1" m="1" x="2547"/>
        <item h="1" m="1" x="3151"/>
        <item h="1" m="1" x="3152"/>
        <item h="1" m="1" x="3153"/>
        <item h="1" m="1" x="442"/>
        <item h="1" m="1" x="3154"/>
        <item h="1" m="1" x="3155"/>
        <item h="1" m="1" x="1371"/>
        <item h="1" m="1" x="3020"/>
        <item h="1" m="1" x="3021"/>
        <item h="1" m="1" x="3024"/>
        <item h="1" m="1" x="3156"/>
        <item h="1" m="1" x="2660"/>
        <item h="1" m="1" x="1657"/>
        <item h="1" x="148"/>
        <item h="1" m="1" x="3029"/>
        <item h="1" m="1" x="3030"/>
        <item h="1" m="1" x="3031"/>
        <item h="1" m="1" x="3032"/>
        <item h="1" m="1" x="3162"/>
        <item h="1" m="1" x="1983"/>
        <item h="1" m="1" x="3166"/>
        <item h="1" m="1" x="3167"/>
        <item h="1" m="1" x="3170"/>
        <item h="1" m="1" x="3172"/>
        <item h="1" m="1" x="3174"/>
        <item h="1" m="1" x="3175"/>
        <item h="1" m="1" x="3176"/>
        <item h="1" m="1" x="631"/>
        <item h="1" m="1" x="3058"/>
        <item h="1" m="1" x="2828"/>
        <item h="1" m="1" x="3060"/>
        <item h="1" x="254"/>
        <item h="1" m="1" x="777"/>
        <item h="1" m="1" x="1722"/>
        <item h="1" m="1" x="3186"/>
        <item h="1" m="1" x="3187"/>
        <item h="1" m="1" x="3188"/>
        <item h="1" m="1" x="3189"/>
        <item h="1" m="1" x="3190"/>
        <item h="1" m="1" x="2017"/>
        <item h="1" m="1" x="3072"/>
        <item h="1" m="1" x="1519"/>
        <item h="1" m="1" x="3065"/>
        <item h="1" m="1" x="2823"/>
        <item h="1" m="1" x="3071"/>
        <item h="1" m="1" x="3067"/>
        <item h="1" m="1" x="2279"/>
        <item h="1" m="1" x="2280"/>
        <item h="1" m="1" x="2839"/>
        <item h="1" m="1" x="2932"/>
        <item h="1" m="1" x="749"/>
        <item h="1" m="1" x="2933"/>
        <item h="1" m="1" x="2934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1169"/>
        <item h="1" m="1" x="2556"/>
        <item h="1" m="1" x="2946"/>
        <item h="1" m="1" x="2947"/>
        <item h="1" m="1" x="2948"/>
        <item h="1" m="1" x="2949"/>
        <item h="1" m="1" x="2190"/>
        <item h="1" m="1" x="2191"/>
        <item h="1" m="1" x="1915"/>
        <item h="1" m="1" x="2950"/>
        <item h="1" m="1" x="2656"/>
        <item h="1" m="1" x="2951"/>
        <item h="1" m="1" x="2952"/>
        <item h="1" m="1" x="2677"/>
        <item h="1" m="1" x="2953"/>
        <item h="1" m="1" x="2954"/>
        <item h="1" m="1" x="2955"/>
        <item h="1" m="1" x="2956"/>
        <item h="1" m="1" x="2561"/>
        <item h="1" m="1" x="2957"/>
        <item h="1" m="1" x="2958"/>
        <item h="1" m="1" x="2959"/>
        <item h="1" m="1" x="2960"/>
        <item h="1" m="1" x="2961"/>
        <item h="1" m="1" x="2962"/>
        <item h="1" m="1" x="2964"/>
        <item h="1" m="1" x="2966"/>
        <item h="1" m="1" x="2967"/>
        <item h="1" m="1" x="2968"/>
        <item h="1" m="1" x="2969"/>
        <item h="1" m="1" x="2970"/>
        <item h="1" m="1" x="2971"/>
        <item h="1" m="1" x="2972"/>
        <item h="1" m="1" x="2973"/>
        <item h="1" m="1" x="2974"/>
        <item h="1" m="1" x="2976"/>
        <item h="1" m="1" x="2977"/>
        <item h="1" m="1" x="2832"/>
        <item h="1" m="1" x="2978"/>
        <item h="1" m="1" x="2979"/>
        <item h="1" m="1" x="2833"/>
        <item h="1" m="1" x="2980"/>
        <item h="1" m="1" x="2981"/>
        <item h="1" m="1" x="2982"/>
        <item h="1" m="1" x="2349"/>
        <item h="1" m="1" x="2837"/>
        <item h="1" m="1" x="2836"/>
        <item h="1" m="1" x="2983"/>
        <item h="1" m="1" x="2546"/>
        <item h="1" m="1" x="2984"/>
        <item h="1" m="1" x="2985"/>
        <item h="1" m="1" x="2649"/>
        <item h="1" m="1" x="2986"/>
        <item h="1" m="1" x="2987"/>
        <item h="1" m="1" x="2988"/>
        <item h="1" m="1" x="2989"/>
        <item h="1" m="1" x="1231"/>
        <item h="1" m="1" x="1230"/>
        <item h="1" m="1" x="1229"/>
        <item h="1" m="1" x="2838"/>
        <item h="1" m="1" x="2990"/>
        <item h="1" m="1" x="2991"/>
        <item h="1" m="1" x="1235"/>
        <item h="1" m="1" x="2994"/>
        <item h="1" m="1" x="2996"/>
        <item h="1" m="1" x="2657"/>
        <item h="1" m="1" x="2999"/>
        <item h="1" m="1" x="1544"/>
        <item h="1" m="1" x="3003"/>
        <item h="1" m="1" x="478"/>
        <item h="1" m="1" x="3006"/>
        <item h="1" m="1" x="3007"/>
        <item h="1" m="1" x="3008"/>
        <item h="1" m="1" x="3010"/>
        <item h="1" m="1" x="3011"/>
        <item h="1" m="1" x="2667"/>
        <item h="1" x="129"/>
        <item h="1" m="1" x="3013"/>
        <item h="1" m="1" x="3014"/>
        <item h="1" m="1" x="1331"/>
        <item h="1" m="1" x="1315"/>
        <item h="1" m="1" x="1316"/>
        <item h="1" m="1" x="3015"/>
        <item h="1" m="1" x="2650"/>
        <item h="1" m="1" x="3016"/>
        <item h="1" m="1" x="2805"/>
        <item h="1" m="1" x="3017"/>
        <item h="1" m="1" x="2321"/>
        <item h="1" m="1" x="3018"/>
        <item h="1" m="1" x="3019"/>
        <item h="1" m="1" x="2559"/>
        <item h="1" m="1" x="2840"/>
        <item h="1" m="1" x="3022"/>
        <item h="1" m="1" x="3023"/>
        <item h="1" m="1" x="3025"/>
        <item h="1" m="1" x="2659"/>
        <item h="1" m="1" x="2231"/>
        <item h="1" m="1" x="1400"/>
        <item h="1" m="1" x="3028"/>
        <item h="1" m="1" x="3043"/>
        <item h="1" m="1" x="2178"/>
        <item h="1" m="1" x="3046"/>
        <item h="1" m="1" x="751"/>
        <item h="1" m="1" x="3047"/>
        <item h="1" m="1" x="2815"/>
        <item h="1" m="1" x="3048"/>
        <item h="1" m="1" x="2816"/>
        <item h="1" m="1" x="2817"/>
        <item h="1" m="1" x="1732"/>
        <item h="1" m="1" x="3049"/>
        <item h="1" m="1" x="3050"/>
        <item h="1" m="1" x="3051"/>
        <item h="1" m="1" x="3052"/>
        <item h="1" m="1" x="3053"/>
        <item h="1" m="1" x="3054"/>
        <item h="1" m="1" x="3055"/>
        <item h="1" m="1" x="3056"/>
        <item h="1" m="1" x="3057"/>
        <item h="1" m="1" x="3061"/>
        <item h="1" m="1" x="3062"/>
        <item h="1" m="1" x="2818"/>
        <item h="1" m="1" x="2663"/>
        <item h="1" m="1" x="3063"/>
        <item h="1" m="1" x="2664"/>
        <item h="1" m="1" x="2662"/>
        <item h="1" m="1" x="2661"/>
        <item h="1" m="1" x="2265"/>
        <item h="1" m="1" x="2266"/>
        <item h="1" m="1" x="2821"/>
        <item h="1" m="1" x="1734"/>
        <item h="1" m="1" x="1727"/>
        <item h="1" m="1" x="3068"/>
        <item h="1" m="1" x="3069"/>
        <item h="1" m="1" x="3070"/>
        <item h="1" m="1" x="627"/>
        <item h="1" m="1" x="2224"/>
        <item h="1" m="1" x="500"/>
        <item h="1" m="1" x="1949"/>
        <item h="1" m="1" x="1847"/>
        <item h="1" m="1" x="2654"/>
        <item h="1" m="1" x="1848"/>
        <item h="1" m="1" x="2337"/>
        <item h="1" m="1" x="1850"/>
        <item h="1" m="1" x="2819"/>
        <item h="1" m="1" x="2820"/>
        <item h="1" m="1" x="2824"/>
        <item h="1" m="1" x="2825"/>
        <item h="1" m="1" x="2826"/>
        <item h="1" m="1" x="2827"/>
        <item h="1" m="1" x="2669"/>
        <item h="1" m="1" x="2070"/>
        <item h="1" m="1" x="666"/>
        <item h="1" m="1" x="1416"/>
        <item h="1" m="1" x="1411"/>
        <item h="1" m="1" x="1415"/>
        <item h="1" m="1" x="2829"/>
        <item h="1" m="1" x="2831"/>
        <item h="1" m="1" x="1410"/>
        <item h="1" m="1" x="2499"/>
        <item h="1" m="1" x="2681"/>
        <item h="1" m="1" x="2680"/>
        <item h="1" m="1" x="2834"/>
        <item h="1" m="1" x="766"/>
        <item h="1" m="1" x="1946"/>
        <item h="1" m="1" x="1945"/>
        <item h="1" m="1" x="2205"/>
        <item h="1" m="1" x="2841"/>
        <item h="1" m="1" x="2842"/>
        <item h="1" m="1" x="2843"/>
        <item h="1" m="1" x="1468"/>
        <item h="1" m="1" x="2845"/>
        <item h="1" m="1" x="2846"/>
        <item h="1" m="1" x="2848"/>
        <item h="1" m="1" x="2849"/>
        <item h="1" m="1" x="2325"/>
        <item h="1" m="1" x="2850"/>
        <item h="1" m="1" x="1222"/>
        <item h="1" m="1" x="2851"/>
        <item h="1" m="1" x="2852"/>
        <item h="1" m="1" x="2651"/>
        <item h="1" m="1" x="2853"/>
        <item h="1" m="1" x="2856"/>
        <item h="1" m="1" x="2857"/>
        <item h="1" m="1" x="2858"/>
        <item h="1" m="1" x="2329"/>
        <item h="1" m="1" x="2330"/>
        <item h="1" m="1" x="2331"/>
        <item h="1" m="1" x="2332"/>
        <item h="1" m="1" x="2859"/>
        <item h="1" m="1" x="2334"/>
        <item h="1" m="1" x="2860"/>
        <item h="1" m="1" x="2861"/>
        <item h="1" m="1" x="2655"/>
        <item h="1" m="1" x="2335"/>
        <item h="1" m="1" x="2336"/>
        <item h="1" m="1" x="2862"/>
        <item h="1" m="1" x="2863"/>
        <item h="1" m="1" x="2553"/>
        <item h="1" m="1" x="2554"/>
        <item h="1" m="1" x="2573"/>
        <item h="1" m="1" x="2864"/>
        <item h="1" m="1" x="535"/>
        <item h="1" m="1" x="2865"/>
        <item h="1" m="1" x="2866"/>
        <item h="1" m="1" x="2176"/>
        <item h="1" m="1" x="2867"/>
        <item h="1" m="1" x="2868"/>
        <item h="1" m="1" x="2869"/>
        <item h="1" m="1" x="2870"/>
        <item h="1" m="1" x="2871"/>
        <item h="1" m="1" x="1045"/>
        <item h="1" m="1" x="2873"/>
        <item h="1" m="1" x="2875"/>
        <item h="1" m="1" x="2876"/>
        <item h="1" m="1" x="2877"/>
        <item h="1" m="1" x="2878"/>
        <item h="1" m="1" x="2879"/>
        <item h="1" m="1" x="1674"/>
        <item h="1" m="1" x="2880"/>
        <item h="1" m="1" x="2881"/>
        <item h="1" m="1" x="2882"/>
        <item h="1" m="1" x="2682"/>
        <item h="1" m="1" x="2883"/>
        <item h="1" m="1" x="2884"/>
        <item h="1" m="1" x="2885"/>
        <item h="1" m="1" x="2886"/>
        <item h="1" m="1" x="2887"/>
        <item h="1" m="1" x="2551"/>
        <item h="1" m="1" x="2888"/>
        <item h="1" m="1" x="2668"/>
        <item h="1" m="1" x="2671"/>
        <item h="1" m="1" x="2670"/>
        <item h="1" m="1" x="2558"/>
        <item h="1" m="1" x="2673"/>
        <item h="1" m="1" x="1336"/>
        <item h="1" m="1" x="1227"/>
        <item h="1" m="1" x="1226"/>
        <item h="1" m="1" x="1440"/>
        <item h="1" m="1" x="2676"/>
        <item h="1" m="1" x="2889"/>
        <item h="1" m="1" x="1281"/>
        <item h="1" m="1" x="1282"/>
        <item h="1" m="1" x="1904"/>
        <item h="1" m="1" x="2890"/>
        <item h="1" m="1" x="2892"/>
        <item h="1" m="1" x="2893"/>
        <item h="1" m="1" x="2894"/>
        <item h="1" m="1" x="1283"/>
        <item h="1" m="1" x="2093"/>
        <item h="1" m="1" x="2895"/>
        <item h="1" m="1" x="2286"/>
        <item h="1" m="1" x="1421"/>
        <item h="1" m="1" x="2897"/>
        <item h="1" m="1" x="2102"/>
        <item h="1" m="1" x="2103"/>
        <item h="1" m="1" x="2104"/>
        <item h="1" m="1" x="2106"/>
        <item h="1" m="1" x="2107"/>
        <item h="1" m="1" x="2898"/>
        <item h="1" m="1" x="2899"/>
        <item h="1" m="1" x="2110"/>
        <item h="1" m="1" x="2115"/>
        <item h="1" m="1" x="2113"/>
        <item h="1" m="1" x="2114"/>
        <item h="1" m="1" x="2111"/>
        <item h="1" m="1" x="2112"/>
        <item h="1" m="1" x="2900"/>
        <item h="1" m="1" x="2562"/>
        <item h="1" m="1" x="2901"/>
        <item h="1" m="1" x="2902"/>
        <item h="1" m="1" x="2903"/>
        <item h="1" m="1" x="2904"/>
        <item h="1" m="1" x="2905"/>
        <item h="1" m="1" x="2679"/>
        <item h="1" m="1" x="2678"/>
        <item h="1" m="1" x="2906"/>
        <item h="1" m="1" x="2131"/>
        <item h="1" m="1" x="2907"/>
        <item h="1" m="1" x="2350"/>
        <item h="1" m="1" x="2352"/>
        <item h="1" m="1" x="2351"/>
        <item h="1" m="1" x="2775"/>
        <item h="1" m="1" x="2910"/>
        <item h="1" m="1" x="1562"/>
        <item h="1" m="1" x="2912"/>
        <item h="1" m="1" x="2913"/>
        <item h="1" m="1" x="2914"/>
        <item h="1" m="1" x="2915"/>
        <item h="1" m="1" x="2916"/>
        <item h="1" m="1" x="2918"/>
        <item h="1" m="1" x="1350"/>
        <item h="1" m="1" x="2919"/>
        <item h="1" m="1" x="2920"/>
        <item h="1" m="1" x="2921"/>
        <item h="1" m="1" x="2922"/>
        <item h="1" m="1" x="2923"/>
        <item h="1" m="1" x="2924"/>
        <item h="1" m="1" x="2765"/>
        <item h="1" m="1" x="2925"/>
        <item h="1" m="1" x="2926"/>
        <item h="1" m="1" x="2927"/>
        <item h="1" m="1" x="2928"/>
        <item h="1" m="1" x="2930"/>
        <item h="1" m="1" x="2931"/>
        <item h="1" m="1" x="947"/>
        <item h="1" m="1" x="2672"/>
        <item h="1" m="1" x="2683"/>
        <item h="1" m="1" x="2685"/>
        <item h="1" m="1" x="452"/>
        <item h="1" m="1" x="2686"/>
        <item h="1" m="1" x="2687"/>
        <item h="1" m="1" x="2688"/>
        <item h="1" m="1" x="2548"/>
        <item h="1" m="1" x="2689"/>
        <item h="1" m="1" x="2500"/>
        <item h="1" m="1" x="501"/>
        <item h="1" m="1" x="2691"/>
        <item h="1" m="1" x="2693"/>
        <item h="1" m="1" x="2694"/>
        <item h="1" m="1" x="2695"/>
        <item h="1" m="1" x="2220"/>
        <item h="1" m="1" x="2697"/>
        <item h="1" m="1" x="2698"/>
        <item h="1" m="1" x="2699"/>
        <item h="1" m="1" x="2700"/>
        <item h="1" m="1" x="2702"/>
        <item h="1" m="1" x="2549"/>
        <item h="1" m="1" x="2582"/>
        <item h="1" m="1" x="2338"/>
        <item h="1" m="1" x="2703"/>
        <item h="1" m="1" x="2704"/>
        <item h="1" m="1" x="2705"/>
        <item h="1" m="1" x="2706"/>
        <item h="1" m="1" x="2707"/>
        <item h="1" m="1" x="2708"/>
        <item h="1" m="1" x="2709"/>
        <item h="1" m="1" x="2355"/>
        <item h="1" m="1" x="1036"/>
        <item h="1" m="1" x="2710"/>
        <item h="1" m="1" x="2339"/>
        <item h="1" m="1" x="2713"/>
        <item h="1" m="1" x="545"/>
        <item h="1" m="1" x="2714"/>
        <item h="1" m="1" x="547"/>
        <item h="1" m="1" x="2340"/>
        <item h="1" m="1" x="2715"/>
        <item h="1" m="1" x="2716"/>
        <item h="1" m="1" x="2552"/>
        <item h="1" m="1" x="1115"/>
        <item h="1" m="1" x="1699"/>
        <item h="1" m="1" x="2243"/>
        <item h="1" m="1" x="2719"/>
        <item h="1" m="1" x="2720"/>
        <item h="1" m="1" x="2721"/>
        <item h="1" m="1" x="2722"/>
        <item h="1" m="1" x="2723"/>
        <item h="1" m="1" x="2725"/>
        <item h="1" m="1" x="2347"/>
        <item h="1" m="1" x="2726"/>
        <item h="1" m="1" x="1577"/>
        <item h="1" m="1" x="2727"/>
        <item h="1" m="1" x="1362"/>
        <item h="1" m="1" x="2729"/>
        <item h="1" m="1" x="2557"/>
        <item h="1" m="1" x="2730"/>
        <item h="1" m="1" x="2731"/>
        <item h="1" m="1" x="1348"/>
        <item h="1" m="1" x="1349"/>
        <item h="1" m="1" x="2732"/>
        <item h="1" m="1" x="2733"/>
        <item h="1" m="1" x="2734"/>
        <item h="1" m="1" x="2736"/>
        <item h="1" m="1" x="2737"/>
        <item h="1" m="1" x="2738"/>
        <item h="1" m="1" x="2560"/>
        <item h="1" m="1" x="2739"/>
        <item h="1" m="1" x="2740"/>
        <item h="1" m="1" x="2741"/>
        <item h="1" m="1" x="675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705"/>
        <item h="1" m="1" x="1275"/>
        <item h="1" m="1" x="1508"/>
        <item h="1" m="1" x="2750"/>
        <item h="1" m="1" x="737"/>
        <item h="1" m="1" x="2752"/>
        <item h="1" m="1" x="2753"/>
        <item h="1" m="1" x="2754"/>
        <item h="1" m="1" x="2755"/>
        <item h="1" m="1" x="2756"/>
        <item h="1" m="1" x="2757"/>
        <item h="1" m="1" x="2758"/>
        <item h="1" m="1" x="2759"/>
        <item h="1" m="1" x="2563"/>
        <item h="1" m="1" x="2760"/>
        <item h="1" m="1" x="2569"/>
        <item h="1" m="1" x="2761"/>
        <item h="1" m="1" x="2762"/>
        <item h="1" m="1" x="2564"/>
        <item h="1" m="1" x="2763"/>
        <item h="1" m="1" x="2764"/>
        <item h="1" m="1" x="2565"/>
        <item h="1" m="1" x="2626"/>
        <item h="1" m="1" x="2567"/>
        <item h="1" m="1" x="2568"/>
        <item h="1" m="1" x="2570"/>
        <item h="1" m="1" x="768"/>
        <item h="1" m="1" x="2572"/>
        <item h="1" m="1" x="2766"/>
        <item h="1" m="1" x="2767"/>
        <item h="1" m="1" x="2768"/>
        <item h="1" m="1" x="2769"/>
        <item h="1" m="1" x="2770"/>
        <item h="1" m="1" x="2771"/>
        <item h="1" m="1" x="2772"/>
        <item h="1" m="1" x="2773"/>
        <item h="1" m="1" x="2774"/>
        <item h="1" m="1" x="2574"/>
        <item h="1" m="1" x="2776"/>
        <item h="1" m="1" x="2777"/>
        <item h="1" m="1" x="2778"/>
        <item h="1" m="1" x="2630"/>
        <item h="1" m="1" x="487"/>
        <item h="1" m="1" x="2505"/>
        <item h="1" m="1" x="1957"/>
        <item h="1" m="1" x="2326"/>
        <item h="1" m="1" x="2216"/>
        <item h="1" m="1" x="2576"/>
        <item h="1" m="1" x="2388"/>
        <item h="1" m="1" x="2577"/>
        <item h="1" m="1" x="506"/>
        <item h="1" m="1" x="2333"/>
        <item h="1" m="1" x="1986"/>
        <item h="1" m="1" x="2578"/>
        <item h="1" m="1" x="2579"/>
        <item h="1" m="1" x="2581"/>
        <item h="1" m="1" x="2583"/>
        <item h="1" m="1" x="2584"/>
        <item h="1" m="1" x="2507"/>
        <item h="1" m="1" x="2508"/>
        <item h="1" m="1" x="2585"/>
        <item h="1" m="1" x="2239"/>
        <item h="1" m="1" x="2341"/>
        <item h="1" m="1" x="2342"/>
        <item h="1" m="1" x="2007"/>
        <item h="1" m="1" x="2587"/>
        <item h="1" m="1" x="1099"/>
        <item h="1" m="1" x="2344"/>
        <item h="1" m="1" x="2588"/>
        <item h="1" m="1" x="2345"/>
        <item h="1" m="1" x="2346"/>
        <item h="1" m="1" x="2401"/>
        <item h="1" m="1" x="2245"/>
        <item h="1" m="1" x="2246"/>
        <item h="1" m="1" x="2247"/>
        <item h="1" m="1" x="2501"/>
        <item h="1" m="1" x="2413"/>
        <item h="1" m="1" x="630"/>
        <item h="1" m="1" x="2348"/>
        <item h="1" m="1" x="2416"/>
        <item h="1" m="1" x="2589"/>
        <item h="1" m="1" x="2590"/>
        <item h="1" m="1" x="2591"/>
        <item h="1" m="1" x="2592"/>
        <item h="1" m="1" x="2593"/>
        <item h="1" m="1" x="2595"/>
        <item h="1" m="1" x="2596"/>
        <item h="1" m="1" x="2597"/>
        <item h="1" m="1" x="2598"/>
        <item h="1" m="1" x="1360"/>
        <item h="1" m="1" x="2599"/>
        <item h="1" m="1" x="2600"/>
        <item h="1" m="1" x="2601"/>
        <item h="1" m="1" x="2602"/>
        <item h="1" m="1" x="2603"/>
        <item h="1" m="1" x="2605"/>
        <item h="1" m="1" x="2606"/>
        <item h="1" m="1" x="2502"/>
        <item h="1" m="1" x="2607"/>
        <item h="1" m="1" x="2518"/>
        <item h="1" m="1" x="1242"/>
        <item h="1" m="1" x="2608"/>
        <item h="1" m="1" x="2519"/>
        <item h="1" m="1" x="2610"/>
        <item h="1" m="1" x="2611"/>
        <item h="1" m="1" x="2108"/>
        <item h="1" m="1" x="2612"/>
        <item h="1" m="1" x="2613"/>
        <item h="1" m="1" x="2185"/>
        <item h="1" m="1" x="2614"/>
        <item h="1" m="1" x="2615"/>
        <item h="1" m="1" x="1920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7"/>
        <item h="1" m="1" x="2628"/>
        <item h="1" m="1" x="2629"/>
        <item h="1" m="1" x="2631"/>
        <item h="1" m="1" x="2353"/>
        <item h="1" m="1" x="2088"/>
        <item h="1" m="1" x="2503"/>
        <item h="1" m="1" x="2206"/>
        <item h="1" m="1" x="2354"/>
        <item h="1" m="1" x="2356"/>
        <item h="1" m="1" x="927"/>
        <item h="1" m="1" x="2357"/>
        <item h="1" m="1" x="1646"/>
        <item h="1" m="1" x="1511"/>
        <item h="1" m="1" x="2210"/>
        <item h="1" m="1" x="2363"/>
        <item h="1" m="1" x="1255"/>
        <item h="1" m="1" x="1256"/>
        <item h="1" m="1" x="1257"/>
        <item h="1" m="1" x="502"/>
        <item h="1" m="1" x="2387"/>
        <item h="1" m="1" x="1234"/>
        <item h="1" m="1" x="2391"/>
        <item h="1" m="1" x="2506"/>
        <item h="1" m="1" x="2370"/>
        <item h="1" m="1" x="537"/>
        <item h="1" m="1" x="2229"/>
        <item h="1" m="1" x="2381"/>
        <item h="1" m="1" x="2378"/>
        <item h="1" m="1" x="2379"/>
        <item h="1" m="1" x="2380"/>
        <item h="1" m="1" x="2509"/>
        <item h="1" m="1" x="2382"/>
        <item h="1" m="1" x="2383"/>
        <item h="1" m="1" x="2384"/>
        <item h="1" m="1" x="2385"/>
        <item h="1" m="1" x="2396"/>
        <item h="1" m="1" x="2399"/>
        <item h="1" m="1" x="2402"/>
        <item h="1" m="1" x="2403"/>
        <item h="1" m="1" x="2404"/>
        <item h="1" m="1" x="2405"/>
        <item h="1" m="1" x="2407"/>
        <item h="1" m="1" x="2249"/>
        <item h="1" m="1" x="2409"/>
        <item h="1" m="1" x="2510"/>
        <item h="1" m="1" x="2414"/>
        <item h="1" m="1" x="2479"/>
        <item h="1" m="1" x="2420"/>
        <item h="1" m="1" x="2421"/>
        <item h="1" m="1" x="2418"/>
        <item h="1" m="1" x="2419"/>
        <item h="1" m="1" x="2422"/>
        <item h="1" m="1" x="2511"/>
        <item h="1" m="1" x="1357"/>
        <item h="1" m="1" x="2423"/>
        <item h="1" m="1" x="2512"/>
        <item h="1" m="1" x="2513"/>
        <item h="1" m="1" x="2514"/>
        <item h="1" m="1" x="2259"/>
        <item h="1" m="1" x="1786"/>
        <item h="1" m="1" x="2516"/>
        <item h="1" m="1" x="2517"/>
        <item h="1" m="1" x="1319"/>
        <item h="1" m="1" x="1318"/>
        <item h="1" m="1" x="2520"/>
        <item h="1" m="1" x="2521"/>
        <item h="1" m="1" x="2522"/>
        <item h="1" m="1" x="2523"/>
        <item h="1" m="1" x="2524"/>
        <item h="1" m="1" x="2525"/>
        <item h="1" m="1" x="2526"/>
        <item h="1" m="1" x="2527"/>
        <item h="1" m="1" x="2528"/>
        <item h="1" m="1" x="1353"/>
        <item h="1" m="1" x="1354"/>
        <item h="1" m="1" x="1376"/>
        <item h="1" m="1" x="2529"/>
        <item h="1" m="1" x="2530"/>
        <item h="1" m="1" x="2531"/>
        <item h="1" m="1" x="2450"/>
        <item h="1" m="1" x="2532"/>
        <item h="1" m="1" x="2533"/>
        <item h="1" m="1" x="2534"/>
        <item h="1" m="1" x="2535"/>
        <item h="1" m="1" x="2536"/>
        <item h="1" m="1" x="2537"/>
        <item h="1" m="1" x="2538"/>
        <item h="1" m="1" x="2539"/>
        <item h="1" m="1" x="774"/>
        <item h="1" m="1" x="2313"/>
        <item h="1" m="1" x="2540"/>
        <item h="1" m="1" x="2541"/>
        <item h="1" x="13"/>
        <item h="1" m="1" x="2359"/>
        <item h="1" m="1" x="2360"/>
        <item h="1" m="1" x="2361"/>
        <item h="1" m="1" x="2365"/>
        <item h="1" x="49"/>
        <item h="1" m="1" x="2366"/>
        <item h="1" m="1" x="2367"/>
        <item h="1" m="1" x="2368"/>
        <item h="1" m="1" x="2369"/>
        <item h="1" m="1" x="2241"/>
        <item h="1" m="1" x="2373"/>
        <item h="1" m="1" x="2374"/>
        <item h="1" m="1" x="2170"/>
        <item h="1" m="1" x="2375"/>
        <item h="1" m="1" x="2233"/>
        <item h="1" m="1" x="2386"/>
        <item h="1" m="1" x="2394"/>
        <item h="1" m="1" x="2397"/>
        <item h="1" m="1" x="2408"/>
        <item h="1" m="1" x="1991"/>
        <item h="1" m="1" x="2411"/>
        <item h="1" m="1" x="1666"/>
        <item h="1" m="1" x="2412"/>
        <item h="1" m="1" x="2415"/>
        <item h="1" m="1" x="1183"/>
        <item h="1" m="1" x="812"/>
        <item h="1" m="1" x="2253"/>
        <item h="1" m="1" x="2426"/>
        <item h="1" m="1" x="2427"/>
        <item h="1" m="1" x="2428"/>
        <item h="1" m="1" x="2429"/>
        <item h="1" m="1" x="2430"/>
        <item h="1" m="1" x="2269"/>
        <item h="1" m="1" x="2431"/>
        <item h="1" m="1" x="2432"/>
        <item h="1" m="1" x="2433"/>
        <item h="1" m="1" x="2434"/>
        <item h="1" m="1" x="2435"/>
        <item h="1" m="1" x="1497"/>
        <item h="1" m="1" x="1418"/>
        <item h="1" m="1" x="2436"/>
        <item h="1" m="1" x="2437"/>
        <item h="1" m="1" x="2438"/>
        <item h="1" m="1" x="1167"/>
        <item h="1" m="1" x="2439"/>
        <item h="1" m="1" x="2440"/>
        <item h="1" m="1" x="2441"/>
        <item h="1" m="1" x="2442"/>
        <item h="1" m="1" x="2443"/>
        <item h="1" m="1" x="2444"/>
        <item h="1" m="1" x="2445"/>
        <item h="1" m="1" x="994"/>
        <item h="1" m="1" x="2446"/>
        <item h="1" m="1" x="2447"/>
        <item h="1" m="1" x="2448"/>
        <item h="1" m="1" x="2449"/>
        <item h="1" m="1" x="2451"/>
        <item h="1" m="1" x="2452"/>
        <item h="1" m="1" x="2453"/>
        <item h="1" m="1" x="2454"/>
        <item h="1" m="1" x="2455"/>
        <item h="1" m="1" x="1052"/>
        <item h="1" m="1" x="2456"/>
        <item h="1" m="1" x="757"/>
        <item h="1" m="1" x="483"/>
        <item h="1" m="1" x="2457"/>
        <item h="1" m="1" x="2458"/>
        <item h="1" m="1" x="2459"/>
        <item h="1" m="1" x="2460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1740"/>
        <item h="1" m="1" x="2470"/>
        <item h="1" m="1" x="2471"/>
        <item h="1" m="1" x="2472"/>
        <item h="1" m="1" x="2473"/>
        <item h="1" m="1" x="2474"/>
        <item h="1" m="1" x="2475"/>
        <item h="1" m="1" x="2476"/>
        <item h="1" m="1" x="2477"/>
        <item h="1" m="1" x="2478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2080"/>
        <item h="1" m="1" x="2488"/>
        <item h="1" m="1" x="2489"/>
        <item h="1" m="1" x="2490"/>
        <item h="1" m="1" x="2491"/>
        <item h="1" m="1" x="1425"/>
        <item h="1" m="1" x="1426"/>
        <item h="1" m="1" x="2492"/>
        <item h="1" m="1" x="1408"/>
        <item h="1" m="1" x="1423"/>
        <item h="1" m="1" x="2095"/>
        <item h="1" m="1" x="1446"/>
        <item h="1" m="1" x="1472"/>
        <item h="1" m="1" x="1356"/>
        <item h="1" m="1" x="2493"/>
        <item h="1" x="397"/>
        <item h="1" m="1" x="2494"/>
        <item h="1" m="1" x="2495"/>
        <item h="1" m="1" x="2496"/>
        <item h="1" m="1" x="2497"/>
        <item h="1" m="1" x="1122"/>
        <item h="1" m="1" x="2498"/>
        <item h="1" m="1" x="2141"/>
        <item h="1" m="1" x="1950"/>
        <item h="1" m="1" x="2207"/>
        <item h="1" m="1" x="2208"/>
        <item h="1" m="1" x="2209"/>
        <item h="1" m="1" x="1954"/>
        <item h="1" m="1" x="2143"/>
        <item h="1" m="1" x="2144"/>
        <item h="1" m="1" x="1956"/>
        <item h="1" m="1" x="2211"/>
        <item h="1" m="1" x="2212"/>
        <item h="1" m="1" x="2213"/>
        <item h="1" m="1" x="1968"/>
        <item h="1" m="1" x="944"/>
        <item h="1" x="48"/>
        <item h="1" m="1" x="2215"/>
        <item h="1" m="1" x="1795"/>
        <item h="1" m="1" x="1977"/>
        <item h="1" x="74"/>
        <item h="1" m="1" x="1625"/>
        <item h="1" m="1" x="2217"/>
        <item h="1" x="68"/>
        <item h="1" m="1" x="2140"/>
        <item h="1" m="1" x="2218"/>
        <item h="1" m="1" x="2219"/>
        <item h="1" m="1" x="2221"/>
        <item h="1" m="1" x="2152"/>
        <item h="1" m="1" x="2153"/>
        <item h="1" m="1" x="2154"/>
        <item h="1" m="1" x="2155"/>
        <item h="1" m="1" x="1985"/>
        <item h="1" m="1" x="1667"/>
        <item h="1" m="1" x="1988"/>
        <item h="1" m="1" x="2225"/>
        <item h="1" m="1" x="2226"/>
        <item h="1" m="1" x="1806"/>
        <item h="1" m="1" x="2159"/>
        <item h="1" m="1" x="1805"/>
        <item h="1" m="1" x="2142"/>
        <item h="1" m="1" x="1992"/>
        <item h="1" m="1" x="2161"/>
        <item h="1" m="1" x="2005"/>
        <item h="1" m="1" x="2001"/>
        <item h="1" m="1" x="2002"/>
        <item h="1" m="1" x="2227"/>
        <item h="1" m="1" x="2228"/>
        <item h="1" m="1" x="2235"/>
        <item h="1" m="1" x="2236"/>
        <item h="1" m="1" x="2238"/>
        <item h="1" x="198"/>
        <item h="1" m="1" x="2162"/>
        <item h="1" m="1" x="2240"/>
        <item h="1" m="1" x="1861"/>
        <item h="1" m="1" x="1628"/>
        <item h="1" m="1" x="2177"/>
        <item h="1" m="1" x="1999"/>
        <item h="1" m="1" x="572"/>
        <item h="1" m="1" x="2016"/>
        <item h="1" m="1" x="2019"/>
        <item h="1" m="1" x="2022"/>
        <item h="1" m="1" x="1695"/>
        <item h="1" m="1" x="2023"/>
        <item h="1" m="1" x="2244"/>
        <item h="1" m="1" x="2248"/>
        <item h="1" m="1" x="2250"/>
        <item h="1" m="1" x="1246"/>
        <item h="1" m="1" x="1718"/>
        <item h="1" m="1" x="2031"/>
        <item h="1" m="1" x="2047"/>
        <item h="1" m="1" x="2045"/>
        <item h="1" m="1" x="2251"/>
        <item h="1" m="1" x="2046"/>
        <item h="1" m="1" x="2043"/>
        <item h="1" m="1" x="1027"/>
        <item h="1" m="1" x="1498"/>
        <item h="1" m="1" x="1505"/>
        <item h="1" m="1" x="1506"/>
        <item h="1" m="1" x="1499"/>
        <item h="1" m="1" x="1500"/>
        <item h="1" m="1" x="1501"/>
        <item h="1" m="1" x="2252"/>
        <item h="1" m="1" x="2061"/>
        <item h="1" m="1" x="1639"/>
        <item h="1" m="1" x="2254"/>
        <item h="1" m="1" x="2255"/>
        <item h="1" m="1" x="2256"/>
        <item h="1" m="1" x="2257"/>
        <item h="1" m="1" x="2260"/>
        <item h="1" m="1" x="2261"/>
        <item h="1" m="1" x="2262"/>
        <item h="1" m="1" x="1458"/>
        <item h="1" m="1" x="2263"/>
        <item h="1" m="1" x="2184"/>
        <item h="1" m="1" x="1311"/>
        <item h="1" m="1" x="1504"/>
        <item h="1" m="1" x="1507"/>
        <item h="1" m="1" x="2267"/>
        <item h="1" m="1" x="2268"/>
        <item h="1" m="1" x="1509"/>
        <item h="1" m="1" x="2270"/>
        <item h="1" m="1" x="1173"/>
        <item h="1" m="1" x="2271"/>
        <item h="1" m="1" x="2272"/>
        <item h="1" m="1" x="2273"/>
        <item h="1" m="1" x="2274"/>
        <item h="1" m="1" x="2275"/>
        <item h="1" m="1" x="2276"/>
        <item h="1" m="1" x="1797"/>
        <item h="1" m="1" x="2277"/>
        <item h="1" m="1" x="2278"/>
        <item h="1" m="1" x="2281"/>
        <item h="1" m="1" x="663"/>
        <item h="1" m="1" x="2282"/>
        <item h="1" m="1" x="2283"/>
        <item h="1" m="1" x="1435"/>
        <item h="1" m="1" x="2284"/>
        <item h="1" m="1" x="2285"/>
        <item h="1" m="1" x="1444"/>
        <item h="1" m="1" x="1424"/>
        <item h="1" m="1" x="1807"/>
        <item h="1" m="1" x="2287"/>
        <item h="1" m="1" x="1422"/>
        <item h="1" m="1" x="1808"/>
        <item h="1" m="1" x="2096"/>
        <item h="1" m="1" x="2288"/>
        <item h="1" m="1" x="1671"/>
        <item h="1" m="1" x="2289"/>
        <item h="1" m="1" x="1447"/>
        <item h="1" m="1" x="2290"/>
        <item h="1" m="1" x="2291"/>
        <item h="1" m="1" x="2292"/>
        <item h="1" m="1" x="2293"/>
        <item h="1" m="1" x="1313"/>
        <item h="1" m="1" x="2294"/>
        <item h="1" m="1" x="1483"/>
        <item h="1" x="375"/>
        <item h="1" x="376"/>
        <item h="1" m="1" x="1433"/>
        <item h="1" m="1" x="1430"/>
        <item h="1" m="1" x="2295"/>
        <item h="1" m="1" x="2296"/>
        <item h="1" m="1" x="1182"/>
        <item h="1" m="1" x="1312"/>
        <item h="1" m="1" x="1121"/>
        <item h="1" m="1" x="2199"/>
        <item h="1" m="1" x="2297"/>
        <item h="1" m="1" x="1791"/>
        <item h="1" m="1" x="1374"/>
        <item h="1" m="1" x="2298"/>
        <item h="1" m="1" x="2300"/>
        <item h="1" m="1" x="2301"/>
        <item h="1" m="1" x="1059"/>
        <item h="1" m="1" x="2302"/>
        <item h="1" m="1" x="2303"/>
        <item h="1" m="1" x="2304"/>
        <item h="1" m="1" x="2305"/>
        <item h="1" m="1" x="1355"/>
        <item h="1" m="1" x="2307"/>
        <item h="1" m="1" x="2308"/>
        <item h="1" m="1" x="2309"/>
        <item h="1" m="1" x="2310"/>
        <item h="1" m="1" x="2311"/>
        <item h="1" m="1" x="1347"/>
        <item h="1" m="1" x="2312"/>
        <item h="1" x="412"/>
        <item h="1" m="1" x="1310"/>
        <item h="1" m="1" x="1936"/>
        <item h="1" m="1" x="1789"/>
        <item h="1" m="1" x="1943"/>
        <item h="1" m="1" x="1790"/>
        <item h="1" m="1" x="1787"/>
        <item h="1" m="1" x="791"/>
        <item h="1" m="1" x="1953"/>
        <item h="1" m="1" x="1826"/>
        <item h="1" m="1" x="1955"/>
        <item h="1" x="25"/>
        <item h="1" m="1" x="2145"/>
        <item h="1" m="1" x="1959"/>
        <item h="1" m="1" x="1958"/>
        <item h="1" m="1" x="1967"/>
        <item h="1" m="1" x="1969"/>
        <item h="1" m="1" x="2147"/>
        <item h="1" m="1" x="1974"/>
        <item h="1" m="1" x="1976"/>
        <item h="1" m="1" x="1626"/>
        <item h="1" m="1" x="1032"/>
        <item h="1" x="432"/>
        <item h="1" x="75"/>
        <item h="1" m="1" x="1979"/>
        <item h="1" m="1" x="1987"/>
        <item h="1" m="1" x="1842"/>
        <item h="1" m="1" x="1843"/>
        <item h="1" m="1" x="2157"/>
        <item h="1" m="1" x="2158"/>
        <item h="1" m="1" x="1993"/>
        <item h="1" m="1" x="2160"/>
        <item h="1" m="1" x="1865"/>
        <item h="1" m="1" x="2163"/>
        <item h="1" m="1" x="2164"/>
        <item h="1" m="1" x="2165"/>
        <item h="1" m="1" x="2166"/>
        <item h="1" m="1" x="1041"/>
        <item h="1" m="1" x="1998"/>
        <item h="1" m="1" x="2000"/>
        <item h="1" m="1" x="2167"/>
        <item h="1" m="1" x="2168"/>
        <item h="1" m="1" x="2169"/>
        <item h="1" m="1" x="2004"/>
        <item h="1" x="181"/>
        <item h="1" m="1" x="2014"/>
        <item h="1" m="1" x="2009"/>
        <item h="1" m="1" x="2011"/>
        <item h="1" x="201"/>
        <item h="1" m="1" x="2013"/>
        <item h="1" x="52"/>
        <item h="1" m="1" x="2021"/>
        <item h="1" m="1" x="1571"/>
        <item h="1" m="1" x="2025"/>
        <item h="1" m="1" x="2028"/>
        <item h="1" m="1" x="2034"/>
        <item h="1" m="1" x="2035"/>
        <item h="1" m="1" x="1729"/>
        <item h="1" x="268"/>
        <item h="1" m="1" x="1714"/>
        <item h="1" m="1" x="2052"/>
        <item h="1" m="1" x="2053"/>
        <item h="1" m="1" x="2044"/>
        <item h="1" x="310"/>
        <item h="1" m="1" x="2055"/>
        <item h="1" m="1" x="2056"/>
        <item h="1" m="1" x="2057"/>
        <item h="1" m="1" x="2058"/>
        <item h="1" m="1" x="2059"/>
        <item h="1" m="1" x="2066"/>
        <item h="1" m="1" x="2069"/>
        <item h="1" m="1" x="2181"/>
        <item h="1" m="1" x="2062"/>
        <item h="1" m="1" x="2183"/>
        <item h="1" x="333"/>
        <item h="1" m="1" x="2090"/>
        <item h="1" m="1" x="2186"/>
        <item h="1" m="1" x="1277"/>
        <item h="1" m="1" x="2187"/>
        <item h="1" m="1" x="2075"/>
        <item h="1" m="1" x="2188"/>
        <item h="1" m="1" x="2078"/>
        <item h="1" m="1" x="2189"/>
        <item h="1" m="1" x="1333"/>
        <item h="1" m="1" x="2192"/>
        <item h="1" m="1" x="2193"/>
        <item h="1" m="1" x="1305"/>
        <item h="1" m="1" x="2195"/>
        <item h="1" m="1" x="1332"/>
        <item h="1" m="1" x="2196"/>
        <item h="1" m="1" x="1298"/>
        <item h="1" m="1" x="2197"/>
        <item h="1" m="1" x="2198"/>
        <item h="1" m="1" x="1300"/>
        <item h="1" m="1" x="1303"/>
        <item h="1" m="1" x="1306"/>
        <item h="1" m="1" x="1304"/>
        <item h="1" m="1" x="1307"/>
        <item h="1" m="1" x="1299"/>
        <item h="1" m="1" x="1302"/>
        <item h="1" m="1" x="1301"/>
        <item h="1" m="1" x="1719"/>
        <item h="1" m="1" x="2125"/>
        <item h="1" m="1" x="2200"/>
        <item h="1" m="1" x="2127"/>
        <item h="1" m="1" x="2122"/>
        <item h="1" m="1" x="1925"/>
        <item h="1" m="1" x="2119"/>
        <item h="1" m="1" x="1297"/>
        <item h="1" m="1" x="2201"/>
        <item h="1" m="1" x="2203"/>
        <item h="1" m="1" x="2138"/>
        <item h="1" m="1" x="1951"/>
        <item h="1" m="1" x="1952"/>
        <item h="1" m="1" x="1057"/>
        <item h="1" m="1" x="1056"/>
        <item h="1" m="1" x="1960"/>
        <item h="1" m="1" x="1961"/>
        <item h="1" m="1" x="1962"/>
        <item h="1" m="1" x="1963"/>
        <item h="1" m="1" x="1964"/>
        <item h="1" m="1" x="473"/>
        <item h="1" m="1" x="1641"/>
        <item h="1" m="1" x="1966"/>
        <item h="1" m="1" x="1970"/>
        <item h="1" m="1" x="1971"/>
        <item h="1" m="1" x="1973"/>
        <item h="1" x="60"/>
        <item h="1" x="61"/>
        <item h="1" m="1" x="1975"/>
        <item h="1" m="1" x="1840"/>
        <item h="1" m="1" x="1984"/>
        <item h="1" m="1" x="1994"/>
        <item h="1" m="1" x="1995"/>
        <item h="1" m="1" x="1996"/>
        <item h="1" m="1" x="1867"/>
        <item h="1" m="1" x="2006"/>
        <item h="1" m="1" x="2012"/>
        <item h="1" m="1" x="2015"/>
        <item h="1" m="1" x="2018"/>
        <item h="1" m="1" x="586"/>
        <item h="1" m="1" x="1874"/>
        <item h="1" m="1" x="2024"/>
        <item h="1" m="1" x="2026"/>
        <item h="1" m="1" x="2032"/>
        <item h="1" m="1" x="2033"/>
        <item h="1" m="1" x="1878"/>
        <item h="1" m="1" x="2036"/>
        <item h="1" m="1" x="2037"/>
        <item h="1" m="1" x="1879"/>
        <item h="1" m="1" x="2038"/>
        <item h="1" m="1" x="2039"/>
        <item h="1" m="1" x="1877"/>
        <item h="1" m="1" x="2041"/>
        <item h="1" m="1" x="2048"/>
        <item h="1" m="1" x="2051"/>
        <item h="1" m="1" x="2054"/>
        <item h="1" m="1" x="1463"/>
        <item h="1" m="1" x="1662"/>
        <item h="1" m="1" x="2060"/>
        <item h="1" m="1" x="1888"/>
        <item h="1" m="1" x="2063"/>
        <item h="1" m="1" x="2064"/>
        <item h="1" m="1" x="2065"/>
        <item h="1" m="1" x="2067"/>
        <item h="1" m="1" x="2068"/>
        <item h="1" m="1" x="2072"/>
        <item h="1" m="1" x="2073"/>
        <item h="1" m="1" x="2076"/>
        <item h="1" m="1" x="2077"/>
        <item h="1" m="1" x="1899"/>
        <item h="1" m="1" x="2081"/>
        <item h="1" m="1" x="2082"/>
        <item h="1" m="1" x="2083"/>
        <item h="1" m="1" x="2084"/>
        <item h="1" m="1" x="2085"/>
        <item h="1" m="1" x="1330"/>
        <item h="1" m="1" x="1907"/>
        <item h="1" m="1" x="2087"/>
        <item h="1" m="1" x="1365"/>
        <item h="1" m="1" x="1143"/>
        <item h="1" m="1" x="1438"/>
        <item h="1" m="1" x="2089"/>
        <item h="1" m="1" x="1419"/>
        <item h="1" x="361"/>
        <item h="1" m="1" x="2091"/>
        <item h="1" m="1" x="1412"/>
        <item h="1" x="362"/>
        <item h="1" m="1" x="1409"/>
        <item h="1" m="1" x="2092"/>
        <item h="1" m="1" x="2094"/>
        <item h="1" m="1" x="2097"/>
        <item h="1" m="1" x="2098"/>
        <item h="1" m="1" x="2099"/>
        <item h="1" m="1" x="2105"/>
        <item h="1" m="1" x="1917"/>
        <item h="1" m="1" x="2117"/>
        <item h="1" m="1" x="1932"/>
        <item h="1" m="1" x="2118"/>
        <item h="1" m="1" x="1931"/>
        <item h="1" m="1" x="2120"/>
        <item h="1" m="1" x="2121"/>
        <item h="1" m="1" x="2123"/>
        <item h="1" m="1" x="2124"/>
        <item h="1" m="1" x="2126"/>
        <item h="1" m="1" x="1934"/>
        <item h="1" m="1" x="2129"/>
        <item h="1" m="1" x="2130"/>
        <item h="1" m="1" x="2132"/>
        <item h="1" m="1" x="2135"/>
        <item h="1" x="4"/>
        <item h="1" m="1" x="1822"/>
        <item h="1" m="1" x="1823"/>
        <item h="1" m="1" x="1824"/>
        <item h="1" m="1" x="1825"/>
        <item h="1" m="1" x="1647"/>
        <item h="1" m="1" x="1648"/>
        <item h="1" x="31"/>
        <item h="1" m="1" x="793"/>
        <item h="1" m="1" x="1827"/>
        <item h="1" m="1" x="1829"/>
        <item h="1" x="45"/>
        <item h="1" m="1" x="1636"/>
        <item h="1" m="1" x="1046"/>
        <item h="1" x="50"/>
        <item h="1" m="1" x="1831"/>
        <item h="1" m="1" x="505"/>
        <item h="1" m="1" x="1833"/>
        <item h="1" x="76"/>
        <item h="1" m="1" x="1837"/>
        <item h="1" m="1" x="1839"/>
        <item h="1" m="1" x="1841"/>
        <item h="1" m="1" x="1851"/>
        <item h="1" m="1" x="1852"/>
        <item h="1" m="1" x="1564"/>
        <item h="1" x="120"/>
        <item h="1" x="119"/>
        <item h="1" m="1" x="1854"/>
        <item h="1" m="1" x="1855"/>
        <item h="1" m="1" x="1856"/>
        <item h="1" m="1" x="1857"/>
        <item h="1" m="1" x="1858"/>
        <item h="1" m="1" x="801"/>
        <item h="1" m="1" x="1859"/>
        <item h="1" m="1" x="530"/>
        <item h="1" m="1" x="1862"/>
        <item h="1" m="1" x="1863"/>
        <item h="1" m="1" x="1864"/>
        <item h="1" m="1" x="1866"/>
        <item h="1" m="1" x="1042"/>
        <item h="1" m="1" x="1655"/>
        <item h="1" m="1" x="1656"/>
        <item h="1" x="180"/>
        <item h="1" m="1" x="1659"/>
        <item h="1" x="156"/>
        <item h="1" x="157"/>
        <item h="1" x="158"/>
        <item h="1" x="150"/>
        <item h="1" m="1" x="1869"/>
        <item h="1" m="1" x="1661"/>
        <item h="1" x="228"/>
        <item h="1" m="1" x="1633"/>
        <item h="1" m="1" x="1876"/>
        <item h="1" m="1" x="1673"/>
        <item h="1" m="1" x="1100"/>
        <item h="1" m="1" x="1691"/>
        <item h="1" m="1" x="1701"/>
        <item h="1" m="1" x="1702"/>
        <item h="1" m="1" x="1690"/>
        <item h="1" m="1" x="1692"/>
        <item h="1" m="1" x="1693"/>
        <item h="1" m="1" x="1694"/>
        <item h="1" m="1" x="1106"/>
        <item h="1" m="1" x="1816"/>
        <item h="1" m="1" x="809"/>
        <item h="1" m="1" x="810"/>
        <item h="1" m="1" x="1735"/>
        <item h="1" m="1" x="1736"/>
        <item h="1" m="1" x="1880"/>
        <item h="1" m="1" x="1881"/>
        <item h="1" m="1" x="1882"/>
        <item h="1" m="1" x="1689"/>
        <item h="1" m="1" x="1883"/>
        <item h="1" m="1" x="1678"/>
        <item h="1" m="1" x="1688"/>
        <item h="1" m="1" x="1683"/>
        <item h="1" x="312"/>
        <item h="1" m="1" x="1884"/>
        <item h="1" m="1" x="1885"/>
        <item h="1" m="1" x="1886"/>
        <item h="1" m="1" x="1887"/>
        <item h="1" m="1" x="1889"/>
        <item h="1" m="1" x="1890"/>
        <item h="1" m="1" x="1606"/>
        <item h="1" m="1" x="1607"/>
        <item h="1" x="107"/>
        <item h="1" m="1" x="1891"/>
        <item h="1" m="1" x="1892"/>
        <item h="1" m="1" x="1893"/>
        <item h="1" m="1" x="1894"/>
        <item h="1" m="1" x="1428"/>
        <item h="1" m="1" x="1895"/>
        <item h="1" m="1" x="831"/>
        <item h="1" m="1" x="1896"/>
        <item h="1" m="1" x="1898"/>
        <item h="1" m="1" x="1900"/>
        <item h="1" m="1" x="1901"/>
        <item h="1" m="1" x="1902"/>
        <item h="1" m="1" x="1903"/>
        <item h="1" m="1" x="1798"/>
        <item h="1" m="1" x="1905"/>
        <item h="1" m="1" x="1407"/>
        <item h="1" m="1" x="1908"/>
        <item h="1" m="1" x="1909"/>
        <item h="1" m="1" x="1437"/>
        <item h="1" m="1" x="1910"/>
        <item h="1" m="1" x="1448"/>
        <item h="1" m="1" x="1449"/>
        <item h="1" m="1" x="1436"/>
        <item h="1" m="1" x="1812"/>
        <item h="1" m="1" x="1911"/>
        <item h="1" x="335"/>
        <item h="1" x="336"/>
        <item h="1" m="1" x="1704"/>
        <item h="1" m="1" x="1815"/>
        <item h="1" m="1" x="1431"/>
        <item h="1" m="1" x="1460"/>
        <item h="1" m="1" x="1461"/>
        <item h="1" m="1" x="1912"/>
        <item h="1" m="1" x="1913"/>
        <item h="1" m="1" x="1914"/>
        <item h="1" m="1" x="1918"/>
        <item h="1" m="1" x="1921"/>
        <item h="1" m="1" x="1922"/>
        <item h="1" m="1" x="1923"/>
        <item h="1" m="1" x="1924"/>
        <item h="1" m="1" x="1926"/>
        <item h="1" m="1" x="1927"/>
        <item h="1" m="1" x="1928"/>
        <item h="1" m="1" x="1929"/>
        <item h="1" m="1" x="1930"/>
        <item h="1" m="1" x="1933"/>
        <item h="1" m="1" x="1935"/>
        <item h="1" m="1" x="1232"/>
        <item h="1" m="1" x="1233"/>
        <item h="1" m="1" x="1503"/>
        <item h="1" m="1" x="1937"/>
        <item h="1" m="1" x="1938"/>
        <item h="1" m="1" x="1939"/>
        <item h="1" m="1" x="1940"/>
        <item h="1" x="421"/>
        <item h="1" m="1" x="1715"/>
        <item h="1" x="418"/>
        <item h="1" m="1" x="949"/>
        <item h="1" x="202"/>
        <item h="1" m="1" x="1016"/>
        <item h="1" m="1" x="1741"/>
        <item h="1" m="1" x="1742"/>
        <item h="1" m="1" x="1743"/>
        <item h="1" m="1" x="1744"/>
        <item h="1" m="1" x="1119"/>
        <item h="1" m="1" x="1746"/>
        <item h="1" m="1" x="1748"/>
        <item h="1" m="1" x="794"/>
        <item h="1" m="1" x="1749"/>
        <item h="1" m="1" x="1750"/>
        <item h="1" m="1" x="1175"/>
        <item h="1" m="1" x="1176"/>
        <item h="1" m="1" x="1751"/>
        <item h="1" m="1" x="1752"/>
        <item h="1" m="1" x="1753"/>
        <item h="1" m="1" x="1754"/>
        <item h="1" m="1" x="1755"/>
        <item h="1" m="1" x="1756"/>
        <item h="1" m="1" x="1757"/>
        <item h="1" m="1" x="1758"/>
        <item h="1" m="1" x="1759"/>
        <item h="1" m="1" x="1760"/>
        <item h="1" m="1" x="1761"/>
        <item h="1" m="1" x="1763"/>
        <item h="1" m="1" x="1764"/>
        <item h="1" m="1" x="1765"/>
        <item h="1" m="1" x="1766"/>
        <item h="1" m="1" x="1767"/>
        <item h="1" m="1" x="1611"/>
        <item h="1" m="1" x="1612"/>
        <item h="1" m="1" x="1768"/>
        <item h="1" m="1" x="1769"/>
        <item h="1" m="1" x="1770"/>
        <item h="1" m="1" x="1771"/>
        <item h="1" m="1" x="1772"/>
        <item h="1" m="1" x="1773"/>
        <item h="1" m="1" x="1774"/>
        <item h="1" m="1" x="1775"/>
        <item h="1" m="1" x="1776"/>
        <item h="1" m="1" x="1777"/>
        <item h="1" m="1" x="1779"/>
        <item h="1" m="1" x="1780"/>
        <item h="1" m="1" x="1781"/>
        <item h="1" m="1" x="1782"/>
        <item h="1" m="1" x="1783"/>
        <item h="1" m="1" x="1616"/>
        <item h="1" m="1" x="1784"/>
        <item h="1" m="1" x="1541"/>
        <item h="1" m="1" x="1792"/>
        <item h="1" x="77"/>
        <item h="1" m="1" x="1793"/>
        <item h="1" m="1" x="1794"/>
        <item h="1" m="1" x="1627"/>
        <item h="1" x="73"/>
        <item h="1" m="1" x="803"/>
        <item h="1" m="1" x="1630"/>
        <item h="1" m="1" x="945"/>
        <item h="1" m="1" x="633"/>
        <item h="1" m="1" x="1796"/>
        <item h="1" m="1" x="977"/>
        <item h="1" m="1" x="1335"/>
        <item h="1" m="1" x="1644"/>
        <item h="1" m="1" x="1642"/>
        <item h="1" m="1" x="1643"/>
        <item h="1" m="1" x="1369"/>
        <item h="1" m="1" x="1799"/>
        <item h="1" m="1" x="1800"/>
        <item h="1" m="1" x="1801"/>
        <item h="1" m="1" x="1066"/>
        <item h="1" m="1" x="1652"/>
        <item h="1" m="1" x="538"/>
        <item h="1" m="1" x="1651"/>
        <item h="1" m="1" x="1397"/>
        <item h="1" x="153"/>
        <item h="1" x="179"/>
        <item h="1" x="178"/>
        <item h="1" m="1" x="1802"/>
        <item h="1" m="1" x="1406"/>
        <item h="1" m="1" x="1665"/>
        <item h="1" m="1" x="1551"/>
        <item h="1" m="1" x="1664"/>
        <item h="1" m="1" x="1450"/>
        <item h="1" m="1" x="1803"/>
        <item h="1" m="1" x="1439"/>
        <item h="1" m="1" x="1445"/>
        <item h="1" m="1" x="1804"/>
        <item h="1" x="102"/>
        <item h="1" m="1" x="1669"/>
        <item h="1" x="98"/>
        <item h="1" m="1" x="1563"/>
        <item h="1" m="1" x="1452"/>
        <item h="1" m="1" x="1453"/>
        <item h="1" m="1" x="1809"/>
        <item h="1" m="1" x="1810"/>
        <item h="1" m="1" x="1811"/>
        <item h="1" m="1" x="1813"/>
        <item h="1" m="1" x="1814"/>
        <item h="1" m="1" x="1672"/>
        <item h="1" m="1" x="1086"/>
        <item h="1" m="1" x="1087"/>
        <item h="1" m="1" x="1465"/>
        <item h="1" m="1" x="1464"/>
        <item h="1" x="223"/>
        <item h="1" m="1" x="1573"/>
        <item h="1" m="1" x="1679"/>
        <item h="1" m="1" x="1680"/>
        <item h="1" m="1" x="1681"/>
        <item h="1" m="1" x="1481"/>
        <item h="1" m="1" x="1700"/>
        <item h="1" m="1" x="1817"/>
        <item h="1" m="1" x="1502"/>
        <item h="1" m="1" x="1712"/>
        <item h="1" m="1" x="1713"/>
        <item h="1" x="411"/>
        <item h="1" m="1" x="1818"/>
        <item h="1" m="1" x="1820"/>
        <item h="1" m="1" x="1576"/>
        <item h="1" m="1" x="1737"/>
        <item h="1" m="1" x="1580"/>
        <item h="1" m="1" x="1728"/>
        <item h="1" m="1" x="1821"/>
        <item h="1" x="289"/>
        <item h="1" m="1" x="1116"/>
        <item h="1" m="1" x="1584"/>
        <item h="1" m="1" x="1585"/>
        <item h="1" m="1" x="1586"/>
        <item h="1" m="1" x="1137"/>
        <item h="1" m="1" x="1120"/>
        <item h="1" m="1" x="1134"/>
        <item h="1" m="1" x="1136"/>
        <item h="1" m="1" x="1135"/>
        <item h="1" m="1" x="1131"/>
        <item h="1" m="1" x="1133"/>
        <item h="1" m="1" x="1125"/>
        <item h="1" m="1" x="1126"/>
        <item h="1" m="1" x="1123"/>
        <item h="1" m="1" x="1132"/>
        <item h="1" m="1" x="1128"/>
        <item h="1" m="1" x="1129"/>
        <item h="1" m="1" x="1127"/>
        <item h="1" m="1" x="1130"/>
        <item h="1" m="1" x="1145"/>
        <item h="1" m="1" x="1151"/>
        <item h="1" m="1" x="1140"/>
        <item h="1" m="1" x="1147"/>
        <item h="1" m="1" x="1144"/>
        <item h="1" m="1" x="1149"/>
        <item h="1" m="1" x="1153"/>
        <item h="1" m="1" x="1146"/>
        <item h="1" m="1" x="1148"/>
        <item h="1" m="1" x="1161"/>
        <item h="1" m="1" x="1155"/>
        <item h="1" m="1" x="1156"/>
        <item h="1" m="1" x="1154"/>
        <item h="1" m="1" x="1159"/>
        <item h="1" m="1" x="1160"/>
        <item h="1" m="1" x="1152"/>
        <item h="1" m="1" x="1138"/>
        <item h="1" m="1" x="1139"/>
        <item h="1" m="1" x="1158"/>
        <item h="1" m="1" x="1157"/>
        <item h="1" m="1" x="1150"/>
        <item h="1" m="1" x="1142"/>
        <item h="1" m="1" x="1166"/>
        <item h="1" m="1" x="1165"/>
        <item h="1" m="1" x="795"/>
        <item h="1" m="1" x="1587"/>
        <item h="1" m="1" x="1168"/>
        <item h="1" m="1" x="1588"/>
        <item h="1" m="1" x="1172"/>
        <item h="1" m="1" x="1171"/>
        <item h="1" m="1" x="1590"/>
        <item h="1" m="1" x="1178"/>
        <item h="1" m="1" x="1179"/>
        <item h="1" x="80"/>
        <item h="1" m="1" x="1591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540"/>
        <item h="1" m="1" x="1601"/>
        <item h="1" m="1" x="1602"/>
        <item h="1" m="1" x="1603"/>
        <item h="1" m="1" x="1604"/>
        <item h="1" m="1" x="1605"/>
        <item h="1" m="1" x="1608"/>
        <item h="1" m="1" x="1609"/>
        <item h="1" m="1" x="1610"/>
        <item h="1" m="1" x="1614"/>
        <item h="1" m="1" x="1615"/>
        <item h="1" x="63"/>
        <item h="1" x="62"/>
        <item h="1" m="1" x="1228"/>
        <item h="1" m="1" x="704"/>
        <item h="1" m="1" x="1624"/>
        <item h="1" m="1" x="736"/>
        <item h="1" m="1" x="1238"/>
        <item h="1" x="130"/>
        <item h="1" m="1" x="1629"/>
        <item h="1" x="137"/>
        <item h="1" m="1" x="1631"/>
        <item h="1" m="1" x="1635"/>
        <item h="1" m="1" x="1254"/>
        <item h="1" m="1" x="1050"/>
        <item h="1" m="1" x="1637"/>
        <item h="1" m="1" x="1049"/>
        <item h="1" m="1" x="1274"/>
        <item h="1" m="1" x="1317"/>
        <item h="1" m="1" x="922"/>
        <item h="1" m="1" x="923"/>
        <item h="1" m="1" x="1341"/>
        <item h="1" m="1" x="1638"/>
        <item h="1" x="17"/>
        <item h="1" m="1" x="1640"/>
        <item h="1" m="1" x="1364"/>
        <item h="1" m="1" x="1058"/>
        <item h="1" x="425"/>
        <item h="1" m="1" x="445"/>
        <item h="1" x="21"/>
        <item h="1" x="20"/>
        <item h="1" m="1" x="1645"/>
        <item h="1" m="1" x="1649"/>
        <item h="1" m="1" x="1650"/>
        <item h="1" m="1" x="1377"/>
        <item h="1" m="1" x="1378"/>
        <item h="1" m="1" x="1379"/>
        <item h="1" x="396"/>
        <item h="1" m="1" x="727"/>
        <item h="1" m="1" x="1387"/>
        <item h="1" m="1" x="1380"/>
        <item h="1" m="1" x="1381"/>
        <item h="1" m="1" x="1654"/>
        <item h="1" x="161"/>
        <item h="1" m="1" x="1069"/>
        <item h="1" m="1" x="1555"/>
        <item h="1" m="1" x="1663"/>
        <item h="1" m="1" x="1417"/>
        <item h="1" m="1" x="1432"/>
        <item h="1" x="99"/>
        <item h="1" x="100"/>
        <item h="1" x="101"/>
        <item h="1" x="105"/>
        <item h="1" x="118"/>
        <item h="1" x="433"/>
        <item h="1" x="434"/>
        <item h="1" x="111"/>
        <item h="1" m="1" x="1559"/>
        <item h="1" m="1" x="1670"/>
        <item h="1" m="1" x="1560"/>
        <item h="1" m="1" x="1561"/>
        <item h="1" m="1" x="859"/>
        <item h="1" m="1" x="1442"/>
        <item h="1" m="1" x="1454"/>
        <item h="1" m="1" x="1457"/>
        <item h="1" m="1" x="1095"/>
        <item h="1" m="1" x="1675"/>
        <item h="1" m="1" x="1676"/>
        <item h="1" m="1" x="1677"/>
        <item h="1" m="1" x="1684"/>
        <item h="1" m="1" x="1685"/>
        <item h="1" m="1" x="1686"/>
        <item h="1" m="1" x="1687"/>
        <item h="1" m="1" x="1569"/>
        <item h="1" m="1" x="1696"/>
        <item h="1" m="1" x="1697"/>
        <item h="1" m="1" x="1698"/>
        <item h="1" m="1" x="1703"/>
        <item h="1" m="1" x="1705"/>
        <item h="1" m="1" x="1706"/>
        <item h="1" m="1" x="808"/>
        <item h="1" m="1" x="1707"/>
        <item h="1" m="1" x="1708"/>
        <item h="1" m="1" x="1710"/>
        <item h="1" m="1" x="1723"/>
        <item h="1" m="1" x="1575"/>
        <item h="1" m="1" x="1724"/>
        <item h="1" m="1" x="1579"/>
        <item h="1" x="290"/>
        <item h="1" m="1" x="1730"/>
        <item h="1" m="1" x="1731"/>
        <item h="1" m="1" x="1733"/>
        <item h="1" m="1" x="620"/>
        <item h="1" x="24"/>
        <item h="1" m="1" x="1117"/>
        <item h="1" m="1" x="1520"/>
        <item h="1" m="1" x="1521"/>
        <item h="1" m="1" x="1522"/>
        <item h="1" m="1" x="1523"/>
        <item h="1" m="1" x="1020"/>
        <item h="1" m="1" x="796"/>
        <item h="1" m="1" x="1528"/>
        <item h="1" x="54"/>
        <item h="1" x="55"/>
        <item h="1" x="56"/>
        <item h="1" m="1" x="1529"/>
        <item h="1" x="368"/>
        <item h="1" m="1" x="1177"/>
        <item h="1" m="1" x="1530"/>
        <item h="1" m="1" x="1531"/>
        <item h="1" m="1" x="1532"/>
        <item h="1" m="1" x="1533"/>
        <item h="1" m="1" x="1216"/>
        <item h="1" m="1" x="1534"/>
        <item h="1" m="1" x="1535"/>
        <item h="1" m="1" x="1536"/>
        <item h="1" m="1" x="1187"/>
        <item h="1" m="1" x="1188"/>
        <item h="1" m="1" x="1189"/>
        <item h="1" m="1" x="1215"/>
        <item h="1" m="1" x="1195"/>
        <item h="1" m="1" x="1214"/>
        <item h="1" m="1" x="1212"/>
        <item h="1" m="1" x="1213"/>
        <item h="1" m="1" x="1217"/>
        <item h="1" m="1" x="1218"/>
        <item h="1" m="1" x="1196"/>
        <item h="1" m="1" x="1537"/>
        <item h="1" m="1" x="1538"/>
        <item h="1" m="1" x="1539"/>
        <item h="1" m="1" x="1190"/>
        <item h="1" m="1" x="1204"/>
        <item h="1" m="1" x="1201"/>
        <item h="1" m="1" x="1202"/>
        <item h="1" m="1" x="1203"/>
        <item h="1" m="1" x="1197"/>
        <item h="1" m="1" x="1198"/>
        <item h="1" m="1" x="1199"/>
        <item h="1" m="1" x="1200"/>
        <item h="1" m="1" x="1206"/>
        <item h="1" x="354"/>
        <item h="1" m="1" x="1543"/>
        <item h="1" m="1" x="1239"/>
        <item h="1" m="1" x="595"/>
        <item h="1" m="1" x="1243"/>
        <item h="1" m="1" x="1244"/>
        <item h="1" m="1" x="1545"/>
        <item h="1" m="1" x="1253"/>
        <item h="1" x="42"/>
        <item h="1" m="1" x="1048"/>
        <item h="1" m="1" x="1260"/>
        <item h="1" m="1" x="1261"/>
        <item h="1" m="1" x="1262"/>
        <item h="1" m="1" x="1263"/>
        <item h="1" m="1" x="1264"/>
        <item h="1" m="1" x="1265"/>
        <item h="1" m="1" x="1273"/>
        <item h="1" m="1" x="1272"/>
        <item h="1" m="1" x="1269"/>
        <item h="1" m="1" x="1270"/>
        <item h="1" m="1" x="1271"/>
        <item h="1" m="1" x="1267"/>
        <item h="1" m="1" x="1268"/>
        <item h="1" x="311"/>
        <item h="1" m="1" x="925"/>
        <item h="1" x="35"/>
        <item h="1" m="1" x="1361"/>
        <item h="1" m="1" x="1382"/>
        <item h="1" m="1" x="1549"/>
        <item h="1" m="1" x="1396"/>
        <item h="1" x="165"/>
        <item h="1" m="1" x="1550"/>
        <item h="1" x="164"/>
        <item h="1" m="1" x="1398"/>
        <item h="1" m="1" x="1552"/>
        <item h="1" m="1" x="1553"/>
        <item h="1" m="1" x="1556"/>
        <item h="1" m="1" x="1558"/>
        <item h="1" m="1" x="1455"/>
        <item h="1" m="1" x="1456"/>
        <item h="1" m="1" x="1090"/>
        <item h="1" m="1" x="1462"/>
        <item h="1" m="1" x="1092"/>
        <item h="1" x="213"/>
        <item h="1" m="1" x="1567"/>
        <item h="1" m="1" x="1480"/>
        <item h="1" m="1" x="1568"/>
        <item h="1" m="1" x="1482"/>
        <item h="1" m="1" x="1570"/>
        <item h="1" m="1" x="1572"/>
        <item h="1" m="1" x="807"/>
        <item h="1" m="1" x="1496"/>
        <item h="1" m="1" x="599"/>
        <item h="1" x="298"/>
        <item h="1" x="299"/>
        <item h="1" m="1" x="1510"/>
        <item h="1" m="1" x="1581"/>
        <item h="1" m="1" x="1582"/>
        <item h="1" m="1" x="1583"/>
        <item h="1" m="1" x="1114"/>
        <item h="1" m="1" x="1118"/>
        <item h="1" m="1" x="1162"/>
        <item h="1" m="1" x="1163"/>
        <item h="1" m="1" x="1164"/>
        <item h="1" m="1" x="1170"/>
        <item h="1" m="1" x="1174"/>
        <item h="1" m="1" x="1184"/>
        <item h="1" m="1" x="1185"/>
        <item h="1" m="1" x="1186"/>
        <item h="1" x="330"/>
        <item h="1" m="1" x="1031"/>
        <item h="1" x="328"/>
        <item h="1" x="329"/>
        <item h="1" m="1" x="1191"/>
        <item h="1" m="1" x="1192"/>
        <item h="1" m="1" x="1193"/>
        <item h="1" m="1" x="1194"/>
        <item h="1" m="1" x="1207"/>
        <item h="1" m="1" x="1208"/>
        <item h="1" m="1" x="1209"/>
        <item h="1" m="1" x="1210"/>
        <item h="1" m="1" x="1211"/>
        <item h="1" m="1" x="1219"/>
        <item h="1" m="1" x="1221"/>
        <item h="1" m="1" x="1236"/>
        <item h="1" m="1" x="1237"/>
        <item h="1" x="237"/>
        <item h="1" m="1" x="863"/>
        <item h="1" m="1" x="536"/>
        <item h="1" m="1" x="1240"/>
        <item h="1" m="1" x="1241"/>
        <item h="1" m="1" x="1245"/>
        <item h="1" m="1" x="1107"/>
        <item h="1" m="1" x="523"/>
        <item h="1" m="1" x="1047"/>
        <item h="1" m="1" x="1051"/>
        <item h="1" m="1" x="1266"/>
        <item h="1" m="1" x="1278"/>
        <item h="1" x="122"/>
        <item h="1" x="59"/>
        <item h="1" m="1" x="1054"/>
        <item h="1" m="1" x="1337"/>
        <item h="1" m="1" x="1338"/>
        <item h="1" m="1" x="1340"/>
        <item h="1" m="1" x="792"/>
        <item h="1" m="1" x="1343"/>
        <item h="1" m="1" x="1344"/>
        <item h="1" m="1" x="1345"/>
        <item h="1" m="1" x="940"/>
        <item h="1" m="1" x="1366"/>
        <item h="1" m="1" x="1368"/>
        <item h="1" m="1" x="1375"/>
        <item h="1" m="1" x="703"/>
        <item h="1" m="1" x="1383"/>
        <item h="1" m="1" x="1384"/>
        <item h="1" m="1" x="1385"/>
        <item h="1" m="1" x="1386"/>
        <item h="1" m="1" x="1389"/>
        <item h="1" m="1" x="1392"/>
        <item h="1" m="1" x="1393"/>
        <item h="1" m="1" x="1394"/>
        <item h="1" m="1" x="1395"/>
        <item h="1" m="1" x="873"/>
        <item h="1" x="104"/>
        <item h="1" m="1" x="526"/>
        <item h="1" x="103"/>
        <item h="1" m="1" x="1434"/>
        <item h="1" m="1" x="1451"/>
        <item h="1" m="1" x="960"/>
        <item h="1" m="1" x="1009"/>
        <item h="1" m="1" x="1459"/>
        <item h="1" m="1" x="1091"/>
        <item h="1" m="1" x="1098"/>
        <item h="1" m="1" x="1093"/>
        <item h="1" x="36"/>
        <item h="1" m="1" x="589"/>
        <item h="1" m="1" x="465"/>
        <item h="1" m="1" x="1470"/>
        <item h="1" m="1" x="1471"/>
        <item h="1" m="1" x="1473"/>
        <item h="1" m="1" x="1474"/>
        <item h="1" m="1" x="1475"/>
        <item h="1" m="1" x="636"/>
        <item h="1" m="1" x="1476"/>
        <item h="1" m="1" x="1477"/>
        <item h="1" m="1" x="1478"/>
        <item h="1" m="1" x="1479"/>
        <item h="1" x="308"/>
        <item h="1" m="1" x="1486"/>
        <item h="1" m="1" x="1487"/>
        <item h="1" m="1" x="1488"/>
        <item h="1" m="1" x="628"/>
        <item h="1" m="1" x="1489"/>
        <item h="1" m="1" x="1490"/>
        <item h="1" m="1" x="1491"/>
        <item h="1" m="1" x="1492"/>
        <item h="1" m="1" x="585"/>
        <item h="1" m="1" x="1493"/>
        <item h="1" x="292"/>
        <item h="1" m="1" x="1494"/>
        <item h="1" m="1" x="820"/>
        <item h="1" m="1" x="1512"/>
        <item h="1" m="1" x="1513"/>
        <item h="1" m="1" x="1514"/>
        <item h="1" m="1" x="1515"/>
        <item h="1" m="1" x="1516"/>
        <item h="1" m="1" x="1517"/>
        <item h="1" m="1" x="1017"/>
        <item h="1" m="1" x="1018"/>
        <item h="1" m="1" x="1019"/>
        <item h="1" m="1" x="1021"/>
        <item h="1" m="1" x="1022"/>
        <item h="1" m="1" x="951"/>
        <item h="1" m="1" x="889"/>
        <item h="1" m="1" x="1023"/>
        <item h="1" m="1" x="1025"/>
        <item h="1" m="1" x="1026"/>
        <item h="1" m="1" x="1028"/>
        <item h="1" m="1" x="1029"/>
        <item h="1" m="1" x="963"/>
        <item h="1" m="1" x="1030"/>
        <item h="1" x="78"/>
        <item h="1" x="139"/>
        <item h="1" m="1" x="1033"/>
        <item h="1" x="131"/>
        <item h="1" m="1" x="954"/>
        <item h="1" m="1" x="955"/>
        <item h="1" m="1" x="953"/>
        <item h="1" m="1" x="865"/>
        <item h="1" m="1" x="1035"/>
        <item h="1" m="1" x="864"/>
        <item h="1" m="1" x="862"/>
        <item h="1" m="1" x="1037"/>
        <item h="1" m="1" x="1038"/>
        <item h="1" x="133"/>
        <item h="1" x="134"/>
        <item h="1" x="138"/>
        <item h="1" m="1" x="513"/>
        <item h="1" m="1" x="1040"/>
        <item h="1" m="1" x="1044"/>
        <item h="1" m="1" x="685"/>
        <item h="1" m="1" x="654"/>
        <item h="1" m="1" x="655"/>
        <item h="1" m="1" x="1053"/>
        <item h="1" x="231"/>
        <item h="1" x="232"/>
        <item h="1" x="233"/>
        <item h="1" x="234"/>
        <item h="1" m="1" x="740"/>
        <item h="1" m="1" x="692"/>
        <item h="1" m="1" x="438"/>
        <item h="1" m="1" x="688"/>
        <item h="1" x="30"/>
        <item h="1" m="1" x="1012"/>
        <item h="1" x="15"/>
        <item h="1" m="1" x="932"/>
        <item h="1" m="1" x="441"/>
        <item h="1" m="1" x="1055"/>
        <item h="1" m="1" x="933"/>
        <item h="1" m="1" x="934"/>
        <item h="1" m="1" x="722"/>
        <item h="1" x="5"/>
        <item h="1" x="2"/>
        <item h="1" x="1"/>
        <item h="1" m="1" x="1060"/>
        <item h="1" m="1" x="1061"/>
        <item h="1" m="1" x="1062"/>
        <item h="1" m="1" x="1063"/>
        <item h="1" m="1" x="1064"/>
        <item h="1" m="1" x="1068"/>
        <item h="1" x="195"/>
        <item h="1" x="176"/>
        <item h="1" x="72"/>
        <item h="1" x="196"/>
        <item h="1" x="146"/>
        <item h="1" x="169"/>
        <item h="1" x="163"/>
        <item h="1" x="205"/>
        <item h="1" m="1" x="557"/>
        <item h="1" x="108"/>
        <item h="1" x="109"/>
        <item h="1" x="110"/>
        <item h="1" m="1" x="712"/>
        <item h="1" m="1" x="1071"/>
        <item h="1" m="1" x="1072"/>
        <item h="1" m="1" x="1073"/>
        <item h="1" m="1" x="1075"/>
        <item h="1" m="1" x="1076"/>
        <item h="1" x="92"/>
        <item h="1" x="93"/>
        <item h="1" x="94"/>
        <item h="1" x="317"/>
        <item h="1" m="1" x="1077"/>
        <item h="1" m="1" x="1078"/>
        <item h="1" m="1" x="856"/>
        <item h="1" m="1" x="1080"/>
        <item h="1" m="1" x="1081"/>
        <item h="1" m="1" x="1082"/>
        <item h="1" m="1" x="1083"/>
        <item h="1" m="1" x="724"/>
        <item h="1" m="1" x="723"/>
        <item h="1" m="1" x="1084"/>
        <item h="1" m="1" x="1085"/>
        <item h="1" m="1" x="1015"/>
        <item h="1" m="1" x="1088"/>
        <item h="1" m="1" x="1089"/>
        <item h="1" m="1" x="577"/>
        <item h="1" m="1" x="578"/>
        <item h="1" m="1" x="565"/>
        <item h="1" m="1" x="972"/>
        <item h="1" m="1" x="567"/>
        <item h="1" m="1" x="1101"/>
        <item h="1" m="1" x="1102"/>
        <item h="1" m="1" x="1104"/>
        <item h="1" x="388"/>
        <item h="1" x="382"/>
        <item h="1" m="1" x="1108"/>
        <item h="1" m="1" x="1109"/>
        <item h="1" m="1" x="610"/>
        <item h="1" m="1" x="877"/>
        <item h="1" m="1" x="876"/>
        <item h="1" m="1" x="901"/>
        <item h="1" m="1" x="1111"/>
        <item h="1" m="1" x="582"/>
        <item h="1" m="1" x="1112"/>
        <item h="1" m="1" x="1113"/>
        <item h="1" x="18"/>
        <item h="1" m="1" x="926"/>
        <item h="1" m="1" x="928"/>
        <item h="1" m="1" x="929"/>
        <item h="1" m="1" x="930"/>
        <item h="1" m="1" x="931"/>
        <item h="1" x="37"/>
        <item h="1" m="1" x="458"/>
        <item h="1" m="1" x="459"/>
        <item h="1" m="1" x="468"/>
        <item h="1" m="1" x="797"/>
        <item h="1" m="1" x="935"/>
        <item h="1" m="1" x="471"/>
        <item h="1" m="1" x="938"/>
        <item h="1" m="1" x="939"/>
        <item h="1" m="1" x="798"/>
        <item h="1" m="1" x="941"/>
        <item h="1" m="1" x="942"/>
        <item h="1" m="1" x="943"/>
        <item h="1" m="1" x="948"/>
        <item h="1" m="1" x="512"/>
        <item h="1" m="1" x="514"/>
        <item h="1" x="79"/>
        <item h="1" m="1" x="952"/>
        <item h="1" x="136"/>
        <item h="1" m="1" x="867"/>
        <item h="1" m="1" x="539"/>
        <item h="1" m="1" x="956"/>
        <item h="1" x="173"/>
        <item h="1" x="172"/>
        <item h="1" x="174"/>
        <item h="1" m="1" x="854"/>
        <item h="1" m="1" x="861"/>
        <item h="1" m="1" x="560"/>
        <item h="1" m="1" x="575"/>
        <item h="1" m="1" x="564"/>
        <item h="1" x="226"/>
        <item h="1" x="227"/>
        <item h="1" m="1" x="588"/>
        <item h="1" m="1" x="593"/>
        <item h="1" m="1" x="600"/>
        <item h="1" m="1" x="608"/>
        <item h="1" m="1" x="612"/>
        <item h="1" x="272"/>
        <item h="1" m="1" x="550"/>
        <item h="1" m="1" x="959"/>
        <item h="1" x="306"/>
        <item h="1" m="1" x="961"/>
        <item h="1" m="1" x="962"/>
        <item h="1" x="318"/>
        <item h="1" m="1" x="882"/>
        <item h="1" m="1" x="964"/>
        <item h="1" m="1" x="965"/>
        <item h="1" m="1" x="966"/>
        <item h="1" m="1" x="967"/>
        <item h="1" m="1" x="968"/>
        <item h="1" m="1" x="881"/>
        <item h="1" m="1" x="969"/>
        <item h="1" m="1" x="970"/>
        <item h="1" m="1" x="971"/>
        <item h="1" m="1" x="973"/>
        <item h="1" m="1" x="822"/>
        <item h="1" m="1" x="974"/>
        <item h="1" m="1" x="976"/>
        <item h="1" x="344"/>
        <item h="1" m="1" x="978"/>
        <item h="1" m="1" x="979"/>
        <item h="1" m="1" x="980"/>
        <item h="1" m="1" x="687"/>
        <item h="1" m="1" x="981"/>
        <item h="1" m="1" x="982"/>
        <item h="1" m="1" x="983"/>
        <item h="1" m="1" x="984"/>
        <item h="1" m="1" x="985"/>
        <item h="1" m="1" x="679"/>
        <item h="1" m="1" x="986"/>
        <item h="1" m="1" x="987"/>
        <item h="1" m="1" x="837"/>
        <item h="1" x="377"/>
        <item h="1" x="378"/>
        <item h="1" m="1" x="988"/>
        <item h="1" m="1" x="989"/>
        <item h="1" x="398"/>
        <item h="1" m="1" x="990"/>
        <item h="1" m="1" x="995"/>
        <item h="1" m="1" x="996"/>
        <item h="1" m="1" x="997"/>
        <item h="1" m="1" x="998"/>
        <item h="1" m="1" x="99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13"/>
        <item h="1" m="1" x="787"/>
        <item h="1" m="1" x="1014"/>
        <item h="1" x="0"/>
        <item h="1" m="1" x="443"/>
        <item h="1" m="1" x="447"/>
        <item h="1" m="1" x="461"/>
        <item h="1" x="39"/>
        <item h="1" m="1" x="475"/>
        <item h="1" m="1" x="485"/>
        <item h="1" m="1" x="850"/>
        <item h="1" m="1" x="851"/>
        <item h="1" m="1" x="799"/>
        <item h="1" x="57"/>
        <item h="1" x="58"/>
        <item h="1" m="1" x="519"/>
        <item h="1" m="1" x="508"/>
        <item h="1" m="1" x="509"/>
        <item h="1" m="1" x="510"/>
        <item h="1" x="66"/>
        <item h="1" x="140"/>
        <item h="1" m="1" x="800"/>
        <item h="1" x="125"/>
        <item h="1" x="128"/>
        <item h="1" m="1" x="868"/>
        <item h="1" m="1" x="529"/>
        <item h="1" m="1" x="528"/>
        <item h="1" m="1" x="869"/>
        <item h="1" m="1" x="870"/>
        <item h="1" m="1" x="540"/>
        <item h="1" x="193"/>
        <item h="1" m="1" x="548"/>
        <item h="1" x="155"/>
        <item h="1" x="149"/>
        <item h="1" m="1" x="549"/>
        <item h="1" x="192"/>
        <item h="1" x="190"/>
        <item h="1" x="191"/>
        <item h="1" x="171"/>
        <item h="1" m="1" x="552"/>
        <item h="1" m="1" x="874"/>
        <item h="1" m="1" x="580"/>
        <item h="1" m="1" x="579"/>
        <item h="1" x="216"/>
        <item h="1" m="1" x="569"/>
        <item h="1" m="1" x="573"/>
        <item h="1" m="1" x="570"/>
        <item h="1" m="1" x="574"/>
        <item h="1" x="287"/>
        <item h="1" m="1" x="590"/>
        <item h="1" m="1" x="591"/>
        <item h="1" m="1" x="592"/>
        <item h="1" x="229"/>
        <item h="1" m="1" x="601"/>
        <item h="1" m="1" x="602"/>
        <item h="1" m="1" x="603"/>
        <item h="1" m="1" x="604"/>
        <item h="1" m="1" x="605"/>
        <item h="1" m="1" x="606"/>
        <item h="1" x="243"/>
        <item h="1" m="1" x="875"/>
        <item h="1" m="1" x="614"/>
        <item h="1" m="1" x="615"/>
        <item h="1" x="297"/>
        <item h="1" m="1" x="621"/>
        <item h="1" m="1" x="622"/>
        <item h="1" m="1" x="616"/>
        <item h="1" m="1" x="617"/>
        <item h="1" m="1" x="623"/>
        <item h="1" m="1" x="629"/>
        <item h="1" x="282"/>
        <item h="1" x="283"/>
        <item h="1" m="1" x="638"/>
        <item h="1" m="1" x="639"/>
        <item h="1" m="1" x="641"/>
        <item h="1" m="1" x="642"/>
        <item h="1" m="1" x="651"/>
        <item h="1" x="314"/>
        <item h="1" x="315"/>
        <item h="1" x="316"/>
        <item h="1" m="1" x="878"/>
        <item h="1" m="1" x="815"/>
        <item h="1" m="1" x="879"/>
        <item h="1" m="1" x="816"/>
        <item h="1" m="1" x="880"/>
        <item h="1" x="326"/>
        <item h="1" m="1" x="718"/>
        <item h="1" m="1" x="883"/>
        <item h="1" m="1" x="884"/>
        <item h="1" m="1" x="710"/>
        <item h="1" m="1" x="711"/>
        <item h="1" m="1" x="885"/>
        <item h="1" m="1" x="886"/>
        <item h="1" m="1" x="887"/>
        <item h="1" m="1" x="888"/>
        <item h="1" m="1" x="890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667"/>
        <item h="1" m="1" x="899"/>
        <item h="1" m="1" x="900"/>
        <item h="1" m="1" x="702"/>
        <item h="1" x="340"/>
        <item h="1" x="341"/>
        <item h="1" m="1" x="730"/>
        <item h="1" m="1" x="729"/>
        <item h="1" m="1" x="902"/>
        <item h="1" m="1" x="903"/>
        <item h="1" x="384"/>
        <item h="1" x="385"/>
        <item h="1" m="1" x="904"/>
        <item h="1" m="1" x="905"/>
        <item h="1" m="1" x="750"/>
        <item h="1" x="405"/>
        <item h="1" m="1" x="906"/>
        <item h="1" m="1" x="907"/>
        <item h="1" m="1" x="908"/>
        <item h="1" m="1" x="909"/>
        <item h="1" m="1" x="911"/>
        <item h="1" m="1" x="912"/>
        <item h="1" m="1" x="913"/>
        <item h="1" m="1" x="914"/>
        <item h="1" m="1" x="915"/>
        <item h="1" m="1" x="916"/>
        <item h="1" m="1" x="918"/>
        <item h="1" m="1" x="919"/>
        <item h="1" x="414"/>
        <item h="1" x="413"/>
        <item h="1" x="415"/>
        <item h="1" m="1" x="790"/>
        <item h="1" m="1" x="456"/>
        <item h="1" m="1" x="457"/>
        <item h="1" m="1" x="448"/>
        <item h="1" m="1" x="449"/>
        <item h="1" m="1" x="450"/>
        <item h="1" m="1" x="467"/>
        <item h="1" m="1" x="462"/>
        <item h="1" x="117"/>
        <item h="1" m="1" x="474"/>
        <item h="1" x="53"/>
        <item h="1" m="1" x="493"/>
        <item h="1" m="1" x="522"/>
        <item h="1" x="81"/>
        <item h="1" m="1" x="542"/>
        <item h="1" x="152"/>
        <item h="1" x="151"/>
        <item h="1" x="188"/>
        <item h="1" m="1" x="551"/>
        <item h="1" x="199"/>
        <item h="1" x="126"/>
        <item h="1" m="1" x="527"/>
        <item h="1" m="1" x="583"/>
        <item h="1" m="1" x="584"/>
        <item h="1" x="219"/>
        <item h="1" m="1" x="568"/>
        <item h="1" m="1" x="587"/>
        <item h="1" m="1" x="594"/>
        <item h="1" m="1" x="464"/>
        <item h="1" x="236"/>
        <item h="1" m="1" x="597"/>
        <item h="1" m="1" x="632"/>
        <item h="1" x="284"/>
        <item h="1" m="1" x="625"/>
        <item h="1" m="1" x="626"/>
        <item h="1" x="294"/>
        <item h="1" m="1" x="646"/>
        <item h="1" m="1" x="648"/>
        <item h="1" m="1" x="650"/>
        <item h="1" m="1" x="645"/>
        <item h="1" m="1" x="634"/>
        <item h="1" m="1" x="652"/>
        <item h="1" m="1" x="813"/>
        <item h="1" m="1" x="814"/>
        <item h="1" m="1" x="817"/>
        <item h="1" m="1" x="818"/>
        <item h="1" m="1" x="819"/>
        <item h="1" m="1" x="823"/>
        <item h="1" m="1" x="824"/>
        <item h="1" m="1" x="825"/>
        <item h="1" m="1" x="826"/>
        <item h="1" m="1" x="827"/>
        <item h="1" m="1" x="828"/>
        <item h="1" m="1" x="829"/>
        <item h="1" m="1" x="830"/>
        <item h="1" m="1" x="677"/>
        <item h="1" m="1" x="832"/>
        <item h="1" m="1" x="833"/>
        <item h="1" m="1" x="834"/>
        <item h="1" m="1" x="835"/>
        <item h="1" m="1" x="836"/>
        <item h="1" x="355"/>
        <item h="1" x="380"/>
        <item h="1" x="383"/>
        <item h="1" m="1" x="839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767"/>
        <item h="1" x="427"/>
        <item h="1" x="431"/>
        <item h="1" m="1" x="439"/>
        <item h="1" x="9"/>
        <item h="1" m="1" x="444"/>
        <item h="1" m="1" x="446"/>
        <item h="1" m="1" x="454"/>
        <item h="1" m="1" x="455"/>
        <item h="1" x="26"/>
        <item h="1" m="1" x="460"/>
        <item h="1" m="1" x="463"/>
        <item h="1" m="1" x="466"/>
        <item h="1" m="1" x="472"/>
        <item h="1" m="1" x="481"/>
        <item h="1" m="1" x="482"/>
        <item h="1" m="1" x="484"/>
        <item h="1" m="1" x="488"/>
        <item h="1" m="1" x="489"/>
        <item h="1" m="1" x="490"/>
        <item h="1" m="1" x="491"/>
        <item h="1" m="1" x="492"/>
        <item h="1" x="51"/>
        <item h="1" m="1" x="498"/>
        <item h="1" m="1" x="499"/>
        <item h="1" m="1" x="504"/>
        <item h="1" m="1" x="507"/>
        <item h="1" x="82"/>
        <item h="1" x="84"/>
        <item h="1" x="116"/>
        <item h="1" x="86"/>
        <item h="1" m="1" x="531"/>
        <item h="1" m="1" x="532"/>
        <item h="1" x="143"/>
        <item h="1" m="1" x="541"/>
        <item h="1" x="145"/>
        <item h="1" x="184"/>
        <item h="1" x="185"/>
        <item h="1" x="186"/>
        <item h="1" x="187"/>
        <item h="1" x="183"/>
        <item h="1" x="166"/>
        <item h="1" x="123"/>
        <item h="1" m="1" x="562"/>
        <item h="1" m="1" x="581"/>
        <item h="1" m="1" x="596"/>
        <item h="1" m="1" x="598"/>
        <item h="1" x="238"/>
        <item h="1" x="239"/>
        <item h="1" x="242"/>
        <item h="1" x="235"/>
        <item h="1" m="1" x="609"/>
        <item h="1" x="241"/>
        <item h="1" x="267"/>
        <item h="1" m="1" x="618"/>
        <item h="1" m="1" x="619"/>
        <item h="1" m="1" x="624"/>
        <item h="1" x="263"/>
        <item h="1" x="251"/>
        <item h="1" x="253"/>
        <item h="1" x="257"/>
        <item h="1" x="281"/>
        <item h="1" m="1" x="637"/>
        <item h="1" m="1" x="643"/>
        <item h="1" m="1" x="644"/>
        <item h="1" m="1" x="649"/>
        <item h="1" m="1" x="653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4"/>
        <item h="1" m="1" x="665"/>
        <item h="1" m="1" x="668"/>
        <item h="1" m="1" x="669"/>
        <item h="1" m="1" x="670"/>
        <item h="1" m="1" x="671"/>
        <item h="1" m="1" x="672"/>
        <item h="1" m="1" x="673"/>
        <item h="1" m="1" x="674"/>
        <item h="1" m="1" x="676"/>
        <item h="1" m="1" x="678"/>
        <item h="1" m="1" x="681"/>
        <item h="1" m="1" x="682"/>
        <item h="1" m="1" x="683"/>
        <item h="1" m="1" x="684"/>
        <item h="1" m="1" x="686"/>
        <item h="1" m="1" x="689"/>
        <item h="1" m="1" x="690"/>
        <item h="1" m="1" x="691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x="371"/>
        <item h="1" m="1" x="707"/>
        <item h="1" m="1" x="708"/>
        <item h="1" m="1" x="709"/>
        <item h="1" m="1" x="714"/>
        <item h="1" m="1" x="715"/>
        <item h="1" m="1" x="716"/>
        <item h="1" m="1" x="717"/>
        <item h="1" m="1" x="719"/>
        <item h="1" m="1" x="720"/>
        <item h="1" m="1" x="721"/>
        <item h="1" x="339"/>
        <item h="1" m="1" x="725"/>
        <item h="1" x="343"/>
        <item h="1" m="1" x="726"/>
        <item h="1" m="1" x="728"/>
        <item h="1" m="1" x="731"/>
        <item h="1" x="374"/>
        <item h="1" x="381"/>
        <item h="1" m="1" x="732"/>
        <item h="1" m="1" x="733"/>
        <item h="1" m="1" x="734"/>
        <item h="1" x="379"/>
        <item h="1" m="1" x="735"/>
        <item h="1" m="1" x="738"/>
        <item h="1" m="1" x="739"/>
        <item h="1" x="389"/>
        <item h="1" m="1" x="741"/>
        <item h="1" x="394"/>
        <item h="1" m="1" x="742"/>
        <item h="1" m="1" x="743"/>
        <item h="1" m="1" x="744"/>
        <item h="1" m="1" x="745"/>
        <item h="1" m="1" x="746"/>
        <item h="1" m="1" x="747"/>
        <item h="1" x="400"/>
        <item h="1" x="401"/>
        <item h="1" x="404"/>
        <item h="1" m="1" x="753"/>
        <item h="1" x="408"/>
        <item h="1" m="1" x="754"/>
        <item h="1" m="1" x="756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71"/>
        <item h="1" x="416"/>
        <item h="1" m="1" x="775"/>
        <item h="1" x="420"/>
        <item h="1" m="1" x="778"/>
        <item h="1" m="1" x="784"/>
        <item h="1" m="1" x="788"/>
        <item h="1" x="14"/>
        <item h="1" x="19"/>
        <item h="1" x="22"/>
        <item h="1" x="23"/>
        <item h="1" x="28"/>
        <item h="1" x="29"/>
        <item h="1" x="32"/>
        <item h="1" x="40"/>
        <item h="1" x="41"/>
        <item h="1" x="44"/>
        <item h="1" x="46"/>
        <item h="1" x="47"/>
        <item h="1" x="89"/>
        <item h="1" x="90"/>
        <item h="1" x="91"/>
        <item h="1" x="95"/>
        <item h="1" x="97"/>
        <item h="1" x="106"/>
        <item h="1" x="113"/>
        <item h="1" x="114"/>
        <item h="1" x="115"/>
        <item h="1" x="121"/>
        <item h="1" x="207"/>
        <item h="1" x="208"/>
        <item h="1" x="209"/>
        <item h="1" x="210"/>
        <item h="1" x="211"/>
        <item h="1" x="212"/>
        <item h="1" x="221"/>
        <item h="1" x="222"/>
        <item h="1" x="224"/>
        <item h="1" x="230"/>
        <item h="1" x="244"/>
        <item h="1" x="245"/>
        <item h="1" x="258"/>
        <item h="1" x="262"/>
        <item h="1" x="279"/>
        <item h="1" x="285"/>
        <item h="1" x="286"/>
        <item h="1" x="288"/>
        <item h="1" x="293"/>
        <item h="1" x="295"/>
        <item h="1" x="296"/>
        <item h="1" x="301"/>
        <item h="1" x="302"/>
        <item h="1" x="303"/>
        <item h="1" x="304"/>
        <item h="1" x="309"/>
        <item h="1" x="313"/>
        <item h="1" x="319"/>
        <item h="1" x="320"/>
        <item h="1" x="321"/>
        <item h="1" x="322"/>
        <item h="1" x="323"/>
        <item h="1" x="324"/>
        <item h="1" x="325"/>
        <item h="1" x="331"/>
        <item h="1" x="332"/>
        <item h="1" x="334"/>
        <item h="1" x="337"/>
        <item h="1" x="338"/>
        <item h="1" x="342"/>
        <item h="1" x="346"/>
        <item h="1" x="348"/>
        <item h="1" x="350"/>
        <item h="1" x="351"/>
        <item h="1" x="352"/>
        <item h="1" x="353"/>
        <item h="1" x="356"/>
        <item h="1" x="357"/>
        <item h="1" x="358"/>
        <item h="1" x="359"/>
        <item h="1" x="360"/>
        <item h="1" x="363"/>
        <item h="1" x="364"/>
        <item h="1" x="365"/>
        <item h="1" x="366"/>
        <item h="1" x="367"/>
        <item h="1" x="370"/>
        <item h="1" x="372"/>
        <item h="1" x="373"/>
        <item h="1" x="386"/>
        <item h="1" x="387"/>
        <item h="1" x="390"/>
        <item h="1" x="391"/>
        <item h="1" x="392"/>
        <item h="1" x="393"/>
        <item h="1" x="395"/>
        <item h="1" x="406"/>
        <item h="1" x="407"/>
        <item h="1" x="409"/>
        <item h="1" x="410"/>
        <item h="1" x="417"/>
        <item h="1" x="430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8"/>
    </i>
    <i r="1">
      <x v="9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6">
    <format dxfId="45">
      <pivotArea field="27" type="button" dataOnly="0" labelOnly="1" outline="0" axis="axisPage" fieldPosition="0"/>
    </format>
    <format dxfId="44">
      <pivotArea outline="0" collapsedLevelsAreSubtotals="1" fieldPosition="0"/>
    </format>
    <format dxfId="43">
      <pivotArea type="all" dataOnly="0" outline="0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grandRow="1" outline="0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grandRow="1" outline="0" fieldPosition="0"/>
    </format>
    <format dxfId="35">
      <pivotArea dataOnly="0" labelOnly="1" outline="0" axis="axisValues" fieldPosition="0"/>
    </format>
    <format dxfId="34">
      <pivotArea grandRow="1"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labelOnly="1" outline="0" axis="axisValues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grandRow="1" outline="0" fieldPosition="0"/>
    </format>
    <format dxfId="26">
      <pivotArea dataOnly="0" labelOnly="1" outline="0" axis="axisValues" fieldPosition="0"/>
    </format>
    <format dxfId="25">
      <pivotArea type="all" dataOnly="0" outline="0" fieldPosition="0"/>
    </format>
    <format>
      <pivotArea type="all" dataOnly="0" outline="0" fieldPosition="0"/>
    </format>
    <format dxfId="24">
      <pivotArea grandRow="1" outline="0" collapsedLevelsAreSubtotals="1" fieldPosition="0"/>
    </format>
    <format dxfId="23">
      <pivotArea type="all" dataOnly="0" outline="0" fieldPosition="0"/>
    </format>
    <format dxfId="22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21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grandRow="1" outline="0" fieldPosition="0"/>
    </format>
    <format dxfId="17">
      <pivotArea dataOnly="0" labelOnly="1" outline="0" axis="axisValues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44" type="button" dataOnly="0" labelOnly="1" outline="0" axis="axisRow" fieldPosition="0"/>
    </format>
    <format dxfId="9">
      <pivotArea dataOnly="0" labelOnly="1" fieldPosition="0">
        <references count="1">
          <reference field="44" count="1">
            <x v="0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6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5">
      <pivotArea dataOnly="0" labelOnly="1" grandRow="1" outline="0" fieldPosition="0"/>
    </format>
    <format dxfId="4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3">
      <pivotArea dataOnly="0" labelOnly="1" fieldPosition="0">
        <references count="1">
          <reference field="44" count="1">
            <x v="0"/>
          </reference>
        </references>
      </pivotArea>
    </format>
    <format dxfId="2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  <format dxfId="1">
      <pivotArea dataOnly="0" labelOnly="1" fieldPosition="0">
        <references count="1">
          <reference field="44" count="1">
            <x v="0"/>
          </reference>
        </references>
      </pivotArea>
    </format>
    <format dxfId="0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1:N126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axis="axisRow" showAll="0">
      <items count="9">
        <item x="3"/>
        <item x="0"/>
        <item x="1"/>
        <item x="2"/>
        <item x="4"/>
        <item m="1" x="7"/>
        <item m="1" x="6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6"/>
        <item m="1" x="1613"/>
        <item m="1" x="1897"/>
        <item m="1" x="2376"/>
        <item m="1" x="3192"/>
        <item x="177"/>
        <item x="276"/>
        <item x="3"/>
        <item x="274"/>
        <item x="162"/>
        <item m="1" x="640"/>
        <item m="1" x="6537"/>
        <item m="1" x="1589"/>
        <item x="347"/>
        <item x="250"/>
        <item m="1" x="1363"/>
        <item m="1" x="1709"/>
        <item x="429"/>
        <item m="1" x="853"/>
        <item m="1" x="1484"/>
        <item m="1" x="2788"/>
        <item m="1" x="5129"/>
        <item x="424"/>
        <item m="1" x="786"/>
        <item x="435"/>
        <item x="246"/>
        <item m="1" x="6058"/>
        <item x="240"/>
        <item x="8"/>
        <item m="1" x="546"/>
        <item m="1" x="516"/>
        <item m="1" x="2202"/>
        <item x="189"/>
        <item m="1" x="2911"/>
        <item m="1" x="1094"/>
        <item x="135"/>
        <item m="1" x="1110"/>
        <item x="204"/>
        <item m="1" x="1844"/>
        <item m="1" x="576"/>
        <item m="1" x="7293"/>
        <item m="1" x="713"/>
        <item m="1" x="1828"/>
        <item m="1" x="2692"/>
        <item x="33"/>
        <item m="1" x="1103"/>
        <item m="1" x="1849"/>
        <item m="1" x="770"/>
        <item m="1" x="3180"/>
        <item m="1" x="1916"/>
        <item x="203"/>
        <item x="65"/>
        <item m="1" x="785"/>
        <item h="1" m="1" x="958"/>
        <item h="1" m="1" x="1785"/>
        <item h="1" x="278"/>
        <item h="1" m="1" x="476"/>
        <item h="1" x="217"/>
        <item h="1" m="1" x="1578"/>
        <item h="1" m="1" x="2995"/>
        <item h="1" x="327"/>
        <item h="1" x="11"/>
        <item h="1" m="1" x="1466"/>
        <item h="1" m="1" x="847"/>
        <item h="1" m="1" x="2580"/>
        <item h="1" m="1" x="1070"/>
        <item h="1" m="1" x="5606"/>
        <item h="1" m="1" x="1716"/>
        <item h="1" m="1" x="2358"/>
        <item h="1" x="197"/>
        <item h="1" x="271"/>
        <item h="1" m="1" x="3126"/>
        <item h="1" x="423"/>
        <item h="1" m="1" x="5374"/>
        <item h="1" x="71"/>
        <item h="1" x="16"/>
        <item h="1" m="1" x="496"/>
        <item h="1" x="255"/>
        <item h="1" x="194"/>
        <item h="1" x="175"/>
        <item h="1" x="249"/>
        <item h="1" x="27"/>
        <item h="1" m="1" x="1982"/>
        <item h="1" m="1" x="2665"/>
        <item h="1" m="1" x="5522"/>
        <item h="1" m="1" x="563"/>
        <item h="1" m="1" x="3485"/>
        <item h="1" m="1" x="2343"/>
        <item h="1" x="300"/>
        <item h="1" x="291"/>
        <item h="1" m="1" x="3654"/>
        <item h="1" m="1" x="3520"/>
        <item h="1" m="1" x="3688"/>
        <item h="1" x="88"/>
        <item h="1" x="399"/>
        <item h="1" m="1" x="5728"/>
        <item h="1" m="1" x="5187"/>
        <item h="1" m="1" x="4314"/>
        <item h="1" m="1" x="3911"/>
        <item h="1" m="1" x="4197"/>
        <item h="1" m="1" x="6326"/>
        <item h="1" m="1" x="559"/>
        <item h="1" m="1" x="7863"/>
        <item h="1" m="1" x="1105"/>
        <item h="1" m="1" x="921"/>
        <item h="1" m="1" x="6016"/>
        <item h="1" m="1" x="7703"/>
        <item h="1" m="1" x="1043"/>
        <item h="1" m="1" x="7817"/>
        <item h="1" m="1" x="7674"/>
        <item h="1" m="1" x="2320"/>
        <item h="1" m="1" x="1074"/>
        <item h="1" m="1" x="838"/>
        <item h="1" m="1" x="4317"/>
        <item h="1" x="154"/>
        <item h="1" m="1" x="5183"/>
        <item h="1" m="1" x="5120"/>
        <item h="1" m="1" x="2586"/>
        <item h="1" m="1" x="611"/>
        <item h="1" m="1" x="2701"/>
        <item h="1" m="1" x="3179"/>
        <item h="1" m="1" x="3883"/>
        <item h="1" m="1" x="7290"/>
        <item h="1" m="1" x="2790"/>
        <item h="1" m="1" x="1554"/>
        <item h="1" m="1" x="6070"/>
        <item h="1" m="1" x="752"/>
        <item h="1" m="1" x="495"/>
        <item h="1" m="1" x="1010"/>
        <item h="1" m="1" x="5560"/>
        <item h="1" m="1" x="1990"/>
        <item h="1" m="1" x="5166"/>
        <item h="1" m="1" x="5505"/>
        <item h="1" m="1" x="7250"/>
        <item h="1" m="1" x="7872"/>
        <item h="1" m="1" x="5944"/>
        <item h="1" m="1" x="3533"/>
        <item h="1" m="1" x="5586"/>
        <item h="1" m="1" x="1358"/>
        <item h="1" m="1" x="3428"/>
        <item h="1" m="1" x="5535"/>
        <item h="1" m="1" x="3325"/>
        <item h="1" m="1" x="2324"/>
        <item h="1" m="1" x="7765"/>
        <item h="1" x="305"/>
        <item h="1" m="1" x="858"/>
        <item h="1" m="1" x="2543"/>
        <item h="1" m="1" x="811"/>
        <item h="1" m="1" x="4772"/>
        <item h="1" m="1" x="1846"/>
        <item h="1" m="1" x="4914"/>
        <item h="1" x="170"/>
        <item h="1" x="67"/>
        <item h="1" m="1" x="3161"/>
        <item h="1" m="1" x="2029"/>
        <item h="1" m="1" x="848"/>
        <item h="1" m="1" x="1711"/>
        <item h="1" m="1" x="891"/>
        <item h="1" x="144"/>
        <item h="1" m="1" x="2314"/>
        <item h="1" m="1" x="860"/>
        <item h="1" m="1" x="2133"/>
        <item h="1" m="1" x="6013"/>
        <item h="1" m="1" x="1342"/>
        <item h="1" m="1" x="3760"/>
        <item h="1" x="422"/>
        <item h="1" m="1" x="1097"/>
        <item h="1" m="1" x="3433"/>
        <item h="1" x="64"/>
        <item h="1" m="1" x="613"/>
        <item h="1" m="1" x="3184"/>
        <item h="1" m="1" x="7623"/>
        <item h="1" x="69"/>
        <item h="1" m="1" x="2150"/>
        <item h="1" m="1" x="1370"/>
        <item h="1" m="1" x="852"/>
        <item h="1" x="260"/>
        <item h="1" m="1" x="4326"/>
        <item h="1" m="1" x="3354"/>
        <item h="1" x="12"/>
        <item h="1" m="1" x="2550"/>
        <item h="1" m="1" x="3064"/>
        <item h="1" m="1" x="5531"/>
        <item h="1" x="218"/>
        <item h="1" m="1" x="436"/>
        <item h="1" m="1" x="2844"/>
        <item h="1" m="1" x="6757"/>
        <item h="1" x="307"/>
        <item h="1" x="124"/>
        <item h="1" m="1" x="7385"/>
        <item h="1" m="1" x="957"/>
        <item h="1" m="1" x="1875"/>
        <item h="1" m="1" x="5673"/>
        <item h="1" m="1" x="3876"/>
        <item h="1" m="1" x="2639"/>
        <item h="1" m="1" x="1872"/>
        <item h="1" m="1" x="3287"/>
        <item h="1" x="215"/>
        <item h="1" m="1" x="6696"/>
        <item h="1" x="87"/>
        <item h="1" m="1" x="7622"/>
        <item h="1" x="10"/>
        <item h="1" x="147"/>
        <item h="1" m="1" x="3173"/>
        <item h="1" m="1" x="4198"/>
        <item h="1" m="1" x="1079"/>
        <item h="1" m="1" x="2232"/>
        <item h="1" m="1" x="5368"/>
        <item h="1" m="1" x="2696"/>
        <item h="1" m="1" x="5194"/>
        <item h="1" m="1" x="1788"/>
        <item h="1" m="1" x="1359"/>
        <item h="1" m="1" x="3787"/>
        <item h="1" m="1" x="2010"/>
        <item h="1" x="132"/>
        <item h="1" m="1" x="1868"/>
        <item h="1" m="1" x="2872"/>
        <item h="1" m="1" x="7428"/>
        <item h="1" m="1" x="3270"/>
        <item h="1" m="1" x="5364"/>
        <item h="1" m="1" x="2566"/>
        <item h="1" m="1" x="7743"/>
        <item h="1" m="1" x="5000"/>
        <item h="1" m="1" x="3481"/>
        <item h="1" x="256"/>
        <item h="1" m="1" x="5320"/>
        <item h="1" m="1" x="4686"/>
        <item h="1" m="1" x="7750"/>
        <item h="1" m="1" x="5358"/>
        <item h="1" m="1" x="469"/>
        <item h="1" x="7"/>
        <item h="1" m="1" x="5960"/>
        <item h="1" m="1" x="3664"/>
        <item h="1" m="1" x="2237"/>
        <item h="1" x="266"/>
        <item h="1" m="1" x="805"/>
        <item h="1" m="1" x="5369"/>
        <item h="1" m="1" x="1717"/>
        <item h="1" m="1" x="4017"/>
        <item h="1" m="1" x="2874"/>
        <item h="1" m="1" x="3038"/>
        <item h="1" m="1" x="6996"/>
        <item h="1" m="1" x="4070"/>
        <item h="1" m="1" x="1989"/>
        <item h="1" m="1" x="6027"/>
        <item h="1" m="1" x="2812"/>
        <item h="1" m="1" x="950"/>
        <item h="1" x="220"/>
        <item h="1" m="1" x="936"/>
        <item h="1" m="1" x="924"/>
        <item h="1" m="1" x="2965"/>
        <item h="1" m="1" x="5002"/>
        <item h="1" m="1" x="2424"/>
        <item h="1" m="1" x="2653"/>
        <item h="1" x="214"/>
        <item h="1" x="142"/>
        <item h="1" m="1" x="6012"/>
        <item h="1" x="261"/>
        <item h="1" m="1" x="5396"/>
        <item h="1" m="1" x="2724"/>
        <item h="1" m="1" x="5334"/>
        <item h="1" x="168"/>
        <item h="1" m="1" x="5849"/>
        <item h="1" m="1" x="2322"/>
        <item h="1" x="403"/>
        <item h="1" m="1" x="1367"/>
        <item h="1" m="1" x="3940"/>
        <item h="1" m="1" x="2327"/>
        <item h="1" m="1" x="3753"/>
        <item h="1" m="1" x="7927"/>
        <item h="1" m="1" x="5520"/>
        <item h="1" m="1" x="5515"/>
        <item h="1" m="1" x="7055"/>
        <item h="1" m="1" x="6692"/>
        <item h="1" m="1" x="4987"/>
        <item h="1" m="1" x="3944"/>
        <item h="1" m="1" x="2393"/>
        <item h="1" m="1" x="635"/>
        <item h="1" m="1" x="7937"/>
        <item h="1" m="1" x="6987"/>
        <item h="1" x="225"/>
        <item h="1" m="1" x="5632"/>
        <item h="1" m="1" x="4787"/>
        <item h="1" m="1" x="5737"/>
        <item h="1" m="1" x="6866"/>
        <item h="1" m="1" x="5174"/>
        <item h="1" m="1" x="4181"/>
        <item h="1" m="1" x="6780"/>
        <item h="1" m="1" x="3177"/>
        <item h="1" m="1" x="2855"/>
        <item h="1" m="1" x="525"/>
        <item h="1" m="1" x="1039"/>
        <item h="1" m="1" x="520"/>
        <item h="1" m="1" x="4781"/>
        <item h="1" m="1" x="3755"/>
        <item h="1" m="1" x="7501"/>
        <item h="1" m="1" x="3272"/>
        <item h="1" m="1" x="7616"/>
        <item h="1" m="1" x="1658"/>
        <item h="1" m="1" x="3669"/>
        <item h="1" m="1" x="2690"/>
        <item h="1" m="1" x="5355"/>
        <item h="1" m="1" x="5742"/>
        <item h="1" m="1" x="3870"/>
        <item h="1" m="1" x="2634"/>
        <item h="1" m="1" x="7614"/>
        <item h="1" m="1" x="4870"/>
        <item h="1" m="1" x="804"/>
        <item h="1" m="1" x="5500"/>
        <item h="1" m="1" x="7609"/>
        <item h="1" m="1" x="3271"/>
        <item h="1" m="1" x="7286"/>
        <item h="1" m="1" x="6905"/>
        <item h="1" m="1" x="5850"/>
        <item h="1" m="1" x="2389"/>
        <item h="1" m="1" x="1980"/>
        <item h="1" m="1" x="2392"/>
        <item h="1" m="1" x="6689"/>
        <item h="1" m="1" x="3243"/>
        <item h="1" m="1" x="2328"/>
        <item h="1" m="1" x="5186"/>
        <item h="1" m="1" x="3245"/>
        <item h="1" m="1" x="2146"/>
        <item h="1" m="1" x="6598"/>
        <item h="1" m="1" x="5749"/>
        <item h="1" m="1" x="4668"/>
        <item h="1" m="1" x="7463"/>
        <item h="1" m="1" x="4397"/>
        <item h="1" m="1" x="7904"/>
        <item h="1" m="1" x="5645"/>
        <item h="1" m="1" x="7318"/>
        <item h="1" m="1" x="7749"/>
        <item h="1" m="1" x="6929"/>
        <item h="1" m="1" x="5718"/>
        <item h="1" m="1" x="511"/>
        <item h="1" m="1" x="4669"/>
        <item h="1" m="1" x="946"/>
        <item h="1" m="1" x="5010"/>
        <item h="1" m="1" x="3758"/>
        <item h="1" m="1" x="544"/>
        <item h="1" m="1" x="7840"/>
        <item h="1" m="1" x="4855"/>
        <item h="1" m="1" x="2398"/>
        <item h="1" m="1" x="3130"/>
        <item h="1" m="1" x="7613"/>
        <item h="1" m="1" x="2992"/>
        <item h="1" m="1" x="7059"/>
        <item h="1" m="1" x="7452"/>
        <item h="1" m="1" x="3537"/>
        <item h="1" m="1" x="7441"/>
        <item h="1" m="1" x="680"/>
        <item h="1" m="1" x="7550"/>
        <item h="1" m="1" x="7002"/>
        <item h="1" m="1" x="7209"/>
        <item h="1" x="85"/>
        <item h="1" m="1" x="558"/>
        <item h="1" m="1" x="6624"/>
        <item h="1" m="1" x="7048"/>
        <item h="1" m="1" x="2993"/>
        <item h="1" m="1" x="6375"/>
        <item h="1" m="1" x="6517"/>
        <item h="1" m="1" x="4788"/>
        <item h="1" m="1" x="6704"/>
        <item h="1" m="1" x="3045"/>
        <item h="1" m="1" x="6968"/>
        <item h="1" m="1" x="6963"/>
        <item h="1" m="1" x="5135"/>
        <item h="1" m="1" x="4261"/>
        <item h="1" m="1" x="4195"/>
        <item h="1" m="1" x="1860"/>
        <item h="1" m="1" x="6452"/>
        <item h="1" m="1" x="5503"/>
        <item h="1" m="1" x="2909"/>
        <item h="1" m="1" x="1941"/>
        <item h="1" m="1" x="2410"/>
        <item h="1" m="1" x="6454"/>
        <item h="1" m="1" x="4421"/>
        <item h="1" m="1" x="3502"/>
        <item h="1" m="1" x="6875"/>
        <item h="1" m="1" x="7742"/>
        <item h="1" m="1" x="7106"/>
        <item h="1" m="1" x="6907"/>
        <item h="1" m="1" x="3757"/>
        <item h="1" m="1" x="6589"/>
        <item h="1" m="1" x="3809"/>
        <item h="1" m="1" x="7846"/>
        <item h="1" m="1" x="7571"/>
        <item h="1" m="1" x="7307"/>
        <item h="1" m="1" x="6352"/>
        <item h="1" m="1" x="5471"/>
        <item h="1" m="1" x="4193"/>
        <item h="1" m="1" x="3903"/>
        <item h="1" m="1" x="5107"/>
        <item h="1" m="1" x="7725"/>
        <item h="1" m="1" x="6947"/>
        <item h="1" m="1" x="6948"/>
        <item h="1" m="1" x="6381"/>
        <item h="1" m="1" x="5943"/>
        <item h="1" m="1" x="806"/>
        <item h="1" m="1" x="2109"/>
        <item h="1" m="1" x="5323"/>
        <item h="1" m="1" x="6539"/>
        <item h="1" m="1" x="6908"/>
        <item h="1" m="1" x="1124"/>
        <item h="1" m="1" x="5528"/>
        <item h="1" m="1" x="7845"/>
        <item h="1" m="1" x="5004"/>
        <item h="1" m="1" x="6331"/>
        <item h="1" m="1" x="7641"/>
        <item h="1" m="1" x="7760"/>
        <item h="1" m="1" x="7540"/>
        <item h="1" m="1" x="7784"/>
        <item h="1" m="1" x="7539"/>
        <item h="1" m="1" x="5462"/>
        <item h="1" m="1" x="7746"/>
        <item h="1" m="1" x="5584"/>
        <item h="1" m="1" x="7914"/>
        <item h="1" m="1" x="1942"/>
        <item h="1" m="1" x="2364"/>
        <item h="1" m="1" x="6694"/>
        <item h="1" m="1" x="7794"/>
        <item h="1" m="1" x="6026"/>
        <item h="1" m="1" x="5295"/>
        <item h="1" m="1" x="5168"/>
        <item h="1" m="1" x="2594"/>
        <item h="1" m="1" x="7438"/>
        <item h="1" m="1" x="2116"/>
        <item h="1" m="1" x="5721"/>
        <item h="1" m="1" x="3729"/>
        <item h="1" m="1" x="5921"/>
        <item h="1" x="248"/>
        <item h="1" m="1" x="7706"/>
        <item h="1" m="1" x="5768"/>
        <item h="1" m="1" x="5781"/>
        <item h="1" m="1" x="5770"/>
        <item h="1" m="1" x="486"/>
        <item h="1" m="1" x="6639"/>
        <item h="1" m="1" x="2783"/>
        <item h="1" m="1" x="7772"/>
        <item h="1" m="1" x="6295"/>
        <item h="1" m="1" x="7269"/>
        <item h="1" m="1" x="5855"/>
        <item h="1" m="1" x="6202"/>
        <item h="1" m="1" x="7985"/>
        <item h="1" m="1" x="1747"/>
        <item h="1" m="1" x="7955"/>
        <item h="1" m="1" x="6360"/>
        <item h="1" m="1" x="6355"/>
        <item h="1" m="1" x="7532"/>
        <item h="1" m="1" x="5370"/>
        <item h="1" m="1" x="4242"/>
        <item h="1" m="1" x="4578"/>
        <item h="1" m="1" x="5261"/>
        <item h="1" m="1" x="2390"/>
        <item h="1" m="1" x="6899"/>
        <item h="1" m="1" x="6896"/>
        <item h="1" m="1" x="6294"/>
        <item h="1" m="1" x="4315"/>
        <item h="1" m="1" x="4684"/>
        <item h="1" m="1" x="3925"/>
        <item h="1" m="1" x="3727"/>
        <item h="1" m="1" x="7317"/>
        <item h="1" m="1" x="5885"/>
        <item h="1" m="1" x="3044"/>
        <item h="1" m="1" x="7375"/>
        <item h="1" m="1" x="4067"/>
        <item h="1" m="1" x="7759"/>
        <item h="1" m="1" x="5676"/>
        <item h="1" m="1" x="7716"/>
        <item h="1" m="1" x="5738"/>
        <item h="1" m="1" x="3728"/>
        <item h="1" m="1" x="7207"/>
        <item h="1" m="1" x="6011"/>
        <item h="1" m="1" x="5739"/>
        <item h="1" m="1" x="7321"/>
        <item h="1" m="1" x="3001"/>
        <item h="1" m="1" x="7754"/>
        <item h="1" m="1" x="524"/>
        <item h="1" m="1" x="6189"/>
        <item h="1" m="1" x="1526"/>
        <item h="1" m="1" x="4928"/>
        <item h="1" m="1" x="7169"/>
        <item h="1" m="1" x="6773"/>
        <item h="1" m="1" x="3088"/>
        <item h="1" m="1" x="4737"/>
        <item h="1" m="1" x="3026"/>
        <item h="1" m="1" x="3672"/>
        <item h="1" m="1" x="7373"/>
        <item h="1" m="1" x="6726"/>
        <item h="1" m="1" x="7351"/>
        <item h="1" m="1" x="3775"/>
        <item h="1" m="1" x="4670"/>
        <item h="1" m="1" x="7619"/>
        <item h="1" m="1" x="1249"/>
        <item h="1" m="1" x="7581"/>
        <item h="1" m="1" x="1819"/>
        <item h="1" m="1" x="3059"/>
        <item h="1" m="1" x="1632"/>
        <item h="1" m="1" x="4989"/>
        <item h="1" m="1" x="7521"/>
        <item h="1" m="1" x="4366"/>
        <item h="1" m="1" x="2136"/>
        <item h="1" m="1" x="2666"/>
        <item h="1" m="1" x="2008"/>
        <item h="1" m="1" x="7946"/>
        <item h="1" m="1" x="7464"/>
        <item h="1" m="1" x="748"/>
        <item h="1" m="1" x="7440"/>
        <item h="1" m="1" x="3808"/>
        <item h="1" m="1" x="5843"/>
        <item h="1" m="1" x="3000"/>
        <item h="1" x="259"/>
        <item h="1" m="1" x="3360"/>
        <item h="1" m="1" x="5430"/>
        <item h="1" m="1" x="3767"/>
        <item h="1" m="1" x="5979"/>
        <item h="1" m="1" x="3377"/>
        <item h="1" m="1" x="3218"/>
        <item h="1" m="1" x="3681"/>
        <item h="1" m="1" x="6394"/>
        <item h="1" m="1" x="4535"/>
        <item h="1" m="1" x="5299"/>
        <item h="1" m="1" x="6893"/>
        <item h="1" m="1" x="2643"/>
        <item h="1" m="1" x="6241"/>
        <item h="1" m="1" x="6395"/>
        <item h="1" m="1" x="3247"/>
        <item h="1" m="1" x="3517"/>
        <item h="1" m="1" x="6853"/>
        <item h="1" m="1" x="4069"/>
        <item h="1" m="1" x="7907"/>
        <item h="1" m="1" x="2891"/>
        <item h="1" m="1" x="7095"/>
        <item h="1" m="1" x="2830"/>
        <item h="1" m="1" x="5478"/>
        <item h="1" m="1" x="6940"/>
        <item h="1" m="1" x="4330"/>
        <item h="1" m="1" x="5097"/>
        <item h="1" x="141"/>
        <item h="1" m="1" x="2801"/>
        <item h="1" m="1" x="6565"/>
        <item h="1" m="1" x="7588"/>
        <item h="1" m="1" x="4635"/>
        <item h="1" m="1" x="3108"/>
        <item h="1" m="1" x="7805"/>
        <item h="1" m="1" x="849"/>
        <item h="1" m="1" x="2417"/>
        <item h="1" m="1" x="3357"/>
        <item h="1" m="1" x="2896"/>
        <item h="1" m="1" x="7528"/>
        <item h="1" x="265"/>
        <item h="1" m="1" x="7839"/>
        <item h="1" m="1" x="7771"/>
        <item h="1" m="1" x="2151"/>
        <item h="1" m="1" x="6256"/>
        <item h="1" m="1" x="6849"/>
        <item h="1" m="1" x="2306"/>
        <item h="1" m="1" x="3140"/>
        <item h="1" m="1" x="6943"/>
        <item h="1" m="1" x="5045"/>
        <item h="1" m="1" x="7838"/>
        <item h="1" m="1" x="4777"/>
        <item h="1" m="1" x="7866"/>
        <item h="1" m="1" x="6398"/>
        <item h="1" m="1" x="7697"/>
        <item h="1" m="1" x="5539"/>
        <item h="1" m="1" x="3201"/>
        <item h="1" m="1" x="5580"/>
        <item h="1" m="1" x="5536"/>
        <item h="1" m="1" x="6693"/>
        <item h="1" m="1" x="7407"/>
        <item h="1" m="1" x="5946"/>
        <item h="1" m="1" x="3887"/>
        <item h="1" m="1" x="6881"/>
        <item h="1" m="1" x="4204"/>
        <item h="1" m="1" x="3391"/>
        <item h="1" m="1" x="1548"/>
        <item h="1" m="1" x="7100"/>
        <item h="1" m="1" x="1485"/>
        <item h="1" m="1" x="3536"/>
        <item h="1" m="1" x="7430"/>
        <item h="1" m="1" x="7842"/>
        <item h="1" m="1" x="7843"/>
        <item h="1" m="1" x="7841"/>
        <item h="1" m="1" x="5123"/>
        <item h="1" m="1" x="6880"/>
        <item h="1" m="1" x="3474"/>
        <item h="1" m="1" x="1981"/>
        <item h="1" m="1" x="2780"/>
        <item h="1" m="1" x="2917"/>
        <item h="1" m="1" x="5518"/>
        <item h="1" m="1" x="7086"/>
        <item h="1" m="1" x="7844"/>
        <item h="1" m="1" x="7371"/>
        <item h="1" x="252"/>
        <item h="1" m="1" x="2712"/>
        <item h="1" m="1" x="7837"/>
        <item h="1" m="1" x="2642"/>
        <item h="1" m="1" x="6709"/>
        <item h="1" m="1" x="3125"/>
        <item h="1" x="38"/>
        <item h="1" m="1" x="6904"/>
        <item h="1" m="1" x="6873"/>
        <item h="1" m="1" x="7237"/>
        <item h="1" m="1" x="1220"/>
        <item h="1" m="1" x="3464"/>
        <item h="1" m="1" x="2935"/>
        <item h="1" m="1" x="7212"/>
        <item h="1" m="1" x="2822"/>
        <item h="1" m="1" x="4019"/>
        <item h="1" m="1" x="7201"/>
        <item h="1" m="1" x="2684"/>
        <item h="1" m="1" x="7597"/>
        <item h="1" m="1" x="3909"/>
        <item h="1" m="1" x="6850"/>
        <item h="1" m="1" x="6920"/>
        <item h="1" m="1" x="6883"/>
        <item h="1" m="1" x="6898"/>
        <item h="1" m="1" x="6900"/>
        <item h="1" m="1" x="7849"/>
        <item h="1" m="1" x="6930"/>
        <item h="1" m="1" x="7408"/>
        <item h="1" m="1" x="7574"/>
        <item h="1" m="1" x="1965"/>
        <item h="1" m="1" x="6962"/>
        <item h="1" m="1" x="4375"/>
        <item h="1" m="1" x="7938"/>
        <item h="1" m="1" x="1542"/>
        <item h="1" m="1" x="5778"/>
        <item h="1" m="1" x="7011"/>
        <item h="1" m="1" x="2717"/>
        <item h="1" m="1" x="6833"/>
        <item h="1" m="1" x="7485"/>
        <item h="1" m="1" x="7410"/>
        <item h="1" m="1" x="6854"/>
        <item h="1" m="1" x="1388"/>
        <item h="1" m="1" x="6852"/>
        <item h="1" m="1" x="6888"/>
        <item h="1" m="1" x="7848"/>
        <item h="1" m="1" x="6868"/>
        <item h="1" m="1" x="6864"/>
        <item h="1" m="1" x="6865"/>
        <item h="1" m="1" x="3122"/>
        <item h="1" m="1" x="6902"/>
        <item h="1" m="1" x="6909"/>
        <item h="1" m="1" x="6878"/>
        <item h="1" m="1" x="7228"/>
        <item h="1" m="1" x="6935"/>
        <item h="1" m="1" x="6934"/>
        <item h="1" m="1" x="6938"/>
        <item h="1" m="1" x="5508"/>
        <item h="1" m="1" x="7412"/>
        <item h="1" m="1" x="7947"/>
        <item h="1" m="1" x="7847"/>
        <item h="1" m="1" x="773"/>
        <item h="1" m="1" x="2797"/>
        <item h="1" m="1" x="7486"/>
        <item h="1" m="1" x="7409"/>
        <item h="1" m="1" x="4115"/>
        <item h="1" m="1" x="6891"/>
        <item h="1" m="1" x="5640"/>
        <item h="1" m="1" x="2542"/>
        <item h="1" m="1" x="6923"/>
        <item h="1" m="1" x="7411"/>
        <item h="1" m="1" x="5318"/>
        <item h="1" m="1" x="2751"/>
        <item h="1" m="1" x="6953"/>
        <item h="1" m="1" x="7414"/>
        <item h="1" m="1" x="7413"/>
        <item h="1" m="1" x="7415"/>
        <item h="1" m="1" x="1832"/>
        <item h="1" m="1" x="1830"/>
        <item h="1" m="1" x="7322"/>
        <item h="1" m="1" x="5562"/>
        <item h="1" m="1" x="7202"/>
        <item h="1" m="1" x="4910"/>
        <item h="1" m="1" x="7804"/>
        <item h="1" m="1" x="7488"/>
        <item h="1" m="1" x="7645"/>
        <item h="1" m="1" x="7644"/>
        <item h="1" m="1" x="7646"/>
        <item h="1" m="1" x="7854"/>
        <item h="1" m="1" x="7858"/>
        <item h="1" m="1" x="6887"/>
        <item h="1" m="1" x="6879"/>
        <item h="1" m="1" x="7229"/>
        <item h="1" m="1" x="6911"/>
        <item h="1" m="1" x="6912"/>
        <item h="1" m="1" x="6910"/>
        <item h="1" m="1" x="3456"/>
        <item h="1" m="1" x="6945"/>
        <item h="1" m="1" x="7861"/>
        <item h="1" m="1" x="7862"/>
        <item h="1" m="1" x="6954"/>
        <item h="1" x="275"/>
        <item h="1" m="1" x="6965"/>
        <item h="1" m="1" x="5132"/>
        <item h="1" m="1" x="6955"/>
        <item h="1" m="1" x="3027"/>
        <item h="1" m="1" x="7935"/>
        <item h="1" m="1" x="6361"/>
        <item h="1" m="1" x="7608"/>
        <item h="1" m="1" x="2908"/>
        <item h="1" m="1" x="2371"/>
        <item h="1" m="1" x="7487"/>
        <item h="1" m="1" x="6874"/>
        <item h="1" m="1" x="6936"/>
        <item h="1" m="1" x="5495"/>
        <item h="1" m="1" x="7425"/>
        <item h="1" m="1" x="7426"/>
        <item h="1" m="1" x="6961"/>
        <item h="1" m="1" x="7653"/>
        <item h="1" m="1" x="6925"/>
        <item h="1" m="1" x="7492"/>
        <item h="1" m="1" x="6393"/>
        <item h="1" m="1" x="5003"/>
        <item h="1" m="1" x="5988"/>
        <item h="1" x="160"/>
        <item h="1" m="1" x="7493"/>
        <item h="1" m="1" x="7427"/>
        <item h="1" m="1" x="6738"/>
        <item h="1" m="1" x="7924"/>
        <item h="1" m="1" x="6059"/>
        <item h="1" m="1" x="7490"/>
        <item h="1" m="1" x="6855"/>
        <item h="1" m="1" x="6851"/>
        <item h="1" m="1" x="6856"/>
        <item h="1" m="1" x="6860"/>
        <item h="1" m="1" x="6913"/>
        <item h="1" m="1" x="6903"/>
        <item h="1" m="1" x="6901"/>
        <item h="1" m="1" x="6895"/>
        <item h="1" m="1" x="6894"/>
        <item h="1" m="1" x="7933"/>
        <item h="1" m="1" x="6922"/>
        <item h="1" m="1" x="6919"/>
        <item h="1" m="1" x="6862"/>
        <item h="1" m="1" x="6871"/>
        <item h="1" m="1" x="6872"/>
        <item h="1" m="1" x="6890"/>
        <item h="1" m="1" x="6889"/>
        <item h="1" m="1" x="6876"/>
        <item h="1" m="1" x="6892"/>
        <item h="1" m="1" x="6861"/>
        <item h="1" m="1" x="7855"/>
        <item h="1" m="1" x="7856"/>
        <item h="1" m="1" x="6863"/>
        <item h="1" m="1" x="6928"/>
        <item h="1" m="1" x="6933"/>
        <item h="1" m="1" x="6428"/>
        <item h="1" m="1" x="7859"/>
        <item h="1" m="1" x="6937"/>
        <item h="1" m="1" x="7570"/>
        <item h="1" m="1" x="6946"/>
        <item h="1" m="1" x="6956"/>
        <item h="1" m="1" x="6964"/>
        <item h="1" m="1" x="3820"/>
        <item h="1" m="1" x="3572"/>
        <item h="1" m="1" x="2204"/>
        <item h="1" m="1" x="515"/>
        <item h="1" m="1" x="3479"/>
        <item h="1" m="1" x="7698"/>
        <item h="1" m="1" x="7416"/>
        <item h="1" m="1" x="6877"/>
        <item h="1" m="1" x="6882"/>
        <item h="1" m="1" x="6869"/>
        <item h="1" m="1" x="6886"/>
        <item h="1" m="1" x="6915"/>
        <item h="1" m="1" x="7699"/>
        <item h="1" m="1" x="7857"/>
        <item h="1" m="1" x="6870"/>
        <item h="1" m="1" x="7860"/>
        <item h="1" m="1" x="7936"/>
        <item h="1" m="1" x="5705"/>
        <item h="1" m="1" x="5510"/>
        <item h="1" m="1" x="5322"/>
        <item h="1" m="1" x="4152"/>
        <item h="1" m="1" x="7484"/>
        <item h="1" m="1" x="7642"/>
        <item h="1" m="1" x="5529"/>
        <item h="1" m="1" x="4927"/>
        <item h="1" m="1" x="7853"/>
        <item h="1" m="1" x="7421"/>
        <item h="1" m="1" x="6906"/>
        <item h="1" m="1" x="6939"/>
        <item h="1" m="1" x="6941"/>
        <item h="1" m="1" x="3273"/>
        <item h="1" m="1" x="7423"/>
        <item h="1" m="1" x="6838"/>
        <item h="1" m="1" x="6837"/>
        <item h="1" m="1" x="6839"/>
        <item h="1" m="1" x="6261"/>
        <item h="1" m="1" x="7419"/>
        <item h="1" m="1" x="6921"/>
        <item h="1" m="1" x="6408"/>
        <item h="1" m="1" x="7714"/>
        <item h="1" m="1" x="7943"/>
        <item h="1" m="1" x="7944"/>
        <item h="1" m="1" x="7945"/>
        <item h="1" m="1" x="7806"/>
        <item h="1" m="1" x="7643"/>
        <item h="1" m="1" x="7919"/>
        <item h="1" m="1" x="7920"/>
        <item h="1" m="1" x="7851"/>
        <item h="1" m="1" x="7850"/>
        <item h="1" m="1" x="7953"/>
        <item h="1" m="1" x="7921"/>
        <item h="1" m="1" x="7964"/>
        <item h="1" m="1" x="7852"/>
        <item h="1" m="1" x="7926"/>
        <item h="1" m="1" x="1778"/>
        <item h="1" m="1" x="7923"/>
        <item h="1" m="1" x="7922"/>
        <item h="1" m="1" x="7957"/>
        <item h="1" m="1" x="7928"/>
        <item h="1" m="1" x="3873"/>
        <item h="1" m="1" x="7925"/>
        <item h="1" m="1" x="7929"/>
        <item h="1" m="1" x="7930"/>
        <item h="1" m="1" x="7977"/>
        <item h="1" m="1" x="7979"/>
        <item h="1" m="1" x="6541"/>
        <item h="1" m="1" x="6439"/>
        <item h="1" m="1" x="7989"/>
        <item h="1" m="1" x="7994"/>
        <item h="1" m="1" x="7931"/>
        <item h="1" m="1" x="7997"/>
        <item h="1" m="1" x="7932"/>
        <item h="1" x="273"/>
        <item h="1" m="1" x="7239"/>
        <item h="1" m="1" x="6831"/>
        <item h="1" m="1" x="6832"/>
        <item h="1" m="1" x="4213"/>
        <item h="1" m="1" x="7489"/>
        <item h="1" m="1" x="7491"/>
        <item h="1" m="1" x="7149"/>
        <item h="1" m="1" x="1978"/>
        <item h="1" m="1" x="7417"/>
        <item h="1" m="1" x="7420"/>
        <item h="1" m="1" x="7418"/>
        <item h="1" m="1" x="4459"/>
        <item h="1" m="1" x="6942"/>
        <item h="1" m="1" x="4676"/>
        <item h="1" m="1" x="7494"/>
        <item h="1" m="1" x="7429"/>
        <item h="1" m="1" x="7424"/>
        <item h="1" m="1" x="2604"/>
        <item h="1" m="1" x="7422"/>
        <item h="1" m="1" x="6974"/>
        <item h="1" m="1" x="5127"/>
        <item h="1" m="1" x="6884"/>
        <item h="1" m="1" x="6885"/>
        <item h="1" m="1" x="7918"/>
        <item h="1" m="1" x="7934"/>
        <item h="1" m="1" x="6988"/>
        <item h="1" m="1" x="2042"/>
        <item h="1" m="1" x="7869"/>
        <item h="1" m="1" x="7949"/>
        <item h="1" m="1" x="7950"/>
        <item h="1" m="1" x="7823"/>
        <item h="1" m="1" x="2804"/>
        <item h="1" m="1" x="7066"/>
        <item h="1" m="1" x="7965"/>
        <item h="1" m="1" x="7956"/>
        <item h="1" m="1" x="7963"/>
        <item h="1" m="1" x="7360"/>
        <item h="1" m="1" x="7966"/>
        <item h="1" m="1" x="7980"/>
        <item h="1" m="1" x="7978"/>
        <item h="1" m="1" x="7984"/>
        <item h="1" m="1" x="7099"/>
        <item h="1" m="1" x="7990"/>
        <item h="1" m="1" x="7884"/>
        <item h="1" m="1" x="7995"/>
        <item h="1" m="1" x="7996"/>
        <item h="1" m="1" x="7998"/>
        <item h="1" m="1" x="7999"/>
        <item h="1" m="1" x="783"/>
        <item h="1" m="1" x="5514"/>
        <item h="1" m="1" x="7723"/>
        <item h="1" m="1" x="4357"/>
        <item h="1" m="1" x="4369"/>
        <item h="1" m="1" x="7148"/>
        <item h="1" m="1" x="3756"/>
        <item h="1" m="1" x="4426"/>
        <item h="1" m="1" x="4425"/>
        <item h="1" m="1" x="4424"/>
        <item h="1" m="1" x="2214"/>
        <item h="1" m="1" x="6969"/>
        <item h="1" m="1" x="7734"/>
        <item h="1" m="1" x="7740"/>
        <item h="1" m="1" x="7667"/>
        <item h="1" m="1" x="7701"/>
        <item h="1" m="1" x="7939"/>
        <item h="1" m="1" x="7940"/>
        <item h="1" m="1" x="789"/>
        <item h="1" m="1" x="7941"/>
        <item h="1" m="1" x="7942"/>
        <item h="1" m="1" x="7948"/>
        <item h="1" m="1" x="7231"/>
        <item h="1" m="1" x="7232"/>
        <item h="1" m="1" x="7233"/>
        <item h="1" m="1" x="7951"/>
        <item h="1" m="1" x="7234"/>
        <item h="1" m="1" x="6622"/>
        <item h="1" m="1" x="7235"/>
        <item h="1" m="1" x="7952"/>
        <item h="1" m="1" x="2137"/>
        <item h="1" m="1" x="6387"/>
        <item h="1" m="1" x="7702"/>
        <item h="1" m="1" x="7809"/>
        <item h="1" m="1" x="7954"/>
        <item h="1" m="1" x="7958"/>
        <item h="1" m="1" x="7959"/>
        <item h="1" m="1" x="7960"/>
        <item h="1" m="1" x="7961"/>
        <item h="1" m="1" x="7962"/>
        <item h="1" m="1" x="7967"/>
        <item h="1" m="1" x="7968"/>
        <item h="1" m="1" x="7969"/>
        <item h="1" m="1" x="7970"/>
        <item h="1" m="1" x="7971"/>
        <item h="1" m="1" x="7972"/>
        <item h="1" m="1" x="7973"/>
        <item h="1" m="1" x="7974"/>
        <item h="1" m="1" x="7975"/>
        <item h="1" m="1" x="7976"/>
        <item h="1" m="1" x="7981"/>
        <item h="1" m="1" x="7982"/>
        <item h="1" m="1" x="7983"/>
        <item h="1" m="1" x="7986"/>
        <item h="1" m="1" x="7987"/>
        <item h="1" m="1" x="7988"/>
        <item h="1" m="1" x="7991"/>
        <item h="1" m="1" x="7992"/>
        <item h="1" m="1" x="7993"/>
        <item h="1" m="1" x="7816"/>
        <item h="1" m="1" x="7545"/>
        <item h="1" m="1" x="7780"/>
        <item h="1" m="1" x="7509"/>
        <item h="1" m="1" x="7510"/>
        <item h="1" m="1" x="7555"/>
        <item h="1" m="1" x="7891"/>
        <item h="1" m="1" x="7265"/>
        <item h="1" m="1" x="7727"/>
        <item h="1" m="1" x="7879"/>
        <item h="1" m="1" x="7519"/>
        <item h="1" m="1" x="4490"/>
        <item h="1" m="1" x="7724"/>
        <item h="1" m="1" x="5205"/>
        <item h="1" m="1" x="5206"/>
        <item h="1" m="1" x="3977"/>
        <item h="1" m="1" x="7516"/>
        <item h="1" m="1" x="4388"/>
        <item h="1" m="1" x="6715"/>
        <item h="1" m="1" x="4549"/>
        <item h="1" m="1" x="5219"/>
        <item h="1" m="1" x="917"/>
        <item h="1" m="1" x="4346"/>
        <item h="1" m="1" x="7659"/>
        <item h="1" m="1" x="7916"/>
        <item h="1" m="1" x="7498"/>
        <item h="1" m="1" x="6897"/>
        <item h="1" m="1" x="7864"/>
        <item h="1" m="1" x="5290"/>
        <item h="1" m="1" x="7807"/>
        <item h="1" m="1" x="7230"/>
        <item h="1" m="1" x="7865"/>
        <item h="1" m="1" x="7867"/>
        <item h="1" m="1" x="7868"/>
        <item h="1" m="1" x="7870"/>
        <item h="1" m="1" x="7871"/>
        <item h="1" m="1" x="7873"/>
        <item h="1" m="1" x="7812"/>
        <item h="1" m="1" x="7874"/>
        <item h="1" m="1" x="7811"/>
        <item h="1" m="1" x="7875"/>
        <item h="1" m="1" x="7711"/>
        <item h="1" m="1" x="7876"/>
        <item h="1" m="1" x="7877"/>
        <item h="1" m="1" x="3246"/>
        <item h="1" m="1" x="7814"/>
        <item h="1" m="1" x="7878"/>
        <item h="1" m="1" x="7880"/>
        <item h="1" m="1" x="7652"/>
        <item h="1" m="1" x="7881"/>
        <item h="1" m="1" x="7882"/>
        <item h="1" m="1" x="7883"/>
        <item h="1" m="1" x="7885"/>
        <item h="1" m="1" x="7166"/>
        <item h="1" m="1" x="7886"/>
        <item h="1" m="1" x="6443"/>
        <item h="1" m="1" x="7887"/>
        <item h="1" m="1" x="7888"/>
        <item h="1" m="1" x="7889"/>
        <item h="1" m="1" x="7308"/>
        <item h="1" m="1" x="7890"/>
        <item h="1" m="1" x="7892"/>
        <item h="1" m="1" x="7893"/>
        <item h="1" m="1" x="7894"/>
        <item h="1" m="1" x="7895"/>
        <item h="1" m="1" x="7896"/>
        <item h="1" m="1" x="7897"/>
        <item h="1" m="1" x="7238"/>
        <item h="1" m="1" x="7898"/>
        <item h="1" m="1" x="7720"/>
        <item h="1" m="1" x="7721"/>
        <item h="1" m="1" x="7722"/>
        <item h="1" m="1" x="7899"/>
        <item h="1" m="1" x="4429"/>
        <item h="1" m="1" x="4427"/>
        <item h="1" m="1" x="7900"/>
        <item h="1" m="1" x="7901"/>
        <item h="1" m="1" x="7902"/>
        <item h="1" m="1" x="7903"/>
        <item h="1" m="1" x="4494"/>
        <item h="1" m="1" x="4428"/>
        <item h="1" m="1" x="4245"/>
        <item h="1" m="1" x="7905"/>
        <item h="1" m="1" x="7906"/>
        <item h="1" m="1" x="7818"/>
        <item h="1" m="1" x="7819"/>
        <item h="1" m="1" x="7908"/>
        <item h="1" m="1" x="7665"/>
        <item h="1" m="1" x="7909"/>
        <item h="1" m="1" x="7731"/>
        <item h="1" m="1" x="7729"/>
        <item h="1" m="1" x="7730"/>
        <item h="1" m="1" x="7910"/>
        <item h="1" m="1" x="7911"/>
        <item h="1" m="1" x="7912"/>
        <item h="1" m="1" x="7913"/>
        <item h="1" m="1" x="7446"/>
        <item h="1" m="1" x="7664"/>
        <item h="1" m="1" x="7733"/>
        <item h="1" m="1" x="7915"/>
        <item h="1" m="1" x="7917"/>
        <item h="1" m="1" x="7582"/>
        <item h="1" m="1" x="7808"/>
        <item h="1" m="1" x="7708"/>
        <item h="1" m="1" x="7810"/>
        <item h="1" m="1" x="7704"/>
        <item h="1" m="1" x="7306"/>
        <item h="1" m="1" x="7705"/>
        <item h="1" m="1" x="7710"/>
        <item h="1" m="1" x="7707"/>
        <item h="1" m="1" x="7712"/>
        <item h="1" m="1" x="7587"/>
        <item h="1" m="1" x="7648"/>
        <item h="1" m="1" x="7649"/>
        <item h="1" m="1" x="7813"/>
        <item h="1" m="1" x="7815"/>
        <item h="1" m="1" x="7084"/>
        <item h="1" m="1" x="2975"/>
        <item h="1" m="1" x="7125"/>
        <item h="1" m="1" x="7715"/>
        <item h="1" m="1" x="7739"/>
        <item h="1" m="1" x="7168"/>
        <item h="1" m="1" x="7717"/>
        <item h="1" m="1" x="7718"/>
        <item h="1" m="1" x="4584"/>
        <item h="1" m="1" x="7719"/>
        <item h="1" m="1" x="7593"/>
        <item h="1" m="1" x="6714"/>
        <item h="1" m="1" x="4495"/>
        <item h="1" m="1" x="5093"/>
        <item h="1" m="1" x="4466"/>
        <item h="1" m="1" x="7658"/>
        <item h="1" m="1" x="7726"/>
        <item h="1" m="1" x="7660"/>
        <item h="1" m="1" x="7442"/>
        <item h="1" m="1" x="7596"/>
        <item h="1" m="1" x="6660"/>
        <item h="1" m="1" x="7738"/>
        <item h="1" m="1" x="7732"/>
        <item h="1" m="1" x="7310"/>
        <item h="1" m="1" x="7820"/>
        <item h="1" m="1" x="7523"/>
        <item h="1" m="1" x="7821"/>
        <item h="1" m="1" x="7612"/>
        <item h="1" m="1" x="7745"/>
        <item h="1" m="1" x="7748"/>
        <item h="1" m="1" x="7500"/>
        <item h="1" m="1" x="7822"/>
        <item h="1" m="1" x="6656"/>
        <item h="1" m="1" x="7647"/>
        <item h="1" m="1" x="7824"/>
        <item h="1" m="1" x="7825"/>
        <item h="1" m="1" x="7586"/>
        <item h="1" m="1" x="7709"/>
        <item h="1" m="1" x="7776"/>
        <item h="1" m="1" x="7741"/>
        <item h="1" m="1" x="7713"/>
        <item h="1" m="1" x="7654"/>
        <item h="1" m="1" x="7167"/>
        <item h="1" m="1" x="4819"/>
        <item h="1" m="1" x="7779"/>
        <item h="1" m="1" x="5551"/>
        <item h="1" m="1" x="910"/>
        <item h="1" m="1" x="7656"/>
        <item h="1" m="1" x="1845"/>
        <item h="1" m="1" x="7141"/>
        <item h="1" m="1" x="7787"/>
        <item h="1" m="1" x="7786"/>
        <item h="1" m="1" x="6662"/>
        <item h="1" m="1" x="6518"/>
        <item h="1" m="1" x="7826"/>
        <item h="1" m="1" x="7827"/>
        <item h="1" m="1" x="7828"/>
        <item h="1" m="1" x="7829"/>
        <item h="1" m="1" x="7830"/>
        <item h="1" m="1" x="7434"/>
        <item h="1" m="1" x="7831"/>
        <item h="1" m="1" x="6526"/>
        <item h="1" m="1" x="6950"/>
        <item h="1" m="1" x="7735"/>
        <item h="1" m="1" x="7736"/>
        <item h="1" m="1" x="7737"/>
        <item h="1" m="1" x="7832"/>
        <item h="1" m="1" x="7833"/>
        <item h="1" m="1" x="7800"/>
        <item h="1" m="1" x="7834"/>
        <item h="1" m="1" x="7835"/>
        <item h="1" m="1" x="7443"/>
        <item h="1" m="1" x="7444"/>
        <item h="1" m="1" x="7836"/>
        <item h="1" m="1" x="7744"/>
        <item h="1" m="1" x="7728"/>
        <item h="1" m="1" x="7524"/>
        <item h="1" m="1" x="7700"/>
        <item h="1" m="1" x="7124"/>
        <item h="1" m="1" x="6521"/>
        <item h="1" m="1" x="7603"/>
        <item h="1" m="1" x="7758"/>
        <item h="1" m="1" x="7747"/>
        <item h="1" m="1" x="6980"/>
        <item h="1" m="1" x="7751"/>
        <item h="1" m="1" x="7752"/>
        <item h="1" m="1" x="7753"/>
        <item h="1" m="1" x="7432"/>
        <item h="1" m="1" x="7755"/>
        <item h="1" m="1" x="6690"/>
        <item h="1" m="1" x="6755"/>
        <item h="1" m="1" x="7756"/>
        <item h="1" m="1" x="7757"/>
        <item h="1" m="1" x="7778"/>
        <item h="1" m="1" x="7761"/>
        <item h="1" m="1" x="7762"/>
        <item h="1" m="1" x="7763"/>
        <item h="1" m="1" x="7764"/>
        <item h="1" m="1" x="7165"/>
        <item h="1" m="1" x="7766"/>
        <item h="1" m="1" x="7767"/>
        <item h="1" m="1" x="7650"/>
        <item h="1" m="1" x="7768"/>
        <item h="1" m="1" x="7769"/>
        <item h="1" m="1" x="7770"/>
        <item h="1" m="1" x="7773"/>
        <item h="1" m="1" x="7774"/>
        <item h="1" m="1" x="7651"/>
        <item h="1" m="1" x="7098"/>
        <item h="1" m="1" x="7675"/>
        <item h="1" m="1" x="7775"/>
        <item h="1" m="1" x="7678"/>
        <item h="1" m="1" x="7777"/>
        <item h="1" m="1" x="7781"/>
        <item h="1" m="1" x="4576"/>
        <item h="1" m="1" x="7782"/>
        <item h="1" m="1" x="7783"/>
        <item h="1" m="1" x="1420"/>
        <item h="1" m="1" x="4675"/>
        <item h="1" m="1" x="7655"/>
        <item h="1" m="1" x="7785"/>
        <item h="1" m="1" x="7589"/>
        <item h="1" m="1" x="7788"/>
        <item h="1" m="1" x="7789"/>
        <item h="1" m="1" x="7309"/>
        <item h="1" m="1" x="7790"/>
        <item h="1" m="1" x="7517"/>
        <item h="1" m="1" x="7791"/>
        <item h="1" m="1" x="7792"/>
        <item h="1" m="1" x="7793"/>
        <item h="1" m="1" x="7436"/>
        <item h="1" m="1" x="7795"/>
        <item h="1" m="1" x="7796"/>
        <item h="1" m="1" x="6664"/>
        <item h="1" m="1" x="7591"/>
        <item h="1" m="1" x="7592"/>
        <item h="1" m="1" x="7797"/>
        <item h="1" m="1" x="7657"/>
        <item h="1" m="1" x="7798"/>
        <item h="1" m="1" x="4551"/>
        <item h="1" m="1" x="4370"/>
        <item h="1" m="1" x="7594"/>
        <item h="1" m="1" x="7799"/>
        <item h="1" m="1" x="7661"/>
        <item h="1" m="1" x="7662"/>
        <item h="1" m="1" x="7801"/>
        <item h="1" m="1" x="7663"/>
        <item h="1" m="1" x="7802"/>
        <item h="1" m="1" x="7598"/>
        <item h="1" m="1" x="7599"/>
        <item h="1" m="1" x="7605"/>
        <item h="1" m="1" x="7607"/>
        <item h="1" m="1" x="7803"/>
        <item h="1" m="1" x="7666"/>
        <item h="1" m="1" x="5488"/>
        <item h="1" m="1" x="7669"/>
        <item h="1" m="1" x="7668"/>
        <item h="1" m="1" x="7640"/>
        <item h="1" m="1" x="7670"/>
        <item h="1" m="1" x="7671"/>
        <item h="1" m="1" x="7672"/>
        <item h="1" m="1" x="7673"/>
        <item h="1" m="1" x="6985"/>
        <item h="1" m="1" x="6986"/>
        <item h="1" m="1" x="7583"/>
        <item h="1" m="1" x="7584"/>
        <item h="1" m="1" x="7585"/>
        <item h="1" m="1" x="2847"/>
        <item h="1" m="1" x="7085"/>
        <item h="1" m="1" x="7676"/>
        <item h="1" m="1" x="7499"/>
        <item h="1" m="1" x="1557"/>
        <item h="1" m="1" x="7677"/>
        <item h="1" m="1" x="6448"/>
        <item h="1" m="1" x="7679"/>
        <item h="1" m="1" x="7680"/>
        <item h="1" m="1" x="7254"/>
        <item h="1" m="1" x="7681"/>
        <item h="1" m="1" x="1745"/>
        <item h="1" m="1" x="4476"/>
        <item h="1" m="1" x="7263"/>
        <item h="1" m="1" x="7264"/>
        <item h="1" m="1" x="7590"/>
        <item h="1" m="1" x="4601"/>
        <item h="1" m="1" x="5256"/>
        <item h="1" m="1" x="7511"/>
        <item h="1" m="1" x="7515"/>
        <item h="1" m="1" x="7513"/>
        <item h="1" m="1" x="7514"/>
        <item h="1" m="1" x="6017"/>
        <item h="1" m="1" x="7512"/>
        <item h="1" m="1" x="7682"/>
        <item h="1" m="1" x="7683"/>
        <item h="1" m="1" x="7684"/>
        <item h="1" m="1" x="7685"/>
        <item h="1" m="1" x="7686"/>
        <item h="1" m="1" x="7439"/>
        <item h="1" m="1" x="7437"/>
        <item h="1" m="1" x="7687"/>
        <item h="1" m="1" x="7688"/>
        <item h="1" m="1" x="7689"/>
        <item h="1" m="1" x="5695"/>
        <item h="1" m="1" x="7690"/>
        <item h="1" m="1" x="7691"/>
        <item h="1" m="1" x="7692"/>
        <item h="1" m="1" x="7595"/>
        <item h="1" m="1" x="2652"/>
        <item h="1" m="1" x="7600"/>
        <item h="1" m="1" x="7601"/>
        <item h="1" m="1" x="7445"/>
        <item h="1" m="1" x="7448"/>
        <item h="1" m="1" x="7449"/>
        <item h="1" m="1" x="7693"/>
        <item h="1" m="1" x="7694"/>
        <item h="1" m="1" x="7695"/>
        <item h="1" m="1" x="7696"/>
        <item h="1" m="1" x="7447"/>
        <item h="1" m="1" x="7522"/>
        <item h="1" m="1" x="7602"/>
        <item h="1" m="1" x="7604"/>
        <item h="1" m="1" x="7610"/>
        <item h="1" m="1" x="7611"/>
        <item h="1" m="1" x="5439"/>
        <item h="1" m="1" x="5050"/>
        <item h="1" m="1" x="7049"/>
        <item h="1" m="1" x="7615"/>
        <item h="1" m="1" x="2182"/>
        <item h="1" m="1" x="6288"/>
        <item h="1" m="1" x="7606"/>
        <item h="1" m="1" x="7496"/>
        <item h="1" m="1" x="7497"/>
        <item h="1" m="1" x="7495"/>
        <item h="1" m="1" x="7617"/>
        <item h="1" m="1" x="7618"/>
        <item h="1" m="1" x="7259"/>
        <item h="1" m="1" x="7620"/>
        <item h="1" m="1" x="7330"/>
        <item h="1" m="1" x="7331"/>
        <item h="1" m="1" x="6435"/>
        <item h="1" m="1" x="7621"/>
        <item h="1" m="1" x="5726"/>
        <item h="1" m="1" x="5137"/>
        <item h="1" m="1" x="7504"/>
        <item h="1" m="1" x="7505"/>
        <item h="1" m="1" x="7506"/>
        <item h="1" m="1" x="7507"/>
        <item h="1" m="1" x="7508"/>
        <item h="1" m="1" x="5038"/>
        <item h="1" m="1" x="7502"/>
        <item h="1" m="1" x="7503"/>
        <item h="1" m="1" x="7255"/>
        <item h="1" m="1" x="7543"/>
        <item h="1" m="1" x="7266"/>
        <item h="1" m="1" x="647"/>
        <item h="1" x="247"/>
        <item h="1" m="1" x="7268"/>
        <item h="1" m="1" x="2050"/>
        <item h="1" m="1" x="7267"/>
        <item h="1" m="1" x="7554"/>
        <item h="1" m="1" x="2997"/>
        <item h="1" m="1" x="7140"/>
        <item h="1" m="1" x="7577"/>
        <item h="1" m="1" x="7578"/>
        <item h="1" m="1" x="7338"/>
        <item h="1" m="1" x="7624"/>
        <item h="1" m="1" x="4594"/>
        <item h="1" m="1" x="7625"/>
        <item h="1" m="1" x="7626"/>
        <item h="1" m="1" x="7518"/>
        <item h="1" m="1" x="7435"/>
        <item h="1" m="1" x="7627"/>
        <item h="1" m="1" x="5593"/>
        <item h="1" m="1" x="7628"/>
        <item h="1" m="1" x="6665"/>
        <item h="1" m="1" x="7629"/>
        <item h="1" m="1" x="7630"/>
        <item h="1" m="1" x="7631"/>
        <item h="1" m="1" x="7632"/>
        <item h="1" m="1" x="7633"/>
        <item h="1" m="1" x="7634"/>
        <item h="1" m="1" x="7635"/>
        <item h="1" m="1" x="7636"/>
        <item h="1" m="1" x="7637"/>
        <item h="1" m="1" x="7520"/>
        <item h="1" m="1" x="7638"/>
        <item h="1" m="1" x="7639"/>
        <item h="1" m="1" x="4392"/>
        <item h="1" m="1" x="4049"/>
        <item h="1" m="1" x="6684"/>
        <item h="1" m="1" x="4318"/>
        <item h="1" m="1" x="7525"/>
        <item h="1" m="1" x="7171"/>
        <item h="1" m="1" x="7526"/>
        <item h="1" m="1" x="7527"/>
        <item h="1" m="1" x="7172"/>
        <item h="1" m="1" x="7240"/>
        <item h="1" m="1" x="7431"/>
        <item h="1" m="1" x="7529"/>
        <item h="1" m="1" x="7530"/>
        <item h="1" m="1" x="6392"/>
        <item h="1" m="1" x="7242"/>
        <item h="1" m="1" x="7531"/>
        <item h="1" m="1" x="7533"/>
        <item h="1" m="1" x="7534"/>
        <item h="1" m="1" x="4605"/>
        <item h="1" m="1" x="4941"/>
        <item h="1" m="1" x="7326"/>
        <item h="1" m="1" x="7327"/>
        <item h="1" m="1" x="7329"/>
        <item h="1" m="1" x="7433"/>
        <item h="1" m="1" x="7257"/>
        <item h="1" m="1" x="7535"/>
        <item h="1" m="1" x="7536"/>
        <item h="1" m="1" x="5388"/>
        <item h="1" m="1" x="7537"/>
        <item h="1" m="1" x="7538"/>
        <item h="1" m="1" x="7335"/>
        <item h="1" m="1" x="5293"/>
        <item h="1" m="1" x="7541"/>
        <item h="1" m="1" x="7542"/>
        <item h="1" m="1" x="7544"/>
        <item h="1" m="1" x="7546"/>
        <item h="1" m="1" x="7547"/>
        <item h="1" m="1" x="7548"/>
        <item h="1" m="1" x="7549"/>
        <item h="1" m="1" x="6166"/>
        <item h="1" m="1" x="7551"/>
        <item h="1" m="1" x="7552"/>
        <item h="1" m="1" x="7128"/>
        <item h="1" m="1" x="7553"/>
        <item h="1" m="1" x="5715"/>
        <item h="1" m="1" x="7556"/>
        <item h="1" m="1" x="7557"/>
        <item h="1" m="1" x="7558"/>
        <item h="1" m="1" x="7559"/>
        <item h="1" m="1" x="7560"/>
        <item h="1" m="1" x="7561"/>
        <item h="1" m="1" x="7562"/>
        <item h="1" m="1" x="7563"/>
        <item h="1" m="1" x="7189"/>
        <item h="1" m="1" x="7190"/>
        <item h="1" m="1" x="7564"/>
        <item h="1" m="1" x="4355"/>
        <item h="1" m="1" x="7565"/>
        <item h="1" m="1" x="7566"/>
        <item h="1" m="1" x="4433"/>
        <item h="1" m="1" x="4411"/>
        <item h="1" m="1" x="7472"/>
        <item h="1" m="1" x="7468"/>
        <item h="1" m="1" x="6721"/>
        <item h="1" m="1" x="7567"/>
        <item h="1" m="1" x="7568"/>
        <item h="1" m="1" x="1427"/>
        <item h="1" m="1" x="7569"/>
        <item h="1" m="1" x="4336"/>
        <item h="1" m="1" x="6734"/>
        <item h="1" m="1" x="5949"/>
        <item h="1" m="1" x="5950"/>
        <item h="1" m="1" x="5951"/>
        <item h="1" m="1" x="7572"/>
        <item h="1" m="1" x="7573"/>
        <item h="1" m="1" x="6609"/>
        <item h="1" m="1" x="4321"/>
        <item h="1" m="1" x="4322"/>
        <item h="1" m="1" x="4973"/>
        <item h="1" m="1" x="7575"/>
        <item h="1" m="1" x="4332"/>
        <item h="1" m="1" x="4331"/>
        <item h="1" m="1" x="7477"/>
        <item h="1" m="1" x="7478"/>
        <item h="1" m="1" x="7343"/>
        <item h="1" m="1" x="6746"/>
        <item h="1" m="1" x="6679"/>
        <item h="1" m="1" x="7576"/>
        <item h="1" m="1" x="2787"/>
        <item h="1" m="1" x="6513"/>
        <item h="1" m="1" x="7579"/>
        <item h="1" m="1" x="7182"/>
        <item h="1" m="1" x="7183"/>
        <item h="1" m="1" x="7184"/>
        <item h="1" m="1" x="7188"/>
        <item h="1" m="1" x="7580"/>
        <item h="1" m="1" x="4752"/>
        <item h="1" m="1" x="7450"/>
        <item h="1" m="1" x="7346"/>
        <item h="1" m="1" x="7347"/>
        <item h="1" m="1" x="7312"/>
        <item h="1" m="1" x="7313"/>
        <item h="1" m="1" x="7311"/>
        <item h="1" m="1" x="7241"/>
        <item h="1" m="1" x="7314"/>
        <item h="1" m="1" x="7451"/>
        <item h="1" m="1" x="7315"/>
        <item h="1" m="1" x="7316"/>
        <item h="1" m="1" x="7453"/>
        <item h="1" m="1" x="5526"/>
        <item h="1" m="1" x="7319"/>
        <item h="1" m="1" x="7245"/>
        <item h="1" m="1" x="7454"/>
        <item h="1" m="1" x="7320"/>
        <item h="1" m="1" x="2854"/>
        <item h="1" m="1" x="6782"/>
        <item h="1" m="1" x="7455"/>
        <item h="1" m="1" x="7323"/>
        <item h="1" m="1" x="7324"/>
        <item h="1" m="1" x="7325"/>
        <item h="1" m="1" x="7456"/>
        <item h="1" m="1" x="7457"/>
        <item h="1" m="1" x="7362"/>
        <item h="1" m="1" x="7458"/>
        <item h="1" m="1" x="7459"/>
        <item h="1" m="1" x="7363"/>
        <item h="1" m="1" x="7460"/>
        <item h="1" m="1" x="7364"/>
        <item h="1" m="1" x="7365"/>
        <item h="1" m="1" x="7366"/>
        <item h="1" m="1" x="7367"/>
        <item h="1" m="1" x="7461"/>
        <item h="1" m="1" x="7368"/>
        <item h="1" m="1" x="7369"/>
        <item h="1" m="1" x="7462"/>
        <item h="1" m="1" x="7328"/>
        <item h="1" m="1" x="7334"/>
        <item h="1" m="1" x="7332"/>
        <item h="1" m="1" x="7333"/>
        <item h="1" m="1" x="7109"/>
        <item h="1" m="1" x="7113"/>
        <item h="1" m="1" x="7114"/>
        <item h="1" m="1" x="7260"/>
        <item h="1" m="1" x="7336"/>
        <item h="1" m="1" x="7261"/>
        <item h="1" m="1" x="7337"/>
        <item h="1" m="1" x="7465"/>
        <item h="1" m="1" x="4708"/>
        <item h="1" m="1" x="7277"/>
        <item h="1" m="1" x="7466"/>
        <item h="1" m="1" x="7270"/>
        <item h="1" m="1" x="7262"/>
        <item h="1" m="1" x="4561"/>
        <item h="1" m="1" x="7386"/>
        <item h="1" m="1" x="7387"/>
        <item h="1" m="1" x="6024"/>
        <item h="1" m="1" x="7130"/>
        <item h="1" m="1" x="7388"/>
        <item h="1" m="1" x="7131"/>
        <item h="1" m="1" x="7349"/>
        <item h="1" m="1" x="7271"/>
        <item h="1" m="1" x="7350"/>
        <item h="1" x="419"/>
        <item h="1" m="1" x="7273"/>
        <item h="1" m="1" x="7467"/>
        <item h="1" m="1" x="7276"/>
        <item h="1" m="1" x="4461"/>
        <item h="1" m="1" x="7469"/>
        <item h="1" m="1" x="6720"/>
        <item h="1" m="1" x="7470"/>
        <item h="1" m="1" x="7471"/>
        <item h="1" m="1" x="7473"/>
        <item h="1" m="1" x="4493"/>
        <item h="1" m="1" x="7038"/>
        <item h="1" m="1" x="4364"/>
        <item h="1" m="1" x="4356"/>
        <item h="1" m="1" x="7474"/>
        <item h="1" m="1" x="7475"/>
        <item h="1" m="1" x="6363"/>
        <item h="1" m="1" x="7278"/>
        <item h="1" m="1" x="6957"/>
        <item h="1" m="1" x="7339"/>
        <item h="1" m="1" x="7340"/>
        <item h="1" m="1" x="7476"/>
        <item h="1" m="1" x="7479"/>
        <item h="1" m="1" x="7480"/>
        <item h="1" m="1" x="7481"/>
        <item h="1" m="1" x="7482"/>
        <item h="1" m="1" x="7341"/>
        <item h="1" m="1" x="7342"/>
        <item h="1" m="1" x="7483"/>
        <item h="1" m="1" x="7279"/>
        <item h="1" m="1" x="7344"/>
        <item h="1" m="1" x="7050"/>
        <item h="1" m="1" x="7345"/>
        <item h="1" m="1" x="7236"/>
        <item h="1" m="1" x="7191"/>
        <item h="1" m="1" x="7192"/>
        <item h="1" m="1" x="7348"/>
        <item h="1" m="1" x="7352"/>
        <item h="1" m="1" x="7173"/>
        <item h="1" m="1" x="7353"/>
        <item h="1" m="1" x="5504"/>
        <item h="1" m="1" x="7354"/>
        <item h="1" m="1" x="7068"/>
        <item h="1" m="1" x="7244"/>
        <item h="1" m="1" x="6783"/>
        <item h="1" m="1" x="6329"/>
        <item h="1" m="1" x="7355"/>
        <item h="1" m="1" x="7356"/>
        <item h="1" m="1" x="6776"/>
        <item h="1" m="1" x="6766"/>
        <item h="1" m="1" x="6767"/>
        <item h="1" m="1" x="7357"/>
        <item h="1" m="1" x="6649"/>
        <item h="1" m="1" x="6754"/>
        <item h="1" m="1" x="6385"/>
        <item h="1" m="1" x="7243"/>
        <item h="1" m="1" x="7174"/>
        <item h="1" m="1" x="6752"/>
        <item h="1" m="1" x="7358"/>
        <item h="1" m="1" x="7359"/>
        <item h="1" m="1" x="7251"/>
        <item h="1" m="1" x="7252"/>
        <item h="1" m="1" x="7077"/>
        <item h="1" m="1" x="2242"/>
        <item h="1" m="1" x="7361"/>
        <item h="1" m="1" x="7246"/>
        <item h="1" m="1" x="7247"/>
        <item h="1" m="1" x="7248"/>
        <item h="1" m="1" x="7249"/>
        <item h="1" m="1" x="7187"/>
        <item h="1" m="1" x="7370"/>
        <item h="1" m="1" x="7372"/>
        <item h="1" m="1" x="7374"/>
        <item h="1" m="1" x="7253"/>
        <item h="1" m="1" x="7376"/>
        <item h="1" m="1" x="7256"/>
        <item h="1" m="1" x="7377"/>
        <item h="1" m="1" x="5394"/>
        <item h="1" m="1" x="7378"/>
        <item h="1" m="1" x="6822"/>
        <item h="1" m="1" x="7379"/>
        <item h="1" m="1" x="7380"/>
        <item h="1" m="1" x="7381"/>
        <item h="1" m="1" x="7382"/>
        <item h="1" m="1" x="7383"/>
        <item h="1" m="1" x="7384"/>
        <item h="1" m="1" x="5456"/>
        <item h="1" m="1" x="7272"/>
        <item h="1" m="1" x="4554"/>
        <item h="1" m="1" x="7389"/>
        <item h="1" m="1" x="6702"/>
        <item h="1" m="1" x="7274"/>
        <item h="1" m="1" x="7275"/>
        <item h="1" m="1" x="4073"/>
        <item h="1" m="1" x="7390"/>
        <item h="1" m="1" x="7391"/>
        <item h="1" m="1" x="7392"/>
        <item h="1" m="1" x="7393"/>
        <item h="1" m="1" x="7394"/>
        <item h="1" m="1" x="4362"/>
        <item h="1" m="1" x="7395"/>
        <item h="1" m="1" x="4347"/>
        <item h="1" m="1" x="7396"/>
        <item h="1" m="1" x="7397"/>
        <item h="1" m="1" x="7398"/>
        <item h="1" m="1" x="7399"/>
        <item h="1" m="1" x="7400"/>
        <item h="1" m="1" x="4552"/>
        <item h="1" m="1" x="6732"/>
        <item h="1" m="1" x="7401"/>
        <item h="1" m="1" x="6951"/>
        <item h="1" m="1" x="4408"/>
        <item h="1" m="1" x="7402"/>
        <item h="1" m="1" x="6960"/>
        <item h="1" m="1" x="6372"/>
        <item h="1" m="1" x="6748"/>
        <item h="1" m="1" x="6749"/>
        <item h="1" m="1" x="7403"/>
        <item h="1" m="1" x="7404"/>
        <item h="1" m="1" x="7405"/>
        <item h="1" m="1" x="6758"/>
        <item h="1" m="1" x="7280"/>
        <item h="1" m="1" x="7406"/>
        <item h="1" m="1" x="6759"/>
        <item h="1" m="1" x="6760"/>
        <item h="1" m="1" x="4092"/>
        <item h="1" m="1" x="7258"/>
        <item h="1" m="1" x="7144"/>
        <item h="1" m="1" x="4323"/>
        <item h="1" m="1" x="6972"/>
        <item h="1" m="1" x="7057"/>
        <item h="1" m="1" x="7281"/>
        <item h="1" m="1" x="7282"/>
        <item h="1" m="1" x="7170"/>
        <item h="1" m="1" x="7283"/>
        <item h="1" m="1" x="7284"/>
        <item h="1" m="1" x="7285"/>
        <item h="1" m="1" x="7065"/>
        <item h="1" m="1" x="7045"/>
        <item h="1" m="1" x="7175"/>
        <item h="1" m="1" x="7176"/>
        <item h="1" m="1" x="6786"/>
        <item h="1" m="1" x="7069"/>
        <item h="1" m="1" x="7178"/>
        <item h="1" m="1" x="7177"/>
        <item h="1" m="1" x="3891"/>
        <item h="1" m="1" x="7287"/>
        <item h="1" m="1" x="7288"/>
        <item h="1" m="1" x="6657"/>
        <item h="1" m="1" x="7289"/>
        <item h="1" m="1" x="6054"/>
        <item h="1" m="1" x="7088"/>
        <item h="1" m="1" x="5859"/>
        <item h="1" m="1" x="7087"/>
        <item h="1" m="1" x="6018"/>
        <item h="1" m="1" x="7111"/>
        <item h="1" m="1" x="1870"/>
        <item h="1" m="1" x="7104"/>
        <item h="1" m="1" x="7083"/>
        <item h="1" m="1" x="2806"/>
        <item h="1" m="1" x="7291"/>
        <item h="1" m="1" x="7120"/>
        <item h="1" m="1" x="7292"/>
        <item h="1" m="1" x="7132"/>
        <item h="1" m="1" x="4018"/>
        <item h="1" m="1" x="6835"/>
        <item h="1" m="1" x="6847"/>
        <item h="1" m="1" x="7294"/>
        <item h="1" m="1" x="6857"/>
        <item h="1" m="1" x="7295"/>
        <item h="1" m="1" x="7296"/>
        <item h="1" m="1" x="7297"/>
        <item h="1" m="1" x="6916"/>
        <item h="1" m="1" x="6914"/>
        <item h="1" m="1" x="5897"/>
        <item h="1" m="1" x="7298"/>
        <item h="1" m="1" x="7299"/>
        <item h="1" m="1" x="4587"/>
        <item h="1" m="1" x="4590"/>
        <item h="1" m="1" x="6528"/>
        <item h="1" m="1" x="4586"/>
        <item h="1" m="1" x="6672"/>
        <item h="1" m="1" x="6673"/>
        <item h="1" m="1" x="4544"/>
        <item h="1" m="1" x="7300"/>
        <item h="1" m="1" x="7301"/>
        <item h="1" m="1" x="7302"/>
        <item h="1" m="1" x="7303"/>
        <item h="1" m="1" x="543"/>
        <item h="1" m="1" x="6966"/>
        <item h="1" m="1" x="6967"/>
        <item h="1" m="1" x="7304"/>
        <item h="1" m="1" x="6777"/>
        <item h="1" m="1" x="7305"/>
        <item h="1" m="1" x="6686"/>
        <item h="1" m="1" x="6781"/>
        <item h="1" m="1" x="7179"/>
        <item h="1" m="1" x="7180"/>
        <item h="1" m="1" x="7181"/>
        <item h="1" m="1" x="7185"/>
        <item h="1" m="1" x="7076"/>
        <item h="1" m="1" x="7186"/>
        <item h="1" m="1" x="7090"/>
        <item h="1" m="1" x="5438"/>
        <item h="1" m="1" x="7115"/>
        <item h="1" m="1" x="5420"/>
        <item h="1" m="1" x="7193"/>
        <item h="1" m="1" x="7159"/>
        <item h="1" m="1" x="7164"/>
        <item h="1" m="1" x="7194"/>
        <item h="1" m="1" x="7195"/>
        <item h="1" m="1" x="7196"/>
        <item h="1" m="1" x="7197"/>
        <item h="1" m="1" x="1617"/>
        <item h="1" m="1" x="7198"/>
        <item h="1" m="1" x="7199"/>
        <item h="1" m="1" x="4420"/>
        <item h="1" m="1" x="7063"/>
        <item h="1" m="1" x="6629"/>
        <item h="1" m="1" x="7067"/>
        <item h="1" m="1" x="7200"/>
        <item h="1" m="1" x="7089"/>
        <item h="1" m="1" x="7091"/>
        <item h="1" m="1" x="7092"/>
        <item h="1" m="1" x="7103"/>
        <item h="1" m="1" x="7097"/>
        <item h="1" m="1" x="2230"/>
        <item h="1" m="1" x="5161"/>
        <item h="1" m="1" x="7203"/>
        <item h="1" m="1" x="7070"/>
        <item h="1" m="1" x="7204"/>
        <item h="1" m="1" x="7110"/>
        <item h="1" m="1" x="3324"/>
        <item h="1" m="1" x="7205"/>
        <item h="1" m="1" x="7206"/>
        <item h="1" m="1" x="7208"/>
        <item h="1" m="1" x="7142"/>
        <item h="1" m="1" x="7126"/>
        <item h="1" m="1" x="7127"/>
        <item h="1" m="1" x="7129"/>
        <item h="1" m="1" x="7210"/>
        <item h="1" m="1" x="7211"/>
        <item h="1" m="1" x="7145"/>
        <item h="1" m="1" x="7213"/>
        <item h="1" m="1" x="4450"/>
        <item h="1" m="1" x="7147"/>
        <item h="1" m="1" x="7026"/>
        <item h="1" m="1" x="5963"/>
        <item h="1" m="1" x="7214"/>
        <item h="1" m="1" x="7027"/>
        <item h="1" m="1" x="5999"/>
        <item h="1" m="1" x="7215"/>
        <item h="1" m="1" x="6918"/>
        <item h="1" m="1" x="2555"/>
        <item h="1" m="1" x="7153"/>
        <item h="1" m="1" x="4404"/>
        <item h="1" m="1" x="7216"/>
        <item h="1" m="1" x="7217"/>
        <item h="1" m="1" x="7218"/>
        <item h="1" m="1" x="7219"/>
        <item h="1" m="1" x="6305"/>
        <item h="1" m="1" x="4335"/>
        <item h="1" m="1" x="2674"/>
        <item h="1" m="1" x="4553"/>
        <item h="1" m="1" x="7220"/>
        <item h="1" m="1" x="6931"/>
        <item h="1" m="1" x="6932"/>
        <item h="1" m="1" x="7221"/>
        <item h="1" m="1" x="6733"/>
        <item h="1" m="1" x="4472"/>
        <item h="1" m="1" x="4354"/>
        <item h="1" m="1" x="7222"/>
        <item h="1" m="1" x="6944"/>
        <item h="1" m="1" x="7223"/>
        <item h="1" m="1" x="7224"/>
        <item h="1" m="1" x="7225"/>
        <item h="1" m="1" x="7162"/>
        <item h="1" m="1" x="7226"/>
        <item h="1" m="1" x="6680"/>
        <item h="1" m="1" x="6973"/>
        <item h="1" m="1" x="7227"/>
        <item h="1" m="1" x="6322"/>
        <item h="1" m="1" x="6548"/>
        <item h="1" m="1" x="7051"/>
        <item h="1" m="1" x="6978"/>
        <item h="1" m="1" x="7052"/>
        <item h="1" m="1" x="7053"/>
        <item h="1" m="1" x="6555"/>
        <item h="1" m="1" x="7054"/>
        <item h="1" m="1" x="7056"/>
        <item h="1" m="1" x="6635"/>
        <item h="1" m="1" x="6636"/>
        <item h="1" m="1" x="6983"/>
        <item h="1" m="1" x="7058"/>
        <item h="1" m="1" x="772"/>
        <item h="1" m="1" x="6984"/>
        <item h="1" m="1" x="7060"/>
        <item h="1" m="1" x="7061"/>
        <item h="1" m="1" x="7062"/>
        <item h="1" m="1" x="6989"/>
        <item h="1" m="1" x="7064"/>
        <item h="1" m="1" x="6784"/>
        <item h="1" m="1" x="6990"/>
        <item h="1" m="1" x="7071"/>
        <item h="1" m="1" x="7072"/>
        <item h="1" m="1" x="7073"/>
        <item h="1" m="1" x="7074"/>
        <item h="1" m="1" x="7075"/>
        <item h="1" m="1" x="7078"/>
        <item h="1" m="1" x="5569"/>
        <item h="1" m="1" x="5978"/>
        <item h="1" m="1" x="7079"/>
        <item h="1" m="1" x="7080"/>
        <item h="1" m="1" x="7081"/>
        <item h="1" m="1" x="7000"/>
        <item h="1" m="1" x="7001"/>
        <item h="1" m="1" x="7082"/>
        <item h="1" m="1" x="2234"/>
        <item h="1" m="1" x="7093"/>
        <item h="1" m="1" x="7094"/>
        <item h="1" m="1" x="7096"/>
        <item h="1" m="1" x="7101"/>
        <item h="1" m="1" x="2641"/>
        <item h="1" m="1" x="7102"/>
        <item h="1" m="1" x="6575"/>
        <item h="1" m="1" x="6952"/>
        <item h="1" m="1" x="6801"/>
        <item h="1" m="1" x="6802"/>
        <item h="1" m="1" x="6652"/>
        <item h="1" m="1" x="6440"/>
        <item h="1" m="1" x="7105"/>
        <item h="1" m="1" x="7107"/>
        <item h="1" m="1" x="7108"/>
        <item h="1" m="1" x="6810"/>
        <item h="1" m="1" x="6813"/>
        <item h="1" m="1" x="6803"/>
        <item h="1" m="1" x="7112"/>
        <item h="1" m="1" x="7116"/>
        <item h="1" m="1" x="7117"/>
        <item h="1" m="1" x="7118"/>
        <item h="1" m="1" x="7119"/>
        <item h="1" m="1" x="7121"/>
        <item h="1" m="1" x="7122"/>
        <item h="1" m="1" x="7123"/>
        <item h="1" m="1" x="7017"/>
        <item h="1" m="1" x="7133"/>
        <item h="1" m="1" x="7134"/>
        <item h="1" m="1" x="7135"/>
        <item h="1" x="182"/>
        <item h="1" m="1" x="7136"/>
        <item h="1" m="1" x="7018"/>
        <item h="1" m="1" x="7137"/>
        <item h="1" m="1" x="7138"/>
        <item h="1" m="1" x="7139"/>
        <item h="1" m="1" x="7012"/>
        <item h="1" m="1" x="7019"/>
        <item h="1" m="1" x="7016"/>
        <item h="1" m="1" x="7015"/>
        <item h="1" m="1" x="7014"/>
        <item h="1" m="1" x="7013"/>
        <item h="1" m="1" x="7143"/>
        <item h="1" m="1" x="7020"/>
        <item h="1" m="1" x="7021"/>
        <item h="1" m="1" x="7022"/>
        <item h="1" m="1" x="7146"/>
        <item h="1" m="1" x="6594"/>
        <item h="1" m="1" x="6834"/>
        <item h="1" m="1" x="6706"/>
        <item h="1" m="1" x="7150"/>
        <item h="1" m="1" x="4410"/>
        <item h="1" m="1" x="6710"/>
        <item h="1" m="1" x="6711"/>
        <item h="1" m="1" x="7151"/>
        <item h="1" m="1" x="7152"/>
        <item h="1" m="1" x="6917"/>
        <item h="1" m="1" x="6725"/>
        <item h="1" m="1" x="7154"/>
        <item h="1" m="1" x="5686"/>
        <item h="1" m="1" x="4440"/>
        <item h="1" m="1" x="7155"/>
        <item h="1" m="1" x="7156"/>
        <item h="1" m="1" x="7031"/>
        <item h="1" m="1" x="7157"/>
        <item h="1" m="1" x="4320"/>
        <item h="1" m="1" x="7028"/>
        <item h="1" m="1" x="2100"/>
        <item h="1" m="1" x="2101"/>
        <item h="1" m="1" x="5698"/>
        <item h="1" m="1" x="5701"/>
        <item h="1" m="1" x="4423"/>
        <item h="1" m="1" x="4434"/>
        <item h="1" m="1" x="7158"/>
        <item h="1" m="1" x="7160"/>
        <item h="1" m="1" x="7161"/>
        <item h="1" m="1" x="7046"/>
        <item h="1" m="1" x="6971"/>
        <item h="1" m="1" x="6619"/>
        <item h="1" m="1" x="6681"/>
        <item h="1" m="1" x="6756"/>
        <item h="1" m="1" x="7163"/>
        <item h="1" x="200"/>
        <item h="1" m="1" x="6764"/>
        <item h="1" m="1" x="6977"/>
        <item h="1" m="1" x="6765"/>
        <item h="1" m="1" x="6769"/>
        <item h="1" m="1" x="6979"/>
        <item h="1" m="1" x="6630"/>
        <item h="1" m="1" x="6774"/>
        <item h="1" m="1" x="6631"/>
        <item h="1" m="1" x="6981"/>
        <item h="1" m="1" x="6982"/>
        <item h="1" m="1" x="6688"/>
        <item h="1" m="1" x="6637"/>
        <item h="1" m="1" x="6384"/>
        <item h="1" m="1" x="5945"/>
        <item h="1" m="1" x="6793"/>
        <item h="1" m="1" x="6792"/>
        <item h="1" m="1" x="6785"/>
        <item h="1" m="1" x="6788"/>
        <item h="1" m="1" x="5646"/>
        <item h="1" m="1" x="6795"/>
        <item h="1" m="1" x="6991"/>
        <item h="1" m="1" x="6992"/>
        <item h="1" m="1" x="6993"/>
        <item h="1" m="1" x="6994"/>
        <item h="1" m="1" x="6995"/>
        <item h="1" m="1" x="566"/>
        <item h="1" m="1" x="6997"/>
        <item h="1" m="1" x="6998"/>
        <item h="1" m="1" x="6811"/>
        <item h="1" m="1" x="6999"/>
        <item h="1" m="1" x="6812"/>
        <item h="1" m="1" x="6804"/>
        <item h="1" m="1" x="6805"/>
        <item h="1" m="1" x="7003"/>
        <item h="1" m="1" x="7004"/>
        <item h="1" m="1" x="7005"/>
        <item h="1" m="1" x="7006"/>
        <item h="1" m="1" x="7007"/>
        <item h="1" m="1" x="7008"/>
        <item h="1" m="1" x="7009"/>
        <item h="1" m="1" x="7010"/>
        <item h="1" m="1" x="6818"/>
        <item h="1" m="1" x="6819"/>
        <item h="1" m="1" x="5547"/>
        <item h="1" m="1" x="5674"/>
        <item h="1" m="1" x="6828"/>
        <item h="1" m="1" x="6825"/>
        <item h="1" m="1" x="6826"/>
        <item h="1" m="1" x="5329"/>
        <item h="1" m="1" x="6827"/>
        <item h="1" m="1" x="6830"/>
        <item h="1" m="1" x="6836"/>
        <item h="1" m="1" x="7023"/>
        <item h="1" m="1" x="7024"/>
        <item h="1" m="1" x="7025"/>
        <item h="1" m="1" x="5947"/>
        <item h="1" m="1" x="6858"/>
        <item h="1" m="1" x="6859"/>
        <item h="1" m="1" x="4267"/>
        <item h="1" m="1" x="4547"/>
        <item h="1" m="1" x="6719"/>
        <item h="1" m="1" x="6729"/>
        <item h="1" m="1" x="6728"/>
        <item h="1" m="1" x="6724"/>
        <item h="1" m="1" x="7029"/>
        <item h="1" m="1" x="7030"/>
        <item h="1" m="1" x="3768"/>
        <item h="1" m="1" x="4412"/>
        <item h="1" m="1" x="7032"/>
        <item h="1" m="1" x="7033"/>
        <item h="1" m="1" x="7034"/>
        <item h="1" m="1" x="7035"/>
        <item h="1" m="1" x="7036"/>
        <item h="1" m="1" x="4264"/>
        <item h="1" m="1" x="7037"/>
        <item h="1" m="1" x="4436"/>
        <item h="1" m="1" x="4435"/>
        <item h="1" m="1" x="5700"/>
        <item h="1" m="1" x="7039"/>
        <item h="1" m="1" x="6735"/>
        <item h="1" m="1" x="4437"/>
        <item h="1" m="1" x="4422"/>
        <item h="1" m="1" x="6737"/>
        <item h="1" m="1" x="7040"/>
        <item h="1" m="1" x="7041"/>
        <item h="1" m="1" x="7042"/>
        <item h="1" m="1" x="7043"/>
        <item h="1" m="1" x="6019"/>
        <item h="1" m="1" x="6366"/>
        <item h="1" m="1" x="6959"/>
        <item h="1" m="1" x="7044"/>
        <item h="1" m="1" x="4770"/>
        <item h="1" m="1" x="5708"/>
        <item h="1" m="1" x="7047"/>
        <item h="1" m="1" x="4241"/>
        <item h="1" m="1" x="6538"/>
        <item h="1" m="1" x="975"/>
        <item h="1" m="1" x="6976"/>
        <item h="1" m="1" x="6628"/>
        <item h="1" m="1" x="6763"/>
        <item h="1" m="1" x="6768"/>
        <item h="1" m="1" x="6770"/>
        <item h="1" m="1" x="6771"/>
        <item h="1" m="1" x="6323"/>
        <item h="1" m="1" x="6772"/>
        <item h="1" m="1" x="6775"/>
        <item h="1" m="1" x="6691"/>
        <item h="1" m="1" x="6778"/>
        <item h="1" m="1" x="6779"/>
        <item h="1" m="1" x="6399"/>
        <item h="1" m="1" x="6787"/>
        <item h="1" m="1" x="6789"/>
        <item h="1" m="1" x="6267"/>
        <item h="1" m="1" x="6790"/>
        <item h="1" m="1" x="6791"/>
        <item h="1" m="1" x="6794"/>
        <item h="1" m="1" x="6970"/>
        <item h="1" m="1" x="6796"/>
        <item h="1" m="1" x="6797"/>
        <item h="1" m="1" x="571"/>
        <item h="1" m="1" x="6798"/>
        <item h="1" m="1" x="6799"/>
        <item h="1" m="1" x="6800"/>
        <item h="1" m="1" x="6806"/>
        <item h="1" m="1" x="6807"/>
        <item h="1" m="1" x="6808"/>
        <item h="1" m="1" x="6809"/>
        <item h="1" m="1" x="1495"/>
        <item h="1" m="1" x="6814"/>
        <item h="1" m="1" x="6815"/>
        <item h="1" m="1" x="6816"/>
        <item h="1" m="1" x="3263"/>
        <item h="1" m="1" x="6817"/>
        <item h="1" m="1" x="3546"/>
        <item h="1" m="1" x="4824"/>
        <item h="1" m="1" x="6975"/>
        <item h="1" m="1" x="6820"/>
        <item h="1" m="1" x="6821"/>
        <item h="1" m="1" x="6823"/>
        <item h="1" m="1" x="6824"/>
        <item h="1" m="1" x="5806"/>
        <item h="1" m="1" x="6829"/>
        <item h="1" m="1" x="6840"/>
        <item h="1" m="1" x="6841"/>
        <item h="1" m="1" x="6842"/>
        <item h="1" m="1" x="6843"/>
        <item h="1" m="1" x="6844"/>
        <item h="1" m="1" x="6845"/>
        <item h="1" m="1" x="6846"/>
        <item h="1" m="1" x="6848"/>
        <item h="1" m="1" x="5339"/>
        <item h="1" m="1" x="5340"/>
        <item h="1" m="1" x="6707"/>
        <item h="1" m="1" x="6708"/>
        <item h="1" m="1" x="6867"/>
        <item h="1" m="1" x="6716"/>
        <item h="1" m="1" x="6717"/>
        <item h="1" m="1" x="6723"/>
        <item h="1" m="1" x="6722"/>
        <item h="1" m="1" x="6727"/>
        <item h="1" m="1" x="4381"/>
        <item h="1" m="1" x="6924"/>
        <item h="1" m="1" x="6926"/>
        <item h="1" m="1" x="6927"/>
        <item h="1" m="1" x="6731"/>
        <item h="1" m="1" x="6949"/>
        <item h="1" m="1" x="6958"/>
        <item h="1" m="1" x="6371"/>
        <item h="1" m="1" x="5119"/>
        <item h="1" m="1" x="6535"/>
        <item h="1" m="1" x="6536"/>
        <item h="1" m="1" x="6750"/>
        <item h="1" m="1" x="6753"/>
        <item h="1" m="1" x="4674"/>
        <item h="1" m="1" x="6685"/>
        <item h="1" m="1" x="6623"/>
        <item h="1" m="1" x="6632"/>
        <item h="1" m="1" x="6379"/>
        <item h="1" m="1" x="6388"/>
        <item h="1" m="1" x="2791"/>
        <item h="1" m="1" x="6687"/>
        <item h="1" m="1" x="6640"/>
        <item h="1" m="1" x="6644"/>
        <item h="1" m="1" x="6645"/>
        <item h="1" m="1" x="6646"/>
        <item h="1" m="1" x="6647"/>
        <item h="1" m="1" x="6648"/>
        <item h="1" m="1" x="6695"/>
        <item h="1" m="1" x="5162"/>
        <item h="1" m="1" x="6568"/>
        <item h="1" m="1" x="6569"/>
        <item h="1" m="1" x="6570"/>
        <item h="1" m="1" x="6566"/>
        <item h="1" m="1" x="6567"/>
        <item h="1" m="1" x="4580"/>
        <item h="1" m="1" x="6697"/>
        <item h="1" m="1" x="6427"/>
        <item h="1" m="1" x="6698"/>
        <item h="1" m="1" x="6481"/>
        <item h="1" m="1" x="6699"/>
        <item h="1" m="1" x="6700"/>
        <item h="1" m="1" x="6701"/>
        <item h="1" m="1" x="6703"/>
        <item h="1" m="1" x="6705"/>
        <item h="1" m="1" x="6345"/>
        <item h="1" m="1" x="6346"/>
        <item h="1" m="1" x="6712"/>
        <item h="1" m="1" x="6713"/>
        <item h="1" m="1" x="6718"/>
        <item h="1" m="1" x="6667"/>
        <item h="1" m="1" x="6666"/>
        <item h="1" m="1" x="6348"/>
        <item h="1" m="1" x="6349"/>
        <item h="1" m="1" x="6525"/>
        <item h="1" m="1" x="6730"/>
        <item h="1" m="1" x="4471"/>
        <item h="1" m="1" x="4358"/>
        <item h="1" m="1" x="4359"/>
        <item h="1" m="1" x="6736"/>
        <item h="1" m="1" x="6739"/>
        <item h="1" m="1" x="6530"/>
        <item h="1" m="1" x="5106"/>
        <item h="1" m="1" x="6740"/>
        <item h="1" m="1" x="2711"/>
        <item h="1" m="1" x="6741"/>
        <item h="1" m="1" x="6370"/>
        <item h="1" m="1" x="6742"/>
        <item h="1" m="1" x="6743"/>
        <item h="1" m="1" x="6744"/>
        <item h="1" m="1" x="6745"/>
        <item h="1" m="1" x="6533"/>
        <item h="1" m="1" x="6747"/>
        <item h="1" m="1" x="5359"/>
        <item h="1" m="1" x="6751"/>
        <item h="1" m="1" x="6683"/>
        <item h="1" m="1" x="6761"/>
        <item h="1" m="1" x="6762"/>
        <item h="1" m="1" x="6625"/>
        <item h="1" m="1" x="6626"/>
        <item h="1" m="1" x="6627"/>
        <item h="1" m="1" x="6633"/>
        <item h="1" m="1" x="6634"/>
        <item h="1" m="1" x="6014"/>
        <item h="1" m="1" x="6015"/>
        <item h="1" m="1" x="1618"/>
        <item h="1" m="1" x="6386"/>
        <item h="1" m="1" x="1546"/>
        <item h="1" m="1" x="6638"/>
        <item h="1" m="1" x="6641"/>
        <item h="1" m="1" x="6397"/>
        <item h="1" m="1" x="6642"/>
        <item h="1" m="1" x="6643"/>
        <item h="1" m="1" x="6328"/>
        <item h="1" m="1" x="6650"/>
        <item h="1" m="1" x="6651"/>
        <item h="1" m="1" x="6405"/>
        <item h="1" m="1" x="6412"/>
        <item h="1" m="1" x="4793"/>
        <item h="1" m="1" x="6417"/>
        <item h="1" m="1" x="6653"/>
        <item h="1" m="1" x="6447"/>
        <item h="1" m="1" x="6654"/>
        <item h="1" m="1" x="2149"/>
        <item h="1" m="1" x="6022"/>
        <item h="1" m="1" x="6655"/>
        <item h="1" m="1" x="6658"/>
        <item h="1" m="1" x="6529"/>
        <item h="1" m="1" x="6592"/>
        <item h="1" m="1" x="6512"/>
        <item h="1" m="1" x="6659"/>
        <item h="1" m="1" x="6661"/>
        <item h="1" m="1" x="6663"/>
        <item h="1" m="1" x="6236"/>
        <item h="1" m="1" x="6351"/>
        <item h="1" m="1" x="6356"/>
        <item h="1" m="1" x="4441"/>
        <item h="1" m="1" x="4442"/>
        <item h="1" m="1" x="6668"/>
        <item h="1" m="1" x="6669"/>
        <item h="1" m="1" x="6520"/>
        <item h="1" m="1" x="6670"/>
        <item h="1" m="1" x="4249"/>
        <item h="1" m="1" x="4349"/>
        <item h="1" m="1" x="5697"/>
        <item h="1" m="1" x="4348"/>
        <item h="1" m="1" x="5703"/>
        <item h="1" m="1" x="6671"/>
        <item h="1" m="1" x="4443"/>
        <item h="1" m="1" x="4446"/>
        <item h="1" m="1" x="4444"/>
        <item h="1" m="1" x="4244"/>
        <item h="1" m="1" x="5704"/>
        <item h="1" m="1" x="5496"/>
        <item h="1" m="1" x="855"/>
        <item h="1" m="1" x="5465"/>
        <item h="1" m="1" x="6368"/>
        <item h="1" m="1" x="6258"/>
        <item h="1" m="1" x="6674"/>
        <item h="1" m="1" x="6675"/>
        <item h="1" m="1" x="866"/>
        <item h="1" m="1" x="5111"/>
        <item h="1" m="1" x="6676"/>
        <item h="1" m="1" x="6677"/>
        <item h="1" m="1" x="6678"/>
        <item h="1" m="1" x="920"/>
        <item h="1" m="1" x="6682"/>
        <item h="1" m="1" x="5519"/>
        <item h="1" m="1" x="6540"/>
        <item h="1" m="1" x="3509"/>
        <item h="1" m="1" x="6542"/>
        <item h="1" m="1" x="6543"/>
        <item h="1" m="1" x="6544"/>
        <item h="1" m="1" x="6545"/>
        <item h="1" m="1" x="6546"/>
        <item h="1" m="1" x="6547"/>
        <item h="1" m="1" x="6377"/>
        <item h="1" m="1" x="6549"/>
        <item h="1" m="1" x="6550"/>
        <item h="1" m="1" x="6551"/>
        <item h="1" m="1" x="6552"/>
        <item h="1" m="1" x="6553"/>
        <item h="1" m="1" x="6554"/>
        <item h="1" m="1" x="5727"/>
        <item h="1" m="1" x="6556"/>
        <item h="1" m="1" x="6380"/>
        <item h="1" m="1" x="6557"/>
        <item h="1" m="1" x="6020"/>
        <item h="1" m="1" x="6558"/>
        <item h="1" m="1" x="6559"/>
        <item h="1" m="1" x="6560"/>
        <item h="1" m="1" x="6561"/>
        <item h="1" m="1" x="6383"/>
        <item h="1" m="1" x="6327"/>
        <item h="1" m="1" x="6562"/>
        <item h="1" m="1" x="6206"/>
        <item h="1" m="1" x="6403"/>
        <item h="1" m="1" x="6563"/>
        <item h="1" m="1" x="6564"/>
        <item h="1" m="1" x="6571"/>
        <item h="1" m="1" x="6572"/>
        <item h="1" m="1" x="6573"/>
        <item h="1" m="1" x="6574"/>
        <item h="1" m="1" x="6429"/>
        <item h="1" m="1" x="6576"/>
        <item h="1" m="1" x="6430"/>
        <item h="1" m="1" x="6577"/>
        <item h="1" m="1" x="5017"/>
        <item h="1" m="1" x="6431"/>
        <item h="1" m="1" x="6578"/>
        <item h="1" m="1" x="6579"/>
        <item h="1" m="1" x="6580"/>
        <item h="1" m="1" x="6581"/>
        <item h="1" m="1" x="6582"/>
        <item h="1" m="1" x="6419"/>
        <item h="1" m="1" x="6583"/>
        <item h="1" m="1" x="6434"/>
        <item h="1" m="1" x="6442"/>
        <item h="1" m="1" x="6444"/>
        <item h="1" m="1" x="2377"/>
        <item h="1" m="1" x="6584"/>
        <item h="1" m="1" x="6585"/>
        <item h="1" m="1" x="6021"/>
        <item h="1" m="1" x="6445"/>
        <item h="1" m="1" x="6437"/>
        <item h="1" m="1" x="6025"/>
        <item h="1" m="1" x="6586"/>
        <item h="1" m="1" x="6450"/>
        <item h="1" m="1" x="6587"/>
        <item h="1" m="1" x="6588"/>
        <item h="1" m="1" x="6451"/>
        <item h="1" m="1" x="5672"/>
        <item h="1" m="1" x="6460"/>
        <item h="1" m="1" x="6461"/>
        <item h="1" m="1" x="6462"/>
        <item h="1" m="1" x="6458"/>
        <item h="1" m="1" x="6459"/>
        <item h="1" m="1" x="6474"/>
        <item h="1" m="1" x="6465"/>
        <item h="1" m="1" x="6464"/>
        <item h="1" m="1" x="6590"/>
        <item h="1" m="1" x="6591"/>
        <item h="1" m="1" x="6476"/>
        <item h="1" m="1" x="6485"/>
        <item h="1" m="1" x="6484"/>
        <item h="1" m="1" x="6482"/>
        <item h="1" m="1" x="6477"/>
        <item h="1" m="1" x="6483"/>
        <item h="1" m="1" x="6479"/>
        <item h="1" m="1" x="6480"/>
        <item h="1" m="1" x="6493"/>
        <item h="1" m="1" x="6494"/>
        <item h="1" m="1" x="6500"/>
        <item h="1" m="1" x="1067"/>
        <item h="1" m="1" x="6495"/>
        <item h="1" m="1" x="6497"/>
        <item h="1" m="1" x="6505"/>
        <item h="1" m="1" x="6496"/>
        <item h="1" m="1" x="6498"/>
        <item h="1" m="1" x="6499"/>
        <item h="1" m="1" x="6501"/>
        <item h="1" m="1" x="6593"/>
        <item h="1" m="1" x="6507"/>
        <item h="1" m="1" x="6508"/>
        <item h="1" m="1" x="6509"/>
        <item h="1" m="1" x="6510"/>
        <item h="1" m="1" x="6511"/>
        <item h="1" m="1" x="6515"/>
        <item h="1" m="1" x="6595"/>
        <item h="1" m="1" x="6596"/>
        <item h="1" m="1" x="6597"/>
        <item h="1" m="1" x="4328"/>
        <item h="1" m="1" x="6599"/>
        <item h="1" m="1" x="6600"/>
        <item h="1" m="1" x="4384"/>
        <item h="1" m="1" x="4378"/>
        <item h="1" m="1" x="6601"/>
        <item h="1" m="1" x="6602"/>
        <item h="1" m="1" x="5629"/>
        <item h="1" m="1" x="4383"/>
        <item h="1" m="1" x="6350"/>
        <item h="1" m="1" x="4165"/>
        <item h="1" m="1" x="4405"/>
        <item h="1" m="1" x="4247"/>
        <item h="1" m="1" x="4248"/>
        <item h="1" m="1" x="5419"/>
        <item h="1" m="1" x="6603"/>
        <item h="1" m="1" x="6604"/>
        <item h="1" m="1" x="6605"/>
        <item h="1" m="1" x="6606"/>
        <item h="1" m="1" x="5948"/>
        <item h="1" m="1" x="6607"/>
        <item h="1" m="1" x="6608"/>
        <item h="1" m="1" x="4338"/>
        <item h="1" m="1" x="4337"/>
        <item h="1" m="1" x="4492"/>
        <item h="1" m="1" x="4568"/>
        <item h="1" m="1" x="4360"/>
        <item h="1" m="1" x="4749"/>
        <item h="1" m="1" x="4380"/>
        <item h="1" m="1" x="4353"/>
        <item h="1" m="1" x="6307"/>
        <item h="1" m="1" x="4467"/>
        <item h="1" m="1" x="5952"/>
        <item h="1" m="1" x="5953"/>
        <item h="1" m="1" x="6610"/>
        <item h="1" m="1" x="6611"/>
        <item h="1" m="1" x="5354"/>
        <item h="1" m="1" x="6612"/>
        <item h="1" x="280"/>
        <item h="1" m="1" x="6613"/>
        <item h="1" m="1" x="6614"/>
        <item h="1" m="1" x="6532"/>
        <item h="1" m="1" x="6615"/>
        <item h="1" m="1" x="6616"/>
        <item h="1" m="1" x="3721"/>
        <item h="1" m="1" x="6617"/>
        <item h="1" m="1" x="6534"/>
        <item h="1" m="1" x="4361"/>
        <item h="1" m="1" x="4400"/>
        <item h="1" m="1" x="4445"/>
        <item h="1" m="1" x="5707"/>
        <item h="1" m="1" x="6618"/>
        <item h="1" m="1" x="4454"/>
        <item h="1" m="1" x="5128"/>
        <item h="1" m="1" x="6620"/>
        <item h="1" m="1" x="6621"/>
        <item h="1" m="1" x="993"/>
        <item h="1" m="1" x="6028"/>
        <item h="1" m="1" x="6029"/>
        <item h="1" m="1" x="6321"/>
        <item h="1" m="1" x="6376"/>
        <item h="1" m="1" x="6378"/>
        <item h="1" m="1" x="5139"/>
        <item h="1" m="1" x="6325"/>
        <item h="1" m="1" x="6382"/>
        <item h="1" m="1" x="6389"/>
        <item h="1" m="1" x="6390"/>
        <item h="1" m="1" x="6391"/>
        <item h="1" x="34"/>
        <item h="1" m="1" x="3907"/>
        <item h="1" m="1" x="6045"/>
        <item h="1" m="1" x="6396"/>
        <item h="1" m="1" x="6400"/>
        <item h="1" m="1" x="6401"/>
        <item h="1" m="1" x="6402"/>
        <item h="1" m="1" x="5785"/>
        <item h="1" m="1" x="6330"/>
        <item h="1" m="1" x="6404"/>
        <item h="1" m="1" x="6406"/>
        <item h="1" m="1" x="6407"/>
        <item h="1" m="1" x="6409"/>
        <item h="1" m="1" x="6410"/>
        <item h="1" m="1" x="6411"/>
        <item h="1" m="1" x="6413"/>
        <item h="1" m="1" x="6414"/>
        <item h="1" m="1" x="6415"/>
        <item h="1" m="1" x="6416"/>
        <item h="1" m="1" x="6418"/>
        <item h="1" m="1" x="5865"/>
        <item h="1" m="1" x="6052"/>
        <item h="1" m="1" x="6420"/>
        <item h="1" m="1" x="6421"/>
        <item h="1" m="1" x="6422"/>
        <item h="1" m="1" x="4570"/>
        <item h="1" m="1" x="6423"/>
        <item h="1" m="1" x="6424"/>
        <item h="1" m="1" x="6425"/>
        <item h="1" m="1" x="5018"/>
        <item h="1" m="1" x="6426"/>
        <item h="1" m="1" x="6333"/>
        <item h="1" m="1" x="6432"/>
        <item h="1" m="1" x="6433"/>
        <item h="1" m="1" x="6436"/>
        <item h="1" m="1" x="6438"/>
        <item h="1" m="1" x="6441"/>
        <item h="1" m="1" x="6446"/>
        <item h="1" m="1" x="6336"/>
        <item h="1" m="1" x="6449"/>
        <item h="1" m="1" x="6453"/>
        <item h="1" m="1" x="6455"/>
        <item h="1" m="1" x="6456"/>
        <item h="1" m="1" x="6457"/>
        <item h="1" m="1" x="6064"/>
        <item h="1" m="1" x="6065"/>
        <item h="1" m="1" x="6463"/>
        <item h="1" m="1" x="6466"/>
        <item h="1" m="1" x="6467"/>
        <item h="1" m="1" x="6468"/>
        <item h="1" m="1" x="6469"/>
        <item h="1" m="1" x="6470"/>
        <item h="1" m="1" x="6471"/>
        <item h="1" m="1" x="6472"/>
        <item h="1" m="1" x="6473"/>
        <item h="1" m="1" x="6337"/>
        <item h="1" m="1" x="6475"/>
        <item h="1" m="1" x="2194"/>
        <item h="1" m="1" x="6340"/>
        <item h="1" m="1" x="6023"/>
        <item h="1" m="1" x="6478"/>
        <item h="1" m="1" x="4783"/>
        <item h="1" m="1" x="6486"/>
        <item h="1" m="1" x="5616"/>
        <item h="1" m="1" x="6487"/>
        <item h="1" m="1" x="6488"/>
        <item h="1" m="1" x="6489"/>
        <item h="1" m="1" x="6490"/>
        <item h="1" m="1" x="6491"/>
        <item h="1" m="1" x="6492"/>
        <item h="1" m="1" x="6502"/>
        <item h="1" m="1" x="6503"/>
        <item h="1" m="1" x="6504"/>
        <item h="1" m="1" x="6506"/>
        <item h="1" m="1" x="6343"/>
        <item h="1" m="1" x="4585"/>
        <item h="1" m="1" x="6514"/>
        <item h="1" m="1" x="6516"/>
        <item h="1" m="1" x="4448"/>
        <item h="1" m="1" x="5483"/>
        <item h="1" m="1" x="4534"/>
        <item h="1" m="1" x="5485"/>
        <item h="1" m="1" x="6353"/>
        <item h="1" m="1" x="6354"/>
        <item h="1" m="1" x="6519"/>
        <item h="1" m="1" x="6301"/>
        <item h="1" m="1" x="4527"/>
        <item h="1" m="1" x="4881"/>
        <item h="1" m="1" x="6522"/>
        <item h="1" m="1" x="6523"/>
        <item h="1" m="1" x="6524"/>
        <item h="1" m="1" x="4536"/>
        <item h="1" m="1" x="4489"/>
        <item h="1" m="1" x="5967"/>
        <item h="1" m="1" x="5968"/>
        <item h="1" m="1" x="5969"/>
        <item h="1" m="1" x="6527"/>
        <item h="1" m="1" x="4350"/>
        <item h="1" m="1" x="4376"/>
        <item h="1" m="1" x="5255"/>
        <item h="1" m="1" x="5821"/>
        <item h="1" m="1" x="6531"/>
        <item h="1" m="1" x="6373"/>
        <item h="1" m="1" x="5954"/>
        <item h="1" m="1" x="5825"/>
        <item h="1" m="1" x="6030"/>
        <item h="1" m="1" x="6034"/>
        <item h="1" m="1" x="6035"/>
        <item h="1" m="1" x="6037"/>
        <item h="1" m="1" x="6044"/>
        <item h="1" m="1" x="6042"/>
        <item h="1" m="1" x="6038"/>
        <item h="1" m="1" x="6039"/>
        <item h="1" m="1" x="6040"/>
        <item h="1" m="1" x="6041"/>
        <item h="1" m="1" x="4769"/>
        <item h="1" m="1" x="6324"/>
        <item h="1" m="1" x="2504"/>
        <item h="1" m="1" x="6190"/>
        <item h="1" m="1" x="6195"/>
        <item h="1" m="1" x="6196"/>
        <item h="1" m="1" x="6197"/>
        <item h="1" m="1" x="6198"/>
        <item h="1" m="1" x="6266"/>
        <item h="1" m="1" x="6194"/>
        <item h="1" m="1" x="5958"/>
        <item h="1" m="1" x="5959"/>
        <item h="1" m="1" x="6199"/>
        <item h="1" m="1" x="6332"/>
        <item h="1" m="1" x="6046"/>
        <item h="1" m="1" x="4704"/>
        <item h="1" m="1" x="497"/>
        <item h="1" m="1" x="6051"/>
        <item h="1" m="1" x="6334"/>
        <item h="1" m="1" x="6335"/>
        <item h="1" m="1" x="517"/>
        <item h="1" m="1" x="3897"/>
        <item h="1" m="1" x="6275"/>
        <item h="1" m="1" x="6057"/>
        <item h="1" x="426"/>
        <item h="1" m="1" x="6277"/>
        <item h="1" m="1" x="6278"/>
        <item h="1" m="1" x="6071"/>
        <item h="1" m="1" x="6072"/>
        <item h="1" m="1" x="6073"/>
        <item h="1" m="1" x="6067"/>
        <item h="1" m="1" x="6068"/>
        <item h="1" m="1" x="6338"/>
        <item h="1" m="1" x="6339"/>
        <item h="1" m="1" x="6075"/>
        <item h="1" m="1" x="937"/>
        <item h="1" m="1" x="6341"/>
        <item h="1" m="1" x="5816"/>
        <item h="1" m="1" x="5817"/>
        <item h="1" m="1" x="5601"/>
        <item h="1" m="1" x="6342"/>
        <item h="1" m="1" x="6076"/>
        <item h="1" m="1" x="6077"/>
        <item h="1" m="1" x="6078"/>
        <item h="1" m="1" x="6079"/>
        <item h="1" m="1" x="6083"/>
        <item h="1" m="1" x="6084"/>
        <item h="1" m="1" x="5818"/>
        <item h="1" m="1" x="6344"/>
        <item h="1" m="1" x="6231"/>
        <item h="1" m="1" x="6237"/>
        <item h="1" m="1" x="6235"/>
        <item h="1" m="1" x="6234"/>
        <item h="1" m="1" x="6238"/>
        <item h="1" m="1" x="6347"/>
        <item h="1" m="1" x="5964"/>
        <item h="1" m="1" x="6289"/>
        <item h="1" m="1" x="5819"/>
        <item h="1" m="1" x="6239"/>
        <item h="1" m="1" x="6242"/>
        <item h="1" m="1" x="6244"/>
        <item h="1" m="1" x="6247"/>
        <item h="1" m="1" x="6248"/>
        <item h="1" m="1" x="6243"/>
        <item h="1" m="1" x="6246"/>
        <item h="1" m="1" x="6245"/>
        <item h="1" m="1" x="6240"/>
        <item h="1" m="1" x="4519"/>
        <item h="1" m="1" x="4539"/>
        <item h="1" m="1" x="6357"/>
        <item h="1" m="1" x="6251"/>
        <item h="1" m="1" x="6303"/>
        <item h="1" m="1" x="6304"/>
        <item h="1" m="1" x="6358"/>
        <item h="1" m="1" x="5820"/>
        <item h="1" m="1" x="6306"/>
        <item h="1" m="1" x="6359"/>
        <item h="1" m="1" x="4406"/>
        <item h="1" m="1" x="6308"/>
        <item h="1" m="1" x="6362"/>
        <item h="1" m="1" x="6364"/>
        <item h="1" m="1" x="6365"/>
        <item h="1" m="1" x="6367"/>
        <item h="1" m="1" x="6369"/>
        <item h="1" m="1" x="6374"/>
        <item h="1" m="1" x="5823"/>
        <item h="1" m="1" x="5824"/>
        <item h="1" m="1" x="5822"/>
        <item h="1" m="1" x="2632"/>
        <item h="1" m="1" x="5527"/>
        <item h="1" m="1" x="6262"/>
        <item h="1" m="1" x="6263"/>
        <item h="1" m="1" x="6264"/>
        <item h="1" m="1" x="5662"/>
        <item h="1" m="1" x="6043"/>
        <item h="1" m="1" x="6036"/>
        <item h="1" m="1" x="821"/>
        <item h="1" m="1" x="6265"/>
        <item h="1" m="1" x="6203"/>
        <item h="1" m="1" x="6204"/>
        <item h="1" m="1" x="6268"/>
        <item h="1" m="1" x="6205"/>
        <item h="1" m="1" x="6193"/>
        <item h="1" m="1" x="6207"/>
        <item h="1" m="1" x="6191"/>
        <item h="1" m="1" x="6208"/>
        <item h="1" m="1" x="6269"/>
        <item h="1" m="1" x="6047"/>
        <item h="1" m="1" x="6270"/>
        <item h="1" m="1" x="6271"/>
        <item h="1" m="1" x="6272"/>
        <item h="1" m="1" x="6273"/>
        <item h="1" m="1" x="6274"/>
        <item h="1" m="1" x="6048"/>
        <item h="1" m="1" x="6055"/>
        <item h="1" m="1" x="5498"/>
        <item h="1" m="1" x="6217"/>
        <item h="1" m="1" x="6218"/>
        <item h="1" m="1" x="6219"/>
        <item h="1" m="1" x="6216"/>
        <item h="1" m="1" x="6053"/>
        <item h="1" m="1" x="6220"/>
        <item h="1" m="1" x="6276"/>
        <item h="1" m="1" x="6060"/>
        <item h="1" m="1" x="6061"/>
        <item h="1" m="1" x="6062"/>
        <item h="1" m="1" x="6074"/>
        <item h="1" m="1" x="6279"/>
        <item h="1" m="1" x="6280"/>
        <item h="1" m="1" x="6066"/>
        <item h="1" m="1" x="6221"/>
        <item h="1" m="1" x="6281"/>
        <item h="1" m="1" x="6282"/>
        <item h="1" m="1" x="6283"/>
        <item h="1" m="1" x="6226"/>
        <item h="1" m="1" x="6222"/>
        <item h="1" m="1" x="6223"/>
        <item h="1" m="1" x="6225"/>
        <item h="1" m="1" x="6224"/>
        <item h="1" m="1" x="5675"/>
        <item h="1" m="1" x="5837"/>
        <item h="1" m="1" x="3886"/>
        <item h="1" m="1" x="6284"/>
        <item h="1" m="1" x="6081"/>
        <item h="1" m="1" x="6229"/>
        <item h="1" m="1" x="6285"/>
        <item h="1" m="1" x="4520"/>
        <item h="1" m="1" x="6286"/>
        <item h="1" m="1" x="5961"/>
        <item h="1" m="1" x="5962"/>
        <item h="1" m="1" x="6287"/>
        <item h="1" m="1" x="6085"/>
        <item h="1" m="1" x="4510"/>
        <item h="1" m="1" x="4377"/>
        <item h="1" m="1" x="6290"/>
        <item h="1" m="1" x="6291"/>
        <item h="1" m="1" x="6292"/>
        <item h="1" m="1" x="6293"/>
        <item h="1" m="1" x="6296"/>
        <item h="1" m="1" x="6297"/>
        <item h="1" m="1" x="6298"/>
        <item h="1" m="1" x="6299"/>
        <item h="1" m="1" x="6300"/>
        <item h="1" m="1" x="5725"/>
        <item h="1" m="1" x="5965"/>
        <item h="1" m="1" x="5966"/>
        <item h="1" m="1" x="4538"/>
        <item h="1" m="1" x="4537"/>
        <item h="1" m="1" x="3936"/>
        <item h="1" m="1" x="6302"/>
        <item h="1" m="1" x="5839"/>
        <item h="1" m="1" x="6252"/>
        <item h="1" m="1" x="6309"/>
        <item h="1" m="1" x="6310"/>
        <item h="1" m="1" x="6311"/>
        <item h="1" m="1" x="6312"/>
        <item h="1" m="1" x="6313"/>
        <item h="1" m="1" x="6314"/>
        <item h="1" m="1" x="6315"/>
        <item h="1" m="1" x="6316"/>
        <item h="1" m="1" x="6317"/>
        <item h="1" m="1" x="6318"/>
        <item h="1" m="1" x="5842"/>
        <item h="1" m="1" x="6319"/>
        <item h="1" m="1" x="5126"/>
        <item h="1" m="1" x="2362"/>
        <item h="1" m="1" x="6320"/>
        <item h="1" m="1" x="5533"/>
        <item h="1" m="1" x="5534"/>
        <item h="1" m="1" x="1096"/>
        <item h="1" m="1" x="5863"/>
        <item h="1" m="1" x="6031"/>
        <item h="1" m="1" x="6032"/>
        <item h="1" m="1" x="6033"/>
        <item h="1" m="1" x="6188"/>
        <item h="1" m="1" x="6095"/>
        <item h="1" m="1" x="6096"/>
        <item h="1" m="1" x="5826"/>
        <item h="1" m="1" x="2299"/>
        <item h="1" m="1" x="4694"/>
        <item h="1" m="1" x="6192"/>
        <item h="1" m="1" x="5163"/>
        <item h="1" m="1" x="6200"/>
        <item h="1" m="1" x="6201"/>
        <item h="1" m="1" x="3295"/>
        <item h="1" m="1" x="6209"/>
        <item h="1" m="1" x="6050"/>
        <item h="1" m="1" x="6049"/>
        <item h="1" m="1" x="6210"/>
        <item h="1" m="1" x="6211"/>
        <item h="1" m="1" x="2515"/>
        <item h="1" m="1" x="6212"/>
        <item h="1" m="1" x="6213"/>
        <item h="1" m="1" x="6103"/>
        <item h="1" m="1" x="6104"/>
        <item h="1" m="1" x="6111"/>
        <item h="1" m="1" x="6116"/>
        <item h="1" m="1" x="6117"/>
        <item h="1" m="1" x="6214"/>
        <item h="1" m="1" x="6215"/>
        <item h="1" m="1" x="3895"/>
        <item h="1" m="1" x="4803"/>
        <item h="1" m="1" x="6056"/>
        <item h="1" m="1" x="6122"/>
        <item h="1" m="1" x="6129"/>
        <item h="1" m="1" x="6063"/>
        <item h="1" m="1" x="6132"/>
        <item h="1" m="1" x="6069"/>
        <item h="1" m="1" x="6227"/>
        <item h="1" m="1" x="5395"/>
        <item h="1" m="1" x="5681"/>
        <item h="1" m="1" x="5669"/>
        <item h="1" m="1" x="6080"/>
        <item h="1" m="1" x="6174"/>
        <item h="1" m="1" x="6181"/>
        <item h="1" m="1" x="6082"/>
        <item h="1" m="1" x="6228"/>
        <item h="1" m="1" x="6179"/>
        <item h="1" m="1" x="6230"/>
        <item h="1" m="1" x="6232"/>
        <item h="1" m="1" x="6233"/>
        <item h="1" m="1" x="4394"/>
        <item h="1" m="1" x="5838"/>
        <item h="1" m="1" x="5724"/>
        <item h="1" m="1" x="4719"/>
        <item h="1" m="1" x="6249"/>
        <item h="1" m="1" x="2648"/>
        <item h="1" m="1" x="6250"/>
        <item h="1" m="1" x="4744"/>
        <item h="1" m="1" x="6253"/>
        <item h="1" m="1" x="6254"/>
        <item h="1" m="1" x="6255"/>
        <item h="1" m="1" x="6257"/>
        <item h="1" m="1" x="6162"/>
        <item h="1" m="1" x="5656"/>
        <item h="1" m="1" x="5360"/>
        <item h="1" m="1" x="6259"/>
        <item h="1" m="1" x="6260"/>
        <item h="1" m="1" x="5660"/>
        <item h="1" m="1" x="5713"/>
        <item h="1" m="1" x="5292"/>
        <item h="1" m="1" x="6163"/>
        <item h="1" m="1" x="1251"/>
        <item h="1" m="1" x="6086"/>
        <item h="1" m="1" x="6087"/>
        <item h="1" m="1" x="6088"/>
        <item h="1" m="1" x="6089"/>
        <item h="1" m="1" x="6090"/>
        <item h="1" m="1" x="6091"/>
        <item h="1" m="1" x="6092"/>
        <item h="1" m="1" x="6093"/>
        <item h="1" m="1" x="6094"/>
        <item h="1" m="1" x="6097"/>
        <item h="1" m="1" x="521"/>
        <item h="1" m="1" x="6098"/>
        <item h="1" m="1" x="6099"/>
        <item h="1" m="1" x="6100"/>
        <item h="1" m="1" x="5147"/>
        <item h="1" m="1" x="5828"/>
        <item h="1" m="1" x="503"/>
        <item h="1" m="1" x="6101"/>
        <item h="1" m="1" x="5829"/>
        <item h="1" m="1" x="6102"/>
        <item h="1" m="1" x="5719"/>
        <item h="1" m="1" x="5956"/>
        <item h="1" m="1" x="5957"/>
        <item h="1" m="1" x="3141"/>
        <item h="1" m="1" x="6105"/>
        <item h="1" m="1" x="6106"/>
        <item h="1" m="1" x="6107"/>
        <item h="1" m="1" x="6108"/>
        <item h="1" m="1" x="6109"/>
        <item h="1" m="1" x="6110"/>
        <item h="1" m="1" x="6112"/>
        <item h="1" m="1" x="6113"/>
        <item h="1" m="1" x="6114"/>
        <item h="1" m="1" x="6115"/>
        <item h="1" m="1" x="6118"/>
        <item h="1" m="1" x="6119"/>
        <item h="1" m="1" x="6120"/>
        <item h="1" m="1" x="6121"/>
        <item h="1" m="1" x="607"/>
        <item h="1" m="1" x="6123"/>
        <item h="1" m="1" x="6124"/>
        <item h="1" m="1" x="6125"/>
        <item h="1" m="1" x="6126"/>
        <item h="1" m="1" x="6127"/>
        <item h="1" m="1" x="6128"/>
        <item h="1" m="1" x="6130"/>
        <item h="1" m="1" x="6131"/>
        <item h="1" m="1" x="6133"/>
        <item h="1" m="1" x="6134"/>
        <item h="1" m="1" x="6135"/>
        <item h="1" m="1" x="4052"/>
        <item h="1" m="1" x="6136"/>
        <item h="1" m="1" x="6137"/>
        <item h="1" m="1" x="5600"/>
        <item h="1" m="1" x="5670"/>
        <item h="1" m="1" x="5671"/>
        <item h="1" x="269"/>
        <item h="1" m="1" x="6138"/>
        <item h="1" m="1" x="6139"/>
        <item h="1" m="1" x="6140"/>
        <item h="1" m="1" x="1634"/>
        <item h="1" m="1" x="6141"/>
        <item h="1" m="1" x="6142"/>
        <item h="1" m="1" x="6143"/>
        <item h="1" m="1" x="4595"/>
        <item h="1" m="1" x="6144"/>
        <item h="1" m="1" x="6145"/>
        <item h="1" m="1" x="5990"/>
        <item h="1" m="1" x="5991"/>
        <item h="1" m="1" x="4460"/>
        <item h="1" m="1" x="6146"/>
        <item h="1" m="1" x="6147"/>
        <item h="1" m="1" x="4533"/>
        <item h="1" m="1" x="6148"/>
        <item h="1" m="1" x="6149"/>
        <item h="1" m="1" x="6150"/>
        <item h="1" m="1" x="4666"/>
        <item h="1" m="1" x="4310"/>
        <item h="1" m="1" x="6151"/>
        <item h="1" m="1" x="4530"/>
        <item h="1" m="1" x="6152"/>
        <item h="1" m="1" x="6153"/>
        <item h="1" m="1" x="6154"/>
        <item h="1" m="1" x="5427"/>
        <item h="1" m="1" x="5970"/>
        <item h="1" m="1" x="5971"/>
        <item h="1" m="1" x="6155"/>
        <item h="1" m="1" x="6156"/>
        <item h="1" m="1" x="6157"/>
        <item h="1" m="1" x="6158"/>
        <item h="1" m="1" x="6159"/>
        <item h="1" m="1" x="4309"/>
        <item h="1" m="1" x="6160"/>
        <item h="1" m="1" x="5841"/>
        <item h="1" m="1" x="6161"/>
        <item h="1" m="1" x="4271"/>
        <item h="1" x="96"/>
        <item h="1" m="1" x="5844"/>
        <item h="1" m="1" x="5983"/>
        <item h="1" m="1" x="6164"/>
        <item h="1" m="1" x="6165"/>
        <item h="1" m="1" x="6167"/>
        <item h="1" m="1" x="6168"/>
        <item h="1" m="1" x="6169"/>
        <item h="1" m="1" x="6170"/>
        <item h="1" m="1" x="6171"/>
        <item h="1" m="1" x="5476"/>
        <item h="1" m="1" x="6172"/>
        <item h="1" m="1" x="6173"/>
        <item h="1" m="1" x="6175"/>
        <item h="1" m="1" x="6176"/>
        <item h="1" m="1" x="6177"/>
        <item h="1" m="1" x="6178"/>
        <item h="1" m="1" x="6180"/>
        <item h="1" m="1" x="6182"/>
        <item h="1" m="1" x="6183"/>
        <item h="1" m="1" x="6184"/>
        <item h="1" m="1" x="6185"/>
        <item h="1" m="1" x="6186"/>
        <item h="1" m="1" x="6187"/>
        <item h="1" m="1" x="6008"/>
        <item h="1" m="1" x="6009"/>
        <item h="1" m="1" x="6010"/>
        <item h="1" m="1" x="453"/>
        <item h="1" m="1" x="5955"/>
        <item h="1" m="1" x="5972"/>
        <item h="1" m="1" x="5973"/>
        <item h="1" m="1" x="2633"/>
        <item h="1" m="1" x="5974"/>
        <item h="1" m="1" x="5975"/>
        <item h="1" m="1" x="5976"/>
        <item h="1" m="1" x="5977"/>
        <item h="1" m="1" x="5846"/>
        <item h="1" m="1" x="5544"/>
        <item h="1" m="1" x="5847"/>
        <item h="1" m="1" x="5131"/>
        <item h="1" m="1" x="5848"/>
        <item h="1" m="1" x="5827"/>
        <item h="1" m="1" x="3646"/>
        <item h="1" m="1" x="857"/>
        <item h="1" m="1" x="5980"/>
        <item h="1" m="1" x="3168"/>
        <item h="1" m="1" x="5153"/>
        <item h="1" m="1" x="5981"/>
        <item h="1" m="1" x="5982"/>
        <item h="1" m="1" x="5716"/>
        <item h="1" m="1" x="5449"/>
        <item h="1" m="1" x="5851"/>
        <item h="1" m="1" x="4196"/>
        <item h="1" m="1" x="5984"/>
        <item h="1" m="1" x="5830"/>
        <item h="1" m="1" x="5985"/>
        <item h="1" m="1" x="5986"/>
        <item h="1" m="1" x="5987"/>
        <item h="1" m="1" x="5464"/>
        <item h="1" m="1" x="5989"/>
        <item h="1" m="1" x="5866"/>
        <item h="1" m="1" x="5867"/>
        <item h="1" m="1" x="5836"/>
        <item h="1" m="1" x="5873"/>
        <item h="1" m="1" x="5876"/>
        <item h="1" m="1" x="5877"/>
        <item h="1" m="1" x="5878"/>
        <item h="1" m="1" x="5879"/>
        <item h="1" m="1" x="5831"/>
        <item h="1" m="1" x="5832"/>
        <item h="1" m="1" x="5833"/>
        <item h="1" m="1" x="5834"/>
        <item h="1" m="1" x="5835"/>
        <item h="1" m="1" x="5884"/>
        <item h="1" m="1" x="5908"/>
        <item h="1" m="1" x="4343"/>
        <item h="1" m="1" x="5337"/>
        <item h="1" m="1" x="4948"/>
        <item h="1" m="1" x="5992"/>
        <item h="1" m="1" x="4742"/>
        <item h="1" m="1" x="4743"/>
        <item h="1" m="1" x="5993"/>
        <item h="1" m="1" x="5994"/>
        <item h="1" m="1" x="5995"/>
        <item h="1" m="1" x="5996"/>
        <item h="1" m="1" x="5997"/>
        <item h="1" m="1" x="5998"/>
        <item h="1" m="1" x="6000"/>
        <item h="1" m="1" x="6001"/>
        <item h="1" m="1" x="6002"/>
        <item h="1" m="1" x="3012"/>
        <item h="1" m="1" x="4308"/>
        <item h="1" m="1" x="6003"/>
        <item h="1" m="1" x="6004"/>
        <item h="1" m="1" x="4970"/>
        <item h="1" m="1" x="4750"/>
        <item h="1" m="1" x="6005"/>
        <item h="1" m="1" x="5840"/>
        <item h="1" m="1" x="4491"/>
        <item h="1" m="1" x="6006"/>
        <item h="1" m="1" x="6007"/>
        <item h="1" m="1" x="4455"/>
        <item h="1" m="1" x="769"/>
        <item h="1" m="1" x="5517"/>
        <item h="1" m="1" x="4911"/>
        <item h="1" m="1" x="5521"/>
        <item h="1" m="1" x="5523"/>
        <item h="1" m="1" x="5130"/>
        <item h="1" m="1" x="2644"/>
        <item h="1" m="1" x="5845"/>
        <item h="1" m="1" x="5732"/>
        <item h="1" m="1" x="5717"/>
        <item h="1" m="1" x="5852"/>
        <item h="1" m="1" x="5853"/>
        <item h="1" m="1" x="5377"/>
        <item h="1" m="1" x="5148"/>
        <item h="1" m="1" x="5854"/>
        <item h="1" m="1" x="5720"/>
        <item h="1" x="112"/>
        <item h="1" m="1" x="5469"/>
        <item h="1" m="1" x="5856"/>
        <item h="1" m="1" x="5857"/>
        <item h="1" m="1" x="5858"/>
        <item h="1" m="1" x="5316"/>
        <item h="1" m="1" x="4804"/>
        <item h="1" m="1" x="5860"/>
        <item h="1" x="345"/>
        <item h="1" m="1" x="5582"/>
        <item h="1" m="1" x="5861"/>
        <item h="1" m="1" x="5862"/>
        <item h="1" m="1" x="5864"/>
        <item h="1" m="1" x="2030"/>
        <item h="1" m="1" x="5868"/>
        <item h="1" m="1" x="5869"/>
        <item h="1" m="1" x="5870"/>
        <item h="1" m="1" x="5871"/>
        <item h="1" m="1" x="5872"/>
        <item h="1" m="1" x="5874"/>
        <item h="1" m="1" x="5178"/>
        <item h="1" m="1" x="5875"/>
        <item h="1" m="1" x="5880"/>
        <item h="1" m="1" x="5881"/>
        <item h="1" m="1" x="5882"/>
        <item h="1" m="1" x="5537"/>
        <item h="1" m="1" x="2223"/>
        <item h="1" m="1" x="4548"/>
        <item h="1" m="1" x="5883"/>
        <item h="1" m="1" x="5448"/>
        <item h="1" m="1" x="5886"/>
        <item h="1" x="127"/>
        <item h="1" m="1" x="5474"/>
        <item h="1" m="1" x="5887"/>
        <item h="1" m="1" x="4714"/>
        <item h="1" m="1" x="5609"/>
        <item h="1" m="1" x="5610"/>
        <item h="1" m="1" x="5888"/>
        <item h="1" m="1" x="5889"/>
        <item h="1" m="1" x="5890"/>
        <item h="1" m="1" x="5891"/>
        <item h="1" m="1" x="5892"/>
        <item h="1" m="1" x="5893"/>
        <item h="1" m="1" x="5894"/>
        <item h="1" m="1" x="5895"/>
        <item h="1" m="1" x="5896"/>
        <item h="1" m="1" x="5723"/>
        <item h="1" m="1" x="4306"/>
        <item h="1" m="1" x="4339"/>
        <item h="1" m="1" x="5347"/>
        <item h="1" m="1" x="5898"/>
        <item h="1" m="1" x="4258"/>
        <item h="1" m="1" x="5766"/>
        <item h="1" m="1" x="5767"/>
        <item h="1" m="1" x="5899"/>
        <item h="1" m="1" x="5501"/>
        <item h="1" m="1" x="5506"/>
        <item h="1" m="1" x="5900"/>
        <item h="1" m="1" x="5112"/>
        <item h="1" m="1" x="5792"/>
        <item h="1" m="1" x="5901"/>
        <item h="1" m="1" x="5902"/>
        <item h="1" m="1" x="5903"/>
        <item h="1" m="1" x="5789"/>
        <item h="1" m="1" x="5790"/>
        <item h="1" m="1" x="5904"/>
        <item h="1" m="1" x="5794"/>
        <item h="1" m="1" x="5905"/>
        <item h="1" m="1" x="5786"/>
        <item h="1" m="1" x="5906"/>
        <item h="1" m="1" x="2571"/>
        <item h="1" m="1" x="5787"/>
        <item h="1" m="1" x="5788"/>
        <item h="1" m="1" x="5907"/>
        <item h="1" m="1" x="5909"/>
        <item h="1" m="1" x="5910"/>
        <item h="1" m="1" x="5911"/>
        <item h="1" m="1" x="5912"/>
        <item h="1" m="1" x="5741"/>
        <item h="1" m="1" x="5913"/>
        <item h="1" m="1" x="5914"/>
        <item h="1" m="1" x="5915"/>
        <item h="1" m="1" x="5916"/>
        <item h="1" m="1" x="5917"/>
        <item h="1" m="1" x="5918"/>
        <item h="1" m="1" x="5171"/>
        <item h="1" m="1" x="5919"/>
        <item h="1" m="1" x="5920"/>
        <item h="1" m="1" x="5659"/>
        <item h="1" m="1" x="5922"/>
        <item h="1" m="1" x="5923"/>
        <item h="1" m="1" x="5924"/>
        <item h="1" m="1" x="5756"/>
        <item h="1" m="1" x="5925"/>
        <item h="1" m="1" x="4486"/>
        <item h="1" m="1" x="4449"/>
        <item h="1" m="1" x="5926"/>
        <item h="1" m="1" x="5927"/>
        <item h="1" m="1" x="5928"/>
        <item h="1" m="1" x="5929"/>
        <item h="1" m="1" x="5930"/>
        <item h="1" m="1" x="4532"/>
        <item h="1" m="1" x="5783"/>
        <item h="1" m="1" x="5777"/>
        <item h="1" m="1" x="5931"/>
        <item h="1" m="1" x="5779"/>
        <item h="1" m="1" x="5774"/>
        <item h="1" m="1" x="5932"/>
        <item h="1" m="1" x="5933"/>
        <item h="1" m="1" x="5693"/>
        <item h="1" m="1" x="5934"/>
        <item h="1" m="1" x="5784"/>
        <item h="1" m="1" x="4334"/>
        <item h="1" m="1" x="4488"/>
        <item h="1" m="1" x="5507"/>
        <item h="1" m="1" x="5935"/>
        <item h="1" m="1" x="4583"/>
        <item h="1" m="1" x="5936"/>
        <item h="1" m="1" x="5937"/>
        <item h="1" m="1" x="5938"/>
        <item h="1" m="1" x="5793"/>
        <item h="1" m="1" x="5939"/>
        <item h="1" m="1" x="5940"/>
        <item h="1" m="1" x="5710"/>
        <item h="1" m="1" x="5524"/>
        <item h="1" m="1" x="5941"/>
        <item h="1" m="1" x="5942"/>
        <item h="1" m="1" x="5532"/>
        <item h="1" m="1" x="5722"/>
        <item h="1" m="1" x="4240"/>
        <item h="1" m="1" x="4239"/>
        <item h="1" m="1" x="4546"/>
        <item h="1" m="1" x="4105"/>
        <item h="1" m="1" x="5729"/>
        <item h="1" m="1" x="5730"/>
        <item h="1" m="1" x="5731"/>
        <item h="1" m="1" x="5661"/>
        <item h="1" m="1" x="5733"/>
        <item h="1" m="1" x="5734"/>
        <item h="1" m="1" x="5735"/>
        <item h="1" m="1" x="5736"/>
        <item h="1" m="1" x="4182"/>
        <item h="1" m="1" x="5450"/>
        <item h="1" m="1" x="5451"/>
        <item h="1" m="1" x="5379"/>
        <item h="1" m="1" x="4608"/>
        <item h="1" m="1" x="5159"/>
        <item h="1" m="1" x="5160"/>
        <item h="1" m="1" x="5740"/>
        <item h="1" m="1" x="5743"/>
        <item h="1" m="1" x="5744"/>
        <item h="1" m="1" x="5667"/>
        <item h="1" m="1" x="5745"/>
        <item h="1" m="1" x="5746"/>
        <item h="1" m="1" x="5747"/>
        <item h="1" m="1" x="5748"/>
        <item h="1" m="1" x="3896"/>
        <item h="1" m="1" x="5566"/>
        <item h="1" m="1" x="5750"/>
        <item h="1" m="1" x="5463"/>
        <item h="1" m="1" x="5751"/>
        <item h="1" m="1" x="5752"/>
        <item h="1" m="1" x="1065"/>
        <item h="1" m="1" x="5588"/>
        <item h="1" m="1" x="5753"/>
        <item h="1" m="1" x="5594"/>
        <item h="1" m="1" x="4778"/>
        <item h="1" m="1" x="5754"/>
        <item h="1" m="1" x="5755"/>
        <item h="1" m="1" x="5583"/>
        <item h="1" m="1" x="5679"/>
        <item h="1" m="1" x="5604"/>
        <item h="1" m="1" x="5678"/>
        <item h="1" m="1" x="5677"/>
        <item h="1" m="1" x="5603"/>
        <item h="1" m="1" x="5605"/>
        <item h="1" m="1" x="5757"/>
        <item h="1" m="1" x="4604"/>
        <item h="1" m="1" x="5758"/>
        <item h="1" m="1" x="5759"/>
        <item h="1" m="1" x="5760"/>
        <item h="1" m="1" x="5761"/>
        <item h="1" m="1" x="5762"/>
        <item h="1" m="1" x="5418"/>
        <item h="1" m="1" x="5763"/>
        <item h="1" m="1" x="5764"/>
        <item h="1" m="1" x="5765"/>
        <item h="1" m="1" x="4413"/>
        <item h="1" m="1" x="4382"/>
        <item h="1" m="1" x="5769"/>
        <item h="1" m="1" x="5771"/>
        <item h="1" m="1" x="5772"/>
        <item h="1" m="1" x="5773"/>
        <item h="1" m="1" x="5775"/>
        <item h="1" m="1" x="5776"/>
        <item h="1" m="1" x="5688"/>
        <item h="1" m="1" x="5780"/>
        <item h="1" m="1" x="5782"/>
        <item h="1" m="1" x="5105"/>
        <item h="1" m="1" x="5791"/>
        <item h="1" m="1" x="5795"/>
        <item h="1" m="1" x="5431"/>
        <item h="1" m="1" x="5432"/>
        <item h="1" m="1" x="5796"/>
        <item h="1" m="1" x="5797"/>
        <item h="1" m="1" x="3882"/>
        <item h="1" m="1" x="4183"/>
        <item h="1" m="1" x="5714"/>
        <item h="1" m="1" x="5798"/>
        <item h="1" m="1" x="5545"/>
        <item h="1" m="1" x="5799"/>
        <item h="1" m="1" x="5800"/>
        <item h="1" m="1" x="5801"/>
        <item h="1" m="1" x="5802"/>
        <item h="1" m="1" x="5803"/>
        <item h="1" m="1" x="5804"/>
        <item h="1" m="1" x="2658"/>
        <item h="1" m="1" x="5805"/>
        <item h="1" m="1" x="4841"/>
        <item h="1" m="1" x="5807"/>
        <item h="1" m="1" x="5808"/>
        <item h="1" m="1" x="5809"/>
        <item h="1" m="1" x="5810"/>
        <item h="1" m="1" x="1682"/>
        <item h="1" m="1" x="5811"/>
        <item h="1" m="1" x="5812"/>
        <item h="1" m="1" x="5813"/>
        <item h="1" m="1" x="4523"/>
        <item h="1" m="1" x="5814"/>
        <item h="1" m="1" x="2128"/>
        <item h="1" m="1" x="5815"/>
        <item h="1" m="1" x="5699"/>
        <item h="1" m="1" x="5540"/>
        <item h="1" m="1" x="5542"/>
        <item h="1" m="1" x="5541"/>
        <item h="1" m="1" x="5444"/>
        <item h="1" m="1" x="5546"/>
        <item h="1" m="1" x="5052"/>
        <item h="1" m="1" x="5663"/>
        <item h="1" m="1" x="5664"/>
        <item h="1" m="1" x="2575"/>
        <item h="1" m="1" x="5550"/>
        <item h="1" m="1" x="5376"/>
        <item h="1" m="1" x="5378"/>
        <item h="1" m="1" x="5555"/>
        <item h="1" m="1" x="5452"/>
        <item h="1" m="1" x="5556"/>
        <item h="1" m="1" x="5558"/>
        <item h="1" m="1" x="5559"/>
        <item h="1" m="1" x="5158"/>
        <item h="1" m="1" x="5564"/>
        <item h="1" m="1" x="5565"/>
        <item h="1" m="1" x="5665"/>
        <item h="1" m="1" x="5666"/>
        <item h="1" m="1" x="5570"/>
        <item h="1" m="1" x="5571"/>
        <item h="1" m="1" x="5577"/>
        <item h="1" m="1" x="5578"/>
        <item h="1" m="1" x="5470"/>
        <item h="1" m="1" x="5581"/>
        <item h="1" m="1" x="5668"/>
        <item h="1" m="1" x="5592"/>
        <item h="1" m="1" x="5587"/>
        <item h="1" m="1" x="5590"/>
        <item h="1" m="1" x="5597"/>
        <item h="1" m="1" x="5602"/>
        <item h="1" m="1" x="5680"/>
        <item h="1" m="1" x="5608"/>
        <item h="1" m="1" x="5613"/>
        <item h="1" m="1" x="5618"/>
        <item h="1" m="1" x="5619"/>
        <item h="1" m="1" x="5620"/>
        <item h="1" m="1" x="5621"/>
        <item h="1" m="1" x="5622"/>
        <item h="1" m="1" x="5682"/>
        <item h="1" m="1" x="5683"/>
        <item h="1" m="1" x="5684"/>
        <item h="1" m="1" x="5685"/>
        <item h="1" m="1" x="5075"/>
        <item h="1" m="1" x="4385"/>
        <item h="1" m="1" x="4225"/>
        <item h="1" m="1" x="5486"/>
        <item h="1" m="1" x="4217"/>
        <item h="1" m="1" x="4226"/>
        <item h="1" m="1" x="4221"/>
        <item h="1" m="1" x="4222"/>
        <item h="1" m="1" x="4224"/>
        <item h="1" m="1" x="5687"/>
        <item h="1" m="1" x="4511"/>
        <item h="1" m="1" x="4512"/>
        <item h="1" m="1" x="5689"/>
        <item h="1" m="1" x="5690"/>
        <item h="1" m="1" x="5691"/>
        <item h="1" m="1" x="5692"/>
        <item h="1" m="1" x="4469"/>
        <item h="1" m="1" x="4470"/>
        <item h="1" m="1" x="5694"/>
        <item h="1" m="1" x="5490"/>
        <item h="1" m="1" x="5491"/>
        <item h="1" m="1" x="5696"/>
        <item h="1" m="1" x="4351"/>
        <item h="1" m="1" x="5702"/>
        <item h="1" m="1" x="5512"/>
        <item h="1" m="1" x="4227"/>
        <item h="1" m="1" x="4223"/>
        <item h="1" m="1" x="5652"/>
        <item h="1" m="1" x="5706"/>
        <item h="1" m="1" x="5709"/>
        <item h="1" m="1" x="5711"/>
        <item h="1" m="1" x="5712"/>
        <item h="1" m="1" x="5530"/>
        <item h="1" m="1" x="5440"/>
        <item h="1" m="1" x="5543"/>
        <item h="1" m="1" x="5371"/>
        <item h="1" x="402"/>
        <item h="1" m="1" x="5548"/>
        <item h="1" m="1" x="5549"/>
        <item h="1" m="1" x="5552"/>
        <item h="1" m="1" x="1620"/>
        <item h="1" m="1" x="5553"/>
        <item h="1" m="1" x="5554"/>
        <item h="1" m="1" x="5380"/>
        <item h="1" m="1" x="5454"/>
        <item h="1" m="1" x="5557"/>
        <item h="1" m="1" x="5384"/>
        <item h="1" m="1" x="2813"/>
        <item h="1" m="1" x="5154"/>
        <item h="1" m="1" x="5155"/>
        <item h="1" m="1" x="5561"/>
        <item h="1" m="1" x="5563"/>
        <item h="1" m="1" x="5567"/>
        <item h="1" m="1" x="5390"/>
        <item h="1" m="1" x="5568"/>
        <item h="1" m="1" x="5572"/>
        <item h="1" m="1" x="1997"/>
        <item h="1" m="1" x="5573"/>
        <item h="1" m="1" x="5574"/>
        <item h="1" m="1" x="5466"/>
        <item h="1" m="1" x="5467"/>
        <item h="1" m="1" x="5468"/>
        <item h="1" m="1" x="5575"/>
        <item h="1" m="1" x="5319"/>
        <item h="1" m="1" x="5576"/>
        <item h="1" m="1" x="561"/>
        <item h="1" m="1" x="5579"/>
        <item h="1" m="1" x="2638"/>
        <item h="1" m="1" x="5585"/>
        <item h="1" m="1" x="5589"/>
        <item h="1" m="1" x="5591"/>
        <item h="1" m="1" x="5177"/>
        <item h="1" m="1" x="5595"/>
        <item h="1" m="1" x="5596"/>
        <item h="1" m="1" x="5598"/>
        <item h="1" m="1" x="5599"/>
        <item h="1" m="1" x="872"/>
        <item h="1" m="1" x="5607"/>
        <item h="1" m="1" x="5611"/>
        <item h="1" m="1" x="5612"/>
        <item h="1" m="1" x="5614"/>
        <item h="1" m="1" x="5615"/>
        <item h="1" m="1" x="5617"/>
        <item h="1" m="1" x="5623"/>
        <item h="1" m="1" x="5477"/>
        <item h="1" m="1" x="5404"/>
        <item h="1" m="1" x="5479"/>
        <item h="1" m="1" x="5624"/>
        <item h="1" m="1" x="5625"/>
        <item h="1" m="1" x="5626"/>
        <item h="1" m="1" x="4402"/>
        <item h="1" m="1" x="5627"/>
        <item h="1" m="1" x="5353"/>
        <item h="1" m="1" x="5628"/>
        <item h="1" m="1" x="5080"/>
        <item h="1" m="1" x="4220"/>
        <item h="1" m="1" x="5630"/>
        <item h="1" m="1" x="5631"/>
        <item h="1" m="1" x="4307"/>
        <item h="1" m="1" x="4256"/>
        <item h="1" m="1" x="4253"/>
        <item h="1" m="1" x="5633"/>
        <item h="1" m="1" x="5634"/>
        <item h="1" m="1" x="5635"/>
        <item h="1" m="1" x="5636"/>
        <item h="1" m="1" x="5637"/>
        <item h="1" m="1" x="5638"/>
        <item h="1" m="1" x="5639"/>
        <item h="1" m="1" x="5641"/>
        <item h="1" m="1" x="4543"/>
        <item h="1" m="1" x="5642"/>
        <item h="1" m="1" x="5643"/>
        <item h="1" m="1" x="5644"/>
        <item h="1" m="1" x="5497"/>
        <item h="1" m="1" x="5647"/>
        <item h="1" m="1" x="5648"/>
        <item h="1" m="1" x="5649"/>
        <item h="1" m="1" x="5650"/>
        <item h="1" m="1" x="5651"/>
        <item h="1" m="1" x="5653"/>
        <item h="1" m="1" x="5267"/>
        <item h="1" m="1" x="5654"/>
        <item h="1" m="1" x="5655"/>
        <item h="1" m="1" x="5657"/>
        <item h="1" m="1" x="5658"/>
        <item h="1" m="1" x="5289"/>
        <item h="1" m="1" x="5291"/>
        <item h="1" m="1" x="3636"/>
        <item h="1" m="1" x="5538"/>
        <item h="1" m="1" x="4984"/>
        <item h="1" m="1" x="5443"/>
        <item h="1" m="1" x="440"/>
        <item h="1" m="1" x="5445"/>
        <item h="1" m="1" x="5297"/>
        <item h="1" m="1" x="5446"/>
        <item h="1" m="1" x="5372"/>
        <item h="1" m="1" x="5140"/>
        <item h="1" m="1" x="5298"/>
        <item h="1" m="1" x="5447"/>
        <item h="1" m="1" x="494"/>
        <item h="1" m="1" x="5375"/>
        <item h="1" m="1" x="5146"/>
        <item h="1" m="1" x="5306"/>
        <item h="1" m="1" x="5453"/>
        <item h="1" m="1" x="5455"/>
        <item h="1" m="1" x="4700"/>
        <item h="1" m="1" x="5381"/>
        <item h="1" m="1" x="5457"/>
        <item h="1" m="1" x="5382"/>
        <item h="1" m="1" x="5458"/>
        <item h="1" m="1" x="5459"/>
        <item h="1" m="1" x="5391"/>
        <item h="1" m="1" x="5392"/>
        <item h="1" m="1" x="5460"/>
        <item h="1" m="1" x="5461"/>
        <item h="1" m="1" x="5385"/>
        <item h="1" m="1" x="5386"/>
        <item h="1" m="1" x="5165"/>
        <item h="1" m="1" x="5314"/>
        <item h="1" m="1" x="5313"/>
        <item h="1" m="1" x="5016"/>
        <item h="1" m="1" x="4809"/>
        <item h="1" m="1" x="4808"/>
        <item h="1" m="1" x="5020"/>
        <item h="1" m="1" x="5019"/>
        <item h="1" m="1" x="5393"/>
        <item h="1" m="1" x="5182"/>
        <item h="1" m="1" x="5040"/>
        <item h="1" m="1" x="5041"/>
        <item h="1" m="1" x="5043"/>
        <item h="1" m="1" x="5042"/>
        <item h="1" m="1" x="5472"/>
        <item h="1" m="1" x="5185"/>
        <item h="1" m="1" x="5473"/>
        <item h="1" m="1" x="5475"/>
        <item h="1" m="1" x="5399"/>
        <item h="1" m="1" x="5401"/>
        <item h="1" m="1" x="5402"/>
        <item h="1" m="1" x="5069"/>
        <item h="1" m="1" x="5333"/>
        <item h="1" m="1" x="5070"/>
        <item h="1" m="1" x="4589"/>
        <item h="1" m="1" x="5207"/>
        <item h="1" m="1" x="5480"/>
        <item h="1" m="1" x="5481"/>
        <item h="1" m="1" x="5482"/>
        <item h="1" m="1" x="4439"/>
        <item h="1" m="1" x="5484"/>
        <item h="1" m="1" x="5487"/>
        <item h="1" m="1" x="5101"/>
        <item h="1" m="1" x="5489"/>
        <item h="1" m="1" x="5221"/>
        <item h="1" m="1" x="5492"/>
        <item h="1" m="1" x="5493"/>
        <item h="1" m="1" x="5494"/>
        <item h="1" m="1" x="5499"/>
        <item h="1" m="1" x="5502"/>
        <item h="1" m="1" x="5257"/>
        <item h="1" m="1" x="5509"/>
        <item h="1" m="1" x="5511"/>
        <item h="1" m="1" x="5259"/>
        <item h="1" m="1" x="5433"/>
        <item h="1" m="1" x="5513"/>
        <item h="1" m="1" x="5286"/>
        <item h="1" m="1" x="5516"/>
        <item h="1" m="1" x="5525"/>
        <item h="1" m="1" x="4773"/>
        <item h="1" m="1" x="4774"/>
        <item h="1" m="1" x="4986"/>
        <item h="1" m="1" x="5294"/>
        <item h="1" m="1" x="437"/>
        <item h="1" m="1" x="5365"/>
        <item h="1" m="1" x="5366"/>
        <item h="1" m="1" x="5367"/>
        <item h="1" m="1" x="4993"/>
        <item h="1" m="1" x="5373"/>
        <item h="1" m="1" x="5142"/>
        <item h="1" m="1" x="5141"/>
        <item h="1" m="1" x="5300"/>
        <item h="1" m="1" x="5301"/>
        <item h="1" m="1" x="5303"/>
        <item h="1" m="1" x="5307"/>
        <item h="1" m="1" x="5150"/>
        <item h="1" m="1" x="5151"/>
        <item h="1" m="1" x="2323"/>
        <item h="1" m="1" x="2156"/>
        <item h="1" m="1" x="5156"/>
        <item h="1" m="1" x="5157"/>
        <item h="1" m="1" x="4921"/>
        <item h="1" m="1" x="5383"/>
        <item h="1" x="277"/>
        <item h="1" m="1" x="5311"/>
        <item h="1" m="1" x="5387"/>
        <item h="1" m="1" x="5389"/>
        <item h="1" m="1" x="5321"/>
        <item h="1" m="1" x="1873"/>
        <item h="1" m="1" x="5169"/>
        <item h="1" m="1" x="5173"/>
        <item h="1" m="1" x="4707"/>
        <item h="1" m="1" x="5326"/>
        <item h="1" m="1" x="5180"/>
        <item h="1" m="1" x="5048"/>
        <item h="1" m="1" x="5184"/>
        <item h="1" m="1" x="5051"/>
        <item h="1" m="1" x="5397"/>
        <item h="1" m="1" x="5398"/>
        <item h="1" m="1" x="3039"/>
        <item h="1" m="1" x="5332"/>
        <item h="1" m="1" x="5400"/>
        <item h="1" m="1" x="5403"/>
        <item h="1" m="1" x="5405"/>
        <item h="1" m="1" x="5406"/>
        <item h="1" m="1" x="5407"/>
        <item h="1" m="1" x="5076"/>
        <item h="1" m="1" x="5408"/>
        <item h="1" m="1" x="4431"/>
        <item h="1" m="1" x="3968"/>
        <item h="1" m="1" x="5409"/>
        <item h="1" m="1" x="5341"/>
        <item h="1" m="1" x="5410"/>
        <item h="1" m="1" x="5411"/>
        <item h="1" m="1" x="4721"/>
        <item h="1" m="1" x="5412"/>
        <item h="1" m="1" x="5413"/>
        <item h="1" m="1" x="5414"/>
        <item h="1" m="1" x="5415"/>
        <item h="1" m="1" x="5416"/>
        <item h="1" m="1" x="5417"/>
        <item h="1" m="1" x="5421"/>
        <item h="1" m="1" x="5422"/>
        <item h="1" m="1" x="4228"/>
        <item h="1" m="1" x="5423"/>
        <item h="1" m="1" x="5424"/>
        <item h="1" m="1" x="5425"/>
        <item h="1" m="1" x="5426"/>
        <item h="1" m="1" x="4540"/>
        <item h="1" m="1" x="5428"/>
        <item h="1" m="1" x="5429"/>
        <item h="1" m="1" x="5434"/>
        <item h="1" m="1" x="5435"/>
        <item h="1" m="1" x="5436"/>
        <item h="1" m="1" x="5437"/>
        <item h="1" m="1" x="4913"/>
        <item h="1" m="1" x="5361"/>
        <item h="1" m="1" x="5441"/>
        <item h="1" m="1" x="3500"/>
        <item h="1" m="1" x="5442"/>
        <item h="1" m="1" x="5296"/>
        <item h="1" m="1" x="5143"/>
        <item h="1" m="1" x="5302"/>
        <item h="1" m="1" x="4999"/>
        <item h="1" m="1" x="5304"/>
        <item h="1" m="1" x="5305"/>
        <item h="1" m="1" x="5009"/>
        <item h="1" m="1" x="4922"/>
        <item h="1" m="1" x="5308"/>
        <item h="1" m="1" x="5121"/>
        <item h="1" m="1" x="5006"/>
        <item h="1" m="1" x="5007"/>
        <item h="1" m="1" x="5309"/>
        <item h="1" m="1" x="5164"/>
        <item h="1" m="1" x="5310"/>
        <item h="1" m="1" x="5312"/>
        <item h="1" m="1" x="5315"/>
        <item h="1" m="1" x="5317"/>
        <item h="1" m="1" x="3983"/>
        <item h="1" x="70"/>
        <item h="1" m="1" x="5021"/>
        <item h="1" m="1" x="5022"/>
        <item h="1" m="1" x="5028"/>
        <item h="1" m="1" x="5029"/>
        <item h="1" m="1" x="4817"/>
        <item h="1" m="1" x="5324"/>
        <item h="1" m="1" x="5176"/>
        <item h="1" m="1" x="5325"/>
        <item h="1" m="1" x="5181"/>
        <item h="1" m="1" x="4825"/>
        <item h="1" m="1" x="5179"/>
        <item h="1" m="1" x="5039"/>
        <item h="1" m="1" x="5327"/>
        <item h="1" m="1" x="5188"/>
        <item h="1" m="1" x="5328"/>
        <item h="1" m="1" x="4823"/>
        <item h="1" m="1" x="5189"/>
        <item h="1" m="1" x="5330"/>
        <item h="1" m="1" x="5331"/>
        <item h="1" m="1" x="5071"/>
        <item h="1" m="1" x="5204"/>
        <item h="1" m="1" x="5335"/>
        <item h="1" m="1" x="4711"/>
        <item h="1" m="1" x="5336"/>
        <item h="1" m="1" x="5338"/>
        <item h="1" m="1" x="4430"/>
        <item h="1" m="1" x="5342"/>
        <item h="1" m="1" x="4728"/>
        <item h="1" m="1" x="4729"/>
        <item h="1" m="1" x="5343"/>
        <item h="1" m="1" x="5344"/>
        <item h="1" m="1" x="5345"/>
        <item h="1" m="1" x="5346"/>
        <item h="1" m="1" x="5348"/>
        <item h="1" m="1" x="5349"/>
        <item h="1" m="1" x="5212"/>
        <item h="1" m="1" x="5213"/>
        <item h="1" m="1" x="5350"/>
        <item h="1" m="1" x="5099"/>
        <item h="1" m="1" x="5351"/>
        <item h="1" m="1" x="5352"/>
        <item h="1" m="1" x="4462"/>
        <item h="1" m="1" x="4463"/>
        <item h="1" m="1" x="4229"/>
        <item h="1" m="1" x="4757"/>
        <item h="1" m="1" x="5266"/>
        <item h="1" m="1" x="5356"/>
        <item h="1" m="1" x="5357"/>
        <item h="1" m="1" x="5282"/>
        <item h="1" m="1" x="5283"/>
        <item h="1" m="1" x="5124"/>
        <item h="1" m="1" x="5287"/>
        <item h="1" m="1" x="5362"/>
        <item h="1" m="1" x="5363"/>
        <item h="1" m="1" x="5133"/>
        <item h="1" m="1" x="4985"/>
        <item h="1" m="1" x="4988"/>
        <item h="1" m="1" x="4990"/>
        <item h="1" m="1" x="4438"/>
        <item h="1" m="1" x="4688"/>
        <item h="1" m="1" x="4991"/>
        <item h="1" m="1" x="5136"/>
        <item h="1" m="1" x="5138"/>
        <item h="1" m="1" x="4771"/>
        <item h="1" m="1" x="5144"/>
        <item h="1" m="1" x="5145"/>
        <item h="1" m="1" x="5149"/>
        <item h="1" m="1" x="5152"/>
        <item h="1" m="1" x="5005"/>
        <item h="1" m="1" x="4798"/>
        <item h="1" m="1" x="5014"/>
        <item h="1" m="1" x="2173"/>
        <item h="1" m="1" x="2174"/>
        <item h="1" m="1" x="1871"/>
        <item h="1" m="1" x="2175"/>
        <item h="1" m="1" x="5013"/>
        <item h="1" m="1" x="5167"/>
        <item h="1" m="1" x="5170"/>
        <item h="1" m="1" x="5172"/>
        <item h="1" m="1" x="5032"/>
        <item h="1" m="1" x="5033"/>
        <item h="1" m="1" x="5175"/>
        <item h="1" m="1" x="4836"/>
        <item h="1" m="1" x="5190"/>
        <item h="1" m="1" x="5191"/>
        <item h="1" m="1" x="5053"/>
        <item h="1" m="1" x="4932"/>
        <item h="1" m="1" x="5063"/>
        <item h="1" m="1" x="5059"/>
        <item h="1" m="1" x="5062"/>
        <item h="1" m="1" x="5061"/>
        <item h="1" m="1" x="5060"/>
        <item h="1" m="1" x="3918"/>
        <item h="1" m="1" x="5192"/>
        <item h="1" m="1" x="5193"/>
        <item h="1" m="1" x="5195"/>
        <item h="1" m="1" x="5196"/>
        <item h="1" m="1" x="5197"/>
        <item h="1" m="1" x="5198"/>
        <item h="1" m="1" x="5199"/>
        <item h="1" m="1" x="5200"/>
        <item h="1" m="1" x="5201"/>
        <item h="1" m="1" x="5202"/>
        <item h="1" m="1" x="5203"/>
        <item h="1" m="1" x="4710"/>
        <item h="1" m="1" x="5208"/>
        <item h="1" m="1" x="5209"/>
        <item h="1" m="1" x="5210"/>
        <item h="1" m="1" x="5211"/>
        <item h="1" m="1" x="4387"/>
        <item h="1" m="1" x="4950"/>
        <item h="1" m="1" x="4949"/>
        <item h="1" m="1" x="5082"/>
        <item h="1" m="1" x="4219"/>
        <item h="1" m="1" x="4955"/>
        <item h="1" m="1" x="4389"/>
        <item h="1" m="1" x="5083"/>
        <item h="1" m="1" x="4722"/>
        <item h="1" m="1" x="5214"/>
        <item h="1" m="1" x="5215"/>
        <item h="1" m="1" x="5216"/>
        <item h="1" m="1" x="5217"/>
        <item h="1" m="1" x="5218"/>
        <item h="1" m="1" x="5220"/>
        <item h="1" m="1" x="5104"/>
        <item h="1" m="1" x="5222"/>
        <item h="1" m="1" x="5223"/>
        <item h="1" m="1" x="5224"/>
        <item h="1" m="1" x="5225"/>
        <item h="1" m="1" x="5226"/>
        <item h="1" m="1" x="5227"/>
        <item h="1" m="1" x="5228"/>
        <item h="1" m="1" x="5229"/>
        <item h="1" m="1" x="5230"/>
        <item h="1" m="1" x="5231"/>
        <item h="1" m="1" x="5232"/>
        <item h="1" m="1" x="5233"/>
        <item h="1" m="1" x="5234"/>
        <item h="1" m="1" x="5235"/>
        <item h="1" m="1" x="5236"/>
        <item h="1" m="1" x="5237"/>
        <item h="1" m="1" x="5238"/>
        <item h="1" m="1" x="5239"/>
        <item h="1" m="1" x="5240"/>
        <item h="1" m="1" x="5241"/>
        <item h="1" m="1" x="5242"/>
        <item h="1" m="1" x="5243"/>
        <item h="1" m="1" x="5244"/>
        <item h="1" m="1" x="5245"/>
        <item h="1" m="1" x="5246"/>
        <item h="1" m="1" x="5247"/>
        <item h="1" m="1" x="5248"/>
        <item h="1" m="1" x="5249"/>
        <item h="1" m="1" x="2728"/>
        <item h="1" m="1" x="5250"/>
        <item h="1" m="1" x="5251"/>
        <item h="1" m="1" x="5252"/>
        <item h="1" m="1" x="5253"/>
        <item h="1" m="1" x="5254"/>
        <item h="1" m="1" x="4588"/>
        <item h="1" m="1" x="4409"/>
        <item h="1" m="1" x="4386"/>
        <item h="1" m="1" x="5258"/>
        <item h="1" m="1" x="5260"/>
        <item h="1" m="1" x="5262"/>
        <item h="1" m="1" x="5263"/>
        <item h="1" m="1" x="5264"/>
        <item h="1" m="1" x="5265"/>
        <item h="1" m="1" x="2929"/>
        <item h="1" m="1" x="4218"/>
        <item h="1" m="1" x="5268"/>
        <item h="1" m="1" x="5269"/>
        <item h="1" m="1" x="5270"/>
        <item h="1" m="1" x="5271"/>
        <item h="1" m="1" x="5272"/>
        <item h="1" m="1" x="5273"/>
        <item h="1" m="1" x="5274"/>
        <item h="1" m="1" x="5275"/>
        <item h="1" m="1" x="5276"/>
        <item h="1" m="1" x="5277"/>
        <item h="1" m="1" x="5278"/>
        <item h="1" m="1" x="5279"/>
        <item h="1" m="1" x="5280"/>
        <item h="1" m="1" x="5281"/>
        <item h="1" m="1" x="4458"/>
        <item h="1" m="1" x="5284"/>
        <item h="1" m="1" x="5285"/>
        <item h="1" m="1" x="4457"/>
        <item h="1" m="1" x="5288"/>
        <item h="1" m="1" x="1346"/>
        <item h="1" m="1" x="4316"/>
        <item h="1" m="1" x="4992"/>
        <item h="1" m="1" x="4994"/>
        <item h="1" m="1" x="4995"/>
        <item h="1" x="167"/>
        <item h="1" m="1" x="4996"/>
        <item h="1" m="1" x="4997"/>
        <item h="1" m="1" x="4998"/>
        <item h="1" m="1" x="5001"/>
        <item h="1" m="1" x="4919"/>
        <item h="1" m="1" x="5008"/>
        <item h="1" m="1" x="4794"/>
        <item h="1" m="1" x="5011"/>
        <item h="1" m="1" x="5012"/>
        <item h="1" m="1" x="1279"/>
        <item h="1" m="1" x="5015"/>
        <item h="1" m="1" x="4812"/>
        <item h="1" m="1" x="5023"/>
        <item h="1" m="1" x="5024"/>
        <item h="1" m="1" x="5025"/>
        <item h="1" m="1" x="5026"/>
        <item h="1" m="1" x="5027"/>
        <item h="1" m="1" x="5030"/>
        <item h="1" m="1" x="5031"/>
        <item h="1" m="1" x="5034"/>
        <item h="1" m="1" x="5035"/>
        <item h="1" m="1" x="5036"/>
        <item h="1" m="1" x="5037"/>
        <item h="1" m="1" x="5044"/>
        <item h="1" m="1" x="5046"/>
        <item h="1" m="1" x="5047"/>
        <item h="1" m="1" x="5049"/>
        <item h="1" m="1" x="4591"/>
        <item h="1" m="1" x="5054"/>
        <item h="1" m="1" x="5055"/>
        <item h="1" m="1" x="5056"/>
        <item h="1" m="1" x="5057"/>
        <item h="1" m="1" x="5058"/>
        <item h="1" m="1" x="4845"/>
        <item h="1" m="1" x="5064"/>
        <item h="1" m="1" x="5065"/>
        <item h="1" m="1" x="5066"/>
        <item h="1" m="1" x="4931"/>
        <item h="1" m="1" x="5067"/>
        <item h="1" m="1" x="5068"/>
        <item h="1" m="1" x="4487"/>
        <item h="1" m="1" x="4933"/>
        <item h="1" m="1" x="4250"/>
        <item h="1" m="1" x="4246"/>
        <item h="1" m="1" x="5072"/>
        <item h="1" m="1" x="5073"/>
        <item h="1" m="1" x="5074"/>
        <item h="1" m="1" x="4862"/>
        <item h="1" m="1" x="4861"/>
        <item h="1" m="1" x="4524"/>
        <item h="1" m="1" x="4432"/>
        <item h="1" m="1" x="5077"/>
        <item h="1" m="1" x="5078"/>
        <item h="1" m="1" x="5079"/>
        <item h="1" m="1" x="5081"/>
        <item h="1" m="1" x="4451"/>
        <item h="1" m="1" x="4252"/>
        <item h="1" m="1" x="5084"/>
        <item h="1" m="1" x="5085"/>
        <item h="1" m="1" x="4888"/>
        <item h="1" m="1" x="5086"/>
        <item h="1" m="1" x="5087"/>
        <item h="1" m="1" x="5088"/>
        <item h="1" m="1" x="5089"/>
        <item h="1" m="1" x="5090"/>
        <item h="1" m="1" x="5091"/>
        <item h="1" m="1" x="5092"/>
        <item h="1" m="1" x="5094"/>
        <item h="1" m="1" x="4041"/>
        <item h="1" m="1" x="4727"/>
        <item h="1" m="1" x="5095"/>
        <item h="1" m="1" x="5096"/>
        <item h="1" m="1" x="4959"/>
        <item h="1" m="1" x="4960"/>
        <item h="1" m="1" x="4526"/>
        <item h="1" m="1" x="5098"/>
        <item h="1" m="1" x="5100"/>
        <item h="1" m="1" x="4373"/>
        <item h="1" m="1" x="5102"/>
        <item h="1" m="1" x="5103"/>
        <item h="1" m="1" x="4606"/>
        <item h="1" m="1" x="4598"/>
        <item h="1" m="1" x="4464"/>
        <item h="1" m="1" x="5108"/>
        <item h="1" m="1" x="4582"/>
        <item h="1" m="1" x="5109"/>
        <item h="1" m="1" x="5110"/>
        <item h="1" m="1" x="5113"/>
        <item h="1" m="1" x="5114"/>
        <item h="1" m="1" x="5115"/>
        <item h="1" m="1" x="5116"/>
        <item h="1" m="1" x="5117"/>
        <item h="1" m="1" x="5118"/>
        <item h="1" m="1" x="4581"/>
        <item h="1" m="1" x="5122"/>
        <item h="1" m="1" x="5125"/>
        <item h="1" m="1" x="4259"/>
        <item h="1" m="1" x="5134"/>
        <item h="1" m="1" x="4779"/>
        <item h="1" m="1" x="4782"/>
        <item h="1" m="1" x="4915"/>
        <item h="1" m="1" x="4784"/>
        <item h="1" m="1" x="4916"/>
        <item h="1" m="1" x="4917"/>
        <item h="1" m="1" x="4918"/>
        <item h="1" m="1" x="1622"/>
        <item h="1" m="1" x="4789"/>
        <item h="1" m="1" x="4790"/>
        <item h="1" m="1" x="4920"/>
        <item h="1" m="1" x="4791"/>
        <item h="1" m="1" x="4701"/>
        <item h="1" m="1" x="871"/>
        <item h="1" x="43"/>
        <item h="1" m="1" x="4923"/>
        <item h="1" m="1" x="4924"/>
        <item h="1" m="1" x="4925"/>
        <item h="1" m="1" x="4926"/>
        <item h="1" m="1" x="4801"/>
        <item h="1" m="1" x="4802"/>
        <item h="1" m="1" x="4806"/>
        <item h="1" m="1" x="4807"/>
        <item h="1" m="1" x="4805"/>
        <item h="1" m="1" x="1024"/>
        <item h="1" m="1" x="4810"/>
        <item h="1" m="1" x="4811"/>
        <item h="1" m="1" x="4813"/>
        <item h="1" m="1" x="4826"/>
        <item h="1" m="1" x="4827"/>
        <item h="1" m="1" x="4828"/>
        <item h="1" m="1" x="4829"/>
        <item h="1" m="1" x="4929"/>
        <item h="1" m="1" x="4593"/>
        <item h="1" m="1" x="3927"/>
        <item h="1" m="1" x="4930"/>
        <item h="1" m="1" x="4844"/>
        <item h="1" m="1" x="4840"/>
        <item h="1" m="1" x="4847"/>
        <item h="1" m="1" x="4848"/>
        <item h="1" m="1" x="4849"/>
        <item h="1" m="1" x="4850"/>
        <item h="1" m="1" x="4854"/>
        <item h="1" m="1" x="4837"/>
        <item h="1" m="1" x="4838"/>
        <item h="1" m="1" x="4934"/>
        <item h="1" m="1" x="4935"/>
        <item h="1" m="1" x="4936"/>
        <item h="1" m="1" x="4937"/>
        <item h="1" m="1" x="4938"/>
        <item h="1" m="1" x="4939"/>
        <item h="1" m="1" x="4940"/>
        <item h="1" m="1" x="4942"/>
        <item h="1" m="1" x="4262"/>
        <item h="1" m="1" x="4452"/>
        <item h="1" m="1" x="4943"/>
        <item h="1" m="1" x="4944"/>
        <item h="1" m="1" x="4945"/>
        <item h="1" m="1" x="4946"/>
        <item h="1" m="1" x="4947"/>
        <item h="1" m="1" x="4265"/>
        <item h="1" m="1" x="4525"/>
        <item h="1" m="1" x="4951"/>
        <item h="1" m="1" x="4952"/>
        <item h="1" m="1" x="4953"/>
        <item h="1" m="1" x="4954"/>
        <item h="1" m="1" x="4956"/>
        <item h="1" m="1" x="4957"/>
        <item h="1" m="1" x="4958"/>
        <item h="1" m="1" x="4961"/>
        <item h="1" m="1" x="4962"/>
        <item h="1" m="1" x="4963"/>
        <item h="1" m="1" x="4964"/>
        <item h="1" m="1" x="4518"/>
        <item h="1" m="1" x="4965"/>
        <item h="1" m="1" x="4966"/>
        <item h="1" m="1" x="4967"/>
        <item h="1" m="1" x="4968"/>
        <item h="1" m="1" x="4272"/>
        <item h="1" m="1" x="4266"/>
        <item h="1" m="1" x="4270"/>
        <item h="1" m="1" x="4268"/>
        <item h="1" m="1" x="4557"/>
        <item h="1" m="1" x="4550"/>
        <item h="1" m="1" x="4340"/>
        <item h="1" m="1" x="4341"/>
        <item h="1" m="1" x="4371"/>
        <item h="1" m="1" x="4969"/>
        <item h="1" m="1" x="2609"/>
        <item h="1" m="1" x="4352"/>
        <item h="1" m="1" x="4342"/>
        <item h="1" m="1" x="4971"/>
        <item h="1" m="1" x="4972"/>
        <item h="1" m="1" x="4465"/>
        <item h="1" m="1" x="4414"/>
        <item h="1" m="1" x="4415"/>
        <item h="1" m="1" x="4416"/>
        <item h="1" m="1" x="4903"/>
        <item h="1" m="1" x="3473"/>
        <item h="1" m="1" x="4974"/>
        <item h="1" m="1" x="4975"/>
        <item h="1" m="1" x="4976"/>
        <item h="1" m="1" x="4977"/>
        <item h="1" m="1" x="4978"/>
        <item h="1" m="1" x="4979"/>
        <item h="1" m="1" x="4980"/>
        <item h="1" m="1" x="4403"/>
        <item h="1" m="1" x="4981"/>
        <item h="1" m="1" x="4453"/>
        <item h="1" m="1" x="4982"/>
        <item h="1" m="1" x="4983"/>
        <item h="1" m="1" x="4780"/>
        <item h="1" m="1" x="1467"/>
        <item h="1" m="1" x="4192"/>
        <item h="1" m="1" x="4785"/>
        <item h="1" m="1" x="4786"/>
        <item h="1" m="1" x="4147"/>
        <item h="1" m="1" x="4692"/>
        <item h="1" m="1" x="4693"/>
        <item h="1" m="1" x="4522"/>
        <item h="1" m="1" x="4697"/>
        <item h="1" m="1" x="4702"/>
        <item h="1" m="1" x="4792"/>
        <item h="1" m="1" x="4503"/>
        <item h="1" m="1" x="4795"/>
        <item h="1" m="1" x="4796"/>
        <item h="1" m="1" x="4797"/>
        <item h="1" m="1" x="4799"/>
        <item h="1" m="1" x="4800"/>
        <item h="1" m="1" x="3904"/>
        <item h="1" m="1" x="4679"/>
        <item h="1" m="1" x="4207"/>
        <item h="1" m="1" x="4541"/>
        <item h="1" m="1" x="4814"/>
        <item h="1" m="1" x="4815"/>
        <item h="1" m="1" x="4816"/>
        <item h="1" m="1" x="1011"/>
        <item h="1" m="1" x="4818"/>
        <item h="1" m="1" x="4820"/>
        <item h="1" m="1" x="4821"/>
        <item h="1" m="1" x="4822"/>
        <item h="1" m="1" x="4830"/>
        <item h="1" m="1" x="4831"/>
        <item h="1" m="1" x="4832"/>
        <item h="1" m="1" x="4833"/>
        <item h="1" m="1" x="4834"/>
        <item h="1" m="1" x="4835"/>
        <item h="1" m="1" x="1547"/>
        <item h="1" x="206"/>
        <item h="1" m="1" x="4600"/>
        <item h="1" m="1" x="4839"/>
        <item h="1" m="1" x="4842"/>
        <item h="1" m="1" x="4843"/>
        <item h="1" m="1" x="4846"/>
        <item h="1" m="1" x="4851"/>
        <item h="1" m="1" x="4852"/>
        <item h="1" m="1" x="4853"/>
        <item h="1" m="1" x="4562"/>
        <item h="1" m="1" x="4856"/>
        <item h="1" m="1" x="4857"/>
        <item h="1" m="1" x="4858"/>
        <item h="1" m="1" x="4859"/>
        <item h="1" m="1" x="4860"/>
        <item h="1" m="1" x="4216"/>
        <item h="1" m="1" x="4260"/>
        <item h="1" m="1" x="4863"/>
        <item h="1" m="1" x="4864"/>
        <item h="1" m="1" x="4865"/>
        <item h="1" m="1" x="4866"/>
        <item h="1" m="1" x="4867"/>
        <item h="1" m="1" x="4868"/>
        <item h="1" m="1" x="4869"/>
        <item h="1" m="1" x="4871"/>
        <item h="1" m="1" x="4872"/>
        <item h="1" m="1" x="4873"/>
        <item h="1" m="1" x="4874"/>
        <item h="1" m="1" x="4875"/>
        <item h="1" m="1" x="4876"/>
        <item h="1" m="1" x="4877"/>
        <item h="1" m="1" x="4878"/>
        <item h="1" m="1" x="4879"/>
        <item h="1" m="1" x="4372"/>
        <item h="1" m="1" x="4880"/>
        <item h="1" m="1" x="1414"/>
        <item h="1" m="1" x="4506"/>
        <item h="1" m="1" x="4508"/>
        <item h="1" m="1" x="4682"/>
        <item h="1" m="1" x="4882"/>
        <item h="1" m="1" x="4269"/>
        <item h="1" m="1" x="4883"/>
        <item h="1" m="1" x="4884"/>
        <item h="1" m="1" x="4681"/>
        <item h="1" m="1" x="4885"/>
        <item h="1" m="1" x="4236"/>
        <item h="1" m="1" x="4886"/>
        <item h="1" m="1" x="4887"/>
        <item h="1" m="1" x="4889"/>
        <item h="1" m="1" x="4890"/>
        <item h="1" m="1" x="4891"/>
        <item h="1" m="1" x="4892"/>
        <item h="1" m="1" x="4893"/>
        <item h="1" m="1" x="4894"/>
        <item h="1" m="1" x="4398"/>
        <item h="1" m="1" x="4895"/>
        <item h="1" m="1" x="4896"/>
        <item h="1" m="1" x="4897"/>
        <item h="1" m="1" x="4898"/>
        <item h="1" m="1" x="4899"/>
        <item h="1" m="1" x="4900"/>
        <item h="1" m="1" x="4901"/>
        <item h="1" m="1" x="4902"/>
        <item h="1" m="1" x="4745"/>
        <item h="1" m="1" x="4746"/>
        <item h="1" m="1" x="4747"/>
        <item h="1" m="1" x="4379"/>
        <item h="1" m="1" x="4904"/>
        <item h="1" m="1" x="4905"/>
        <item h="1" m="1" x="4906"/>
        <item h="1" m="1" x="4907"/>
        <item h="1" m="1" x="3784"/>
        <item h="1" m="1" x="4766"/>
        <item h="1" m="1" x="4712"/>
        <item h="1" m="1" x="4908"/>
        <item h="1" m="1" x="4215"/>
        <item h="1" m="1" x="4243"/>
        <item h="1" m="1" x="4909"/>
        <item h="1" m="1" x="4912"/>
        <item h="1" m="1" x="4667"/>
        <item h="1" m="1" x="4671"/>
        <item h="1" m="1" x="4672"/>
        <item h="1" m="1" x="4689"/>
        <item h="1" m="1" x="4690"/>
        <item h="1" m="1" x="4691"/>
        <item h="1" m="1" x="1906"/>
        <item h="1" m="1" x="782"/>
        <item h="1" m="1" x="781"/>
        <item h="1" m="1" x="4185"/>
        <item h="1" m="1" x="4695"/>
        <item h="1" m="1" x="4696"/>
        <item h="1" m="1" x="4329"/>
        <item h="1" m="1" x="4658"/>
        <item h="1" m="1" x="4698"/>
        <item h="1" m="1" x="4699"/>
        <item h="1" m="1" x="4703"/>
        <item h="1" m="1" x="3668"/>
        <item h="1" m="1" x="4477"/>
        <item h="1" m="1" x="4677"/>
        <item h="1" m="1" x="3158"/>
        <item h="1" m="1" x="3910"/>
        <item h="1" m="1" x="4705"/>
        <item h="1" m="1" x="4555"/>
        <item h="1" m="1" x="4556"/>
        <item h="1" m="1" x="4706"/>
        <item h="1" m="1" x="3594"/>
        <item h="1" m="1" x="4709"/>
        <item h="1" m="1" x="4563"/>
        <item h="1" m="1" x="4564"/>
        <item h="1" m="1" x="4565"/>
        <item h="1" m="1" x="3793"/>
        <item h="1" m="1" x="4713"/>
        <item h="1" m="1" x="4715"/>
        <item h="1" m="1" x="4716"/>
        <item h="1" m="1" x="4717"/>
        <item h="1" m="1" x="4393"/>
        <item h="1" m="1" x="4718"/>
        <item h="1" m="1" x="4720"/>
        <item h="1" m="1" x="4238"/>
        <item h="1" m="1" x="3726"/>
        <item h="1" m="1" x="4723"/>
        <item h="1" m="1" x="4724"/>
        <item h="1" m="1" x="4725"/>
        <item h="1" m="1" x="4726"/>
        <item h="1" m="1" x="4730"/>
        <item h="1" m="1" x="4731"/>
        <item h="1" m="1" x="4732"/>
        <item h="1" m="1" x="4733"/>
        <item h="1" m="1" x="4734"/>
        <item h="1" m="1" x="4735"/>
        <item h="1" m="1" x="4736"/>
        <item h="1" m="1" x="4738"/>
        <item h="1" m="1" x="4505"/>
        <item h="1" m="1" x="4739"/>
        <item h="1" m="1" x="4740"/>
        <item h="1" m="1" x="4741"/>
        <item h="1" m="1" x="4374"/>
        <item h="1" m="1" x="4748"/>
        <item h="1" m="1" x="3810"/>
        <item h="1" m="1" x="4528"/>
        <item h="1" m="1" x="4251"/>
        <item h="1" m="1" x="4751"/>
        <item h="1" m="1" x="4753"/>
        <item h="1" m="1" x="4754"/>
        <item h="1" m="1" x="4755"/>
        <item h="1" m="1" x="4756"/>
        <item h="1" m="1" x="4037"/>
        <item h="1" m="1" x="4758"/>
        <item h="1" m="1" x="4759"/>
        <item h="1" m="1" x="4760"/>
        <item h="1" m="1" x="4761"/>
        <item h="1" m="1" x="4762"/>
        <item h="1" m="1" x="4763"/>
        <item h="1" m="1" x="4764"/>
        <item h="1" m="1" x="4765"/>
        <item h="1" m="1" x="4767"/>
        <item h="1" m="1" x="4214"/>
        <item h="1" m="1" x="4768"/>
        <item h="1" m="1" x="4025"/>
        <item h="1" m="1" x="4775"/>
        <item h="1" m="1" x="4776"/>
        <item h="1" m="1" x="4184"/>
        <item h="1" m="1" x="4022"/>
        <item h="1" m="1" x="4607"/>
        <item h="1" m="1" x="4609"/>
        <item h="1" m="1" x="4234"/>
        <item h="1" m="1" x="4232"/>
        <item h="1" m="1" x="4233"/>
        <item h="1" m="1" x="4230"/>
        <item h="1" m="1" x="4231"/>
        <item h="1" m="1" x="4610"/>
        <item h="1" m="1" x="4611"/>
        <item h="1" m="1" x="4612"/>
        <item h="1" m="1" x="4613"/>
        <item h="1" m="1" x="4614"/>
        <item h="1" m="1" x="4257"/>
        <item h="1" m="1" x="4263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4624"/>
        <item h="1" m="1" x="4625"/>
        <item h="1" m="1" x="4626"/>
        <item h="1" m="1" x="4627"/>
        <item h="1" m="1" x="4628"/>
        <item h="1" m="1" x="4629"/>
        <item h="1" m="1" x="4630"/>
        <item h="1" m="1" x="4631"/>
        <item h="1" m="1" x="4632"/>
        <item h="1" m="1" x="4633"/>
        <item h="1" m="1" x="4634"/>
        <item h="1" m="1" x="4290"/>
        <item h="1" m="1" x="4636"/>
        <item h="1" m="1" x="4637"/>
        <item h="1" m="1" x="4638"/>
        <item h="1" m="1" x="4639"/>
        <item h="1" m="1" x="4640"/>
        <item h="1" m="1" x="4641"/>
        <item h="1" m="1" x="4642"/>
        <item h="1" m="1" x="4643"/>
        <item h="1" m="1" x="4644"/>
        <item h="1" m="1" x="4645"/>
        <item h="1" m="1" x="4646"/>
        <item h="1" m="1" x="4647"/>
        <item h="1" m="1" x="4648"/>
        <item h="1" m="1" x="4649"/>
        <item h="1" m="1" x="4305"/>
        <item h="1" m="1" x="4650"/>
        <item h="1" m="1" x="4651"/>
        <item h="1" m="1" x="4652"/>
        <item h="1" m="1" x="4653"/>
        <item h="1" m="1" x="4654"/>
        <item h="1" m="1" x="4180"/>
        <item h="1" m="1" x="4655"/>
        <item h="1" m="1" x="3667"/>
        <item h="1" m="1" x="4324"/>
        <item h="1" m="1" x="4325"/>
        <item h="1" m="1" x="4656"/>
        <item h="1" m="1" x="4657"/>
        <item h="1" m="1" x="4333"/>
        <item h="1" m="1" x="4659"/>
        <item h="1" m="1" x="4660"/>
        <item h="1" m="1" x="4661"/>
        <item h="1" m="1" x="4662"/>
        <item h="1" m="1" x="4663"/>
        <item h="1" m="1" x="4363"/>
        <item h="1" m="1" x="4664"/>
        <item h="1" m="1" x="3878"/>
        <item h="1" m="1" x="4665"/>
        <item h="1" m="1" x="4391"/>
        <item h="1" m="1" x="4396"/>
        <item h="1" m="1" x="4399"/>
        <item h="1" m="1" x="4407"/>
        <item h="1" m="1" x="3761"/>
        <item h="1" m="1" x="4075"/>
        <item h="1" m="1" x="3771"/>
        <item h="1" m="1" x="4673"/>
        <item h="1" m="1" x="4474"/>
        <item h="1" m="1" x="4475"/>
        <item h="1" m="1" x="4480"/>
        <item h="1" m="1" x="4482"/>
        <item h="1" m="1" x="4678"/>
        <item h="1" m="1" x="2636"/>
        <item h="1" m="1" x="4680"/>
        <item h="1" m="1" x="4497"/>
        <item h="1" m="1" x="4504"/>
        <item h="1" m="1" x="4507"/>
        <item h="1" m="1" x="4521"/>
        <item h="1" m="1" x="4108"/>
        <item h="1" m="1" x="4683"/>
        <item h="1" m="1" x="4560"/>
        <item h="1" m="1" x="4559"/>
        <item h="1" m="1" x="4558"/>
        <item h="1" m="1" x="4569"/>
        <item h="1" m="1" x="4575"/>
        <item h="1" m="1" x="4579"/>
        <item h="1" m="1" x="1574"/>
        <item h="1" m="1" x="4685"/>
        <item h="1" m="1" x="4592"/>
        <item h="1" m="1" x="4596"/>
        <item h="1" m="1" x="1623"/>
        <item h="1" m="1" x="4687"/>
        <item h="1" m="1" x="4602"/>
        <item h="1" m="1" x="4603"/>
        <item h="1" m="1" x="992"/>
        <item h="1" m="1" x="4235"/>
        <item h="1" m="1" x="4237"/>
        <item h="1" m="1" x="4148"/>
        <item h="1" m="1" x="4254"/>
        <item h="1" m="1" x="4255"/>
        <item h="1" m="1" x="2071"/>
        <item h="1" m="1" x="4273"/>
        <item h="1" m="1" x="4274"/>
        <item h="1" m="1" x="4275"/>
        <item h="1" m="1" x="4276"/>
        <item h="1" m="1" x="4277"/>
        <item h="1" m="1" x="4278"/>
        <item h="1" m="1" x="4279"/>
        <item h="1" m="1" x="4280"/>
        <item h="1" m="1" x="4281"/>
        <item h="1" m="1" x="4282"/>
        <item h="1" m="1" x="4283"/>
        <item h="1" m="1" x="1919"/>
        <item h="1" m="1" x="4284"/>
        <item h="1" m="1" x="4285"/>
        <item h="1" m="1" x="4286"/>
        <item h="1" m="1" x="4287"/>
        <item h="1" m="1" x="4288"/>
        <item h="1" m="1" x="4289"/>
        <item h="1" m="1" x="4291"/>
        <item h="1" m="1" x="4292"/>
        <item h="1" m="1" x="4293"/>
        <item h="1" m="1" x="4294"/>
        <item h="1" m="1" x="4295"/>
        <item h="1" m="1" x="4296"/>
        <item h="1" m="1" x="2086"/>
        <item h="1" m="1" x="4297"/>
        <item h="1" m="1" x="4298"/>
        <item h="1" m="1" x="4299"/>
        <item h="1" m="1" x="4300"/>
        <item h="1" m="1" x="4301"/>
        <item h="1" m="1" x="4302"/>
        <item h="1" m="1" x="4303"/>
        <item h="1" m="1" x="4304"/>
        <item h="1" m="1" x="3387"/>
        <item h="1" m="1" x="4311"/>
        <item h="1" m="1" x="4312"/>
        <item h="1" m="1" x="4313"/>
        <item h="1" m="1" x="4319"/>
        <item h="1" m="1" x="3869"/>
        <item h="1" m="1" x="4187"/>
        <item h="1" m="1" x="3666"/>
        <item h="1" m="1" x="4327"/>
        <item h="1" m="1" x="4344"/>
        <item h="1" m="1" x="4345"/>
        <item h="1" m="1" x="4016"/>
        <item h="1" m="1" x="780"/>
        <item h="1" m="1" x="4365"/>
        <item h="1" m="1" x="4367"/>
        <item h="1" m="1" x="4368"/>
        <item h="1" m="1" x="4390"/>
        <item h="1" m="1" x="4395"/>
        <item h="1" m="1" x="4401"/>
        <item h="1" m="1" x="4417"/>
        <item h="1" m="1" x="4418"/>
        <item h="1" m="1" x="4419"/>
        <item h="1" m="1" x="4447"/>
        <item h="1" m="1" x="3765"/>
        <item h="1" m="1" x="3766"/>
        <item h="1" m="1" x="4456"/>
        <item h="1" m="1" x="4468"/>
        <item h="1" m="1" x="1972"/>
        <item h="1" m="1" x="4473"/>
        <item h="1" m="1" x="2779"/>
        <item h="1" m="1" x="4478"/>
        <item h="1" m="1" x="4479"/>
        <item h="1" m="1" x="4481"/>
        <item h="1" m="1" x="4483"/>
        <item h="1" m="1" x="4484"/>
        <item h="1" m="1" x="4485"/>
        <item h="1" m="1" x="4496"/>
        <item h="1" m="1" x="4096"/>
        <item h="1" m="1" x="4498"/>
        <item h="1" m="1" x="4499"/>
        <item h="1" m="1" x="4500"/>
        <item h="1" m="1" x="4501"/>
        <item h="1" m="1" x="4502"/>
        <item h="1" m="1" x="4509"/>
        <item h="1" m="1" x="4513"/>
        <item h="1" m="1" x="4514"/>
        <item h="1" m="1" x="4515"/>
        <item h="1" m="1" x="4516"/>
        <item h="1" m="1" x="4517"/>
        <item h="1" x="428"/>
        <item h="1" m="1" x="4529"/>
        <item h="1" m="1" x="4531"/>
        <item h="1" m="1" x="4015"/>
        <item h="1" m="1" x="3673"/>
        <item h="1" m="1" x="4542"/>
        <item h="1" m="1" x="4545"/>
        <item h="1" m="1" x="4566"/>
        <item h="1" m="1" x="4567"/>
        <item h="1" m="1" x="4571"/>
        <item h="1" m="1" x="4572"/>
        <item h="1" m="1" x="4573"/>
        <item h="1" m="1" x="4574"/>
        <item h="1" m="1" x="3806"/>
        <item h="1" m="1" x="4577"/>
        <item h="1" m="1" x="4597"/>
        <item h="1" m="1" x="4599"/>
        <item h="1" m="1" x="4137"/>
        <item h="1" m="1" x="4138"/>
        <item h="1" m="1" x="4139"/>
        <item h="1" m="1" x="4140"/>
        <item h="1" m="1" x="3665"/>
        <item h="1" m="1" x="4141"/>
        <item h="1" m="1" x="4142"/>
        <item h="1" m="1" x="4143"/>
        <item h="1" m="1" x="4144"/>
        <item h="1" m="1" x="4145"/>
        <item h="1" m="1" x="4146"/>
        <item h="1" m="1" x="4149"/>
        <item h="1" m="1" x="4150"/>
        <item h="1" m="1" x="4151"/>
        <item h="1" m="1" x="4153"/>
        <item h="1" m="1" x="4154"/>
        <item h="1" m="1" x="4155"/>
        <item h="1" m="1" x="4156"/>
        <item h="1" m="1" x="4157"/>
        <item h="1" m="1" x="4158"/>
        <item h="1" m="1" x="3406"/>
        <item h="1" m="1" x="4159"/>
        <item h="1" m="1" x="4160"/>
        <item h="1" m="1" x="4161"/>
        <item h="1" m="1" x="4162"/>
        <item h="1" m="1" x="4163"/>
        <item h="1" m="1" x="4164"/>
        <item h="1" m="1" x="4166"/>
        <item h="1" m="1" x="4167"/>
        <item h="1" m="1" x="4168"/>
        <item h="1" m="1" x="4169"/>
        <item h="1" m="1" x="4170"/>
        <item h="1" m="1" x="4171"/>
        <item h="1" m="1" x="4172"/>
        <item h="1" m="1" x="4173"/>
        <item h="1" m="1" x="4174"/>
        <item h="1" m="1" x="4175"/>
        <item h="1" m="1" x="4176"/>
        <item h="1" m="1" x="4177"/>
        <item h="1" m="1" x="4178"/>
        <item h="1" m="1" x="4179"/>
        <item h="1" m="1" x="3849"/>
        <item h="1" m="1" x="3626"/>
        <item h="1" m="1" x="4186"/>
        <item h="1" m="1" x="4188"/>
        <item h="1" m="1" x="4189"/>
        <item h="1" m="1" x="4190"/>
        <item h="1" m="1" x="4191"/>
        <item h="1" m="1" x="4063"/>
        <item h="1" m="1" x="4071"/>
        <item h="1" m="1" x="4068"/>
        <item h="1" m="1" x="4194"/>
        <item h="1" m="1" x="4074"/>
        <item h="1" m="1" x="3764"/>
        <item h="1" m="1" x="4078"/>
        <item h="1" m="1" x="3884"/>
        <item h="1" m="1" x="3888"/>
        <item h="1" m="1" x="3889"/>
        <item h="1" m="1" x="3890"/>
        <item h="1" m="1" x="4081"/>
        <item h="1" m="1" x="4082"/>
        <item h="1" m="1" x="4083"/>
        <item h="1" m="1" x="4088"/>
        <item h="1" m="1" x="4094"/>
        <item h="1" m="1" x="4091"/>
        <item h="1" m="1" x="4199"/>
        <item h="1" m="1" x="4200"/>
        <item h="1" m="1" x="4201"/>
        <item h="1" m="1" x="4202"/>
        <item h="1" m="1" x="4203"/>
        <item h="1" x="264"/>
        <item h="1" m="1" x="4205"/>
        <item h="1" m="1" x="4206"/>
        <item h="1" m="1" x="4107"/>
        <item h="1" m="1" x="4106"/>
        <item h="1" m="1" x="4208"/>
        <item h="1" m="1" x="4209"/>
        <item h="1" m="1" x="4210"/>
        <item h="1" m="1" x="4109"/>
        <item h="1" m="1" x="3912"/>
        <item h="1" m="1" x="3913"/>
        <item h="1" m="1" x="4111"/>
        <item h="1" m="1" x="4114"/>
        <item h="1" m="1" x="3916"/>
        <item h="1" m="1" x="3917"/>
        <item h="1" m="1" x="4119"/>
        <item h="1" m="1" x="4118"/>
        <item h="1" m="1" x="4121"/>
        <item h="1" m="1" x="4127"/>
        <item h="1" m="1" x="4014"/>
        <item h="1" m="1" x="1247"/>
        <item h="1" m="1" x="3593"/>
        <item h="1" m="1" x="2637"/>
        <item h="1" m="1" x="4128"/>
        <item h="1" m="1" x="4013"/>
        <item h="1" m="1" x="4012"/>
        <item h="1" m="1" x="4211"/>
        <item h="1" m="1" x="4212"/>
        <item h="1" m="1" x="3677"/>
        <item h="1" m="1" x="3436"/>
        <item h="1" m="1" x="4020"/>
        <item h="1" m="1" x="3683"/>
        <item h="1" m="1" x="3684"/>
        <item h="1" m="1" x="3687"/>
        <item h="1" m="1" x="4021"/>
        <item h="1" m="1" x="4023"/>
        <item h="1" m="1" x="3846"/>
        <item h="1" m="1" x="4024"/>
        <item h="1" m="1" x="4026"/>
        <item h="1" m="1" x="4027"/>
        <item h="1" m="1" x="4028"/>
        <item h="1" m="1" x="4029"/>
        <item h="1" m="1" x="4030"/>
        <item h="1" m="1" x="4007"/>
        <item h="1" m="1" x="4031"/>
        <item h="1" m="1" x="4006"/>
        <item h="1" m="1" x="3395"/>
        <item h="1" m="1" x="4032"/>
        <item h="1" m="1" x="4033"/>
        <item h="1" m="1" x="4034"/>
        <item h="1" m="1" x="4035"/>
        <item h="1" m="1" x="3507"/>
        <item h="1" m="1" x="4036"/>
        <item h="1" m="1" x="4038"/>
        <item h="1" m="1" x="4011"/>
        <item h="1" m="1" x="3095"/>
        <item h="1" m="1" x="4039"/>
        <item h="1" m="1" x="4040"/>
        <item h="1" m="1" x="4042"/>
        <item h="1" m="1" x="4004"/>
        <item h="1" m="1" x="4043"/>
        <item h="1" m="1" x="4044"/>
        <item h="1" m="1" x="4045"/>
        <item h="1" m="1" x="4046"/>
        <item h="1" m="1" x="4047"/>
        <item h="1" m="1" x="4048"/>
        <item h="1" m="1" x="4050"/>
        <item h="1" m="1" x="4051"/>
        <item h="1" m="1" x="3702"/>
        <item h="1" m="1" x="4053"/>
        <item h="1" m="1" x="4054"/>
        <item h="1" m="1" x="4055"/>
        <item h="1" m="1" x="4056"/>
        <item h="1" m="1" x="4057"/>
        <item h="1" m="1" x="4009"/>
        <item h="1" m="1" x="4008"/>
        <item h="1" m="1" x="4058"/>
        <item h="1" m="1" x="4059"/>
        <item h="1" m="1" x="4060"/>
        <item h="1" m="1" x="3868"/>
        <item h="1" m="1" x="4005"/>
        <item h="1" m="1" x="4061"/>
        <item h="1" m="1" x="4010"/>
        <item h="1" m="1" x="3875"/>
        <item h="1" m="1" x="2635"/>
        <item h="1" m="1" x="4062"/>
        <item h="1" m="1" x="4064"/>
        <item h="1" m="1" x="4065"/>
        <item h="1" m="1" x="4066"/>
        <item h="1" m="1" x="3737"/>
        <item h="1" m="1" x="4072"/>
        <item h="1" m="1" x="4076"/>
        <item h="1" m="1" x="4077"/>
        <item h="1" m="1" x="3769"/>
        <item h="1" m="1" x="4079"/>
        <item h="1" m="1" x="3773"/>
        <item h="1" m="1" x="4080"/>
        <item h="1" m="1" x="4084"/>
        <item h="1" m="1" x="4085"/>
        <item h="1" m="1" x="4086"/>
        <item h="1" m="1" x="4087"/>
        <item h="1" m="1" x="4089"/>
        <item h="1" m="1" x="4090"/>
        <item h="1" m="1" x="4093"/>
        <item h="1" m="1" x="1276"/>
        <item h="1" m="1" x="4095"/>
        <item h="1" m="1" x="3662"/>
        <item h="1" m="1" x="4097"/>
        <item h="1" m="1" x="4098"/>
        <item h="1" m="1" x="4099"/>
        <item h="1" m="1" x="4100"/>
        <item h="1" m="1" x="4101"/>
        <item h="1" m="1" x="4102"/>
        <item h="1" m="1" x="4103"/>
        <item h="1" m="1" x="4104"/>
        <item h="1" m="1" x="1429"/>
        <item h="1" m="1" x="3789"/>
        <item h="1" m="1" x="3790"/>
        <item h="1" m="1" x="4110"/>
        <item h="1" m="1" x="4112"/>
        <item h="1" m="1" x="4113"/>
        <item h="1" m="1" x="4116"/>
        <item h="1" m="1" x="4117"/>
        <item h="1" m="1" x="4120"/>
        <item h="1" m="1" x="3178"/>
        <item h="1" m="1" x="4122"/>
        <item h="1" m="1" x="4123"/>
        <item h="1" m="1" x="4124"/>
        <item h="1" m="1" x="4125"/>
        <item h="1" m="1" x="4126"/>
        <item h="1" m="1" x="4129"/>
        <item h="1" m="1" x="4130"/>
        <item h="1" m="1" x="4131"/>
        <item h="1" m="1" x="4132"/>
        <item h="1" m="1" x="4133"/>
        <item h="1" m="1" x="4134"/>
        <item h="1" m="1" x="4135"/>
        <item h="1" m="1" x="4136"/>
        <item h="1" m="1" x="3982"/>
        <item h="1" m="1" x="3685"/>
        <item h="1" m="1" x="3960"/>
        <item h="1" m="1" x="3843"/>
        <item h="1" m="1" x="3625"/>
        <item h="1" m="1" x="3959"/>
        <item h="1" m="1" x="3692"/>
        <item h="1" m="1" x="3850"/>
        <item h="1" m="1" x="3934"/>
        <item h="1" m="1" x="3938"/>
        <item h="1" m="1" x="3998"/>
        <item h="1" m="1" x="3992"/>
        <item h="1" m="1" x="3991"/>
        <item h="1" m="1" x="3978"/>
        <item h="1" m="1" x="3990"/>
        <item h="1" m="1" x="3989"/>
        <item h="1" m="1" x="3988"/>
        <item h="1" m="1" x="3987"/>
        <item h="1" m="1" x="3986"/>
        <item h="1" m="1" x="4003"/>
        <item h="1" m="1" x="4002"/>
        <item h="1" m="1" x="4001"/>
        <item h="1" m="1" x="3970"/>
        <item h="1" m="1" x="3969"/>
        <item h="1" m="1" x="3999"/>
        <item h="1" m="1" x="1762"/>
        <item h="1" m="1" x="3967"/>
        <item h="1" m="1" x="3965"/>
        <item h="1" m="1" x="3976"/>
        <item h="1" m="1" x="3975"/>
        <item h="1" m="1" x="3973"/>
        <item h="1" m="1" x="3974"/>
        <item h="1" m="1" x="3701"/>
        <item h="1" m="1" x="3972"/>
        <item h="1" m="1" x="3971"/>
        <item h="1" m="1" x="3981"/>
        <item h="1" m="1" x="3980"/>
        <item h="1" m="1" x="3979"/>
        <item h="1" m="1" x="3957"/>
        <item h="1" m="1" x="3956"/>
        <item h="1" m="1" x="3955"/>
        <item h="1" m="1" x="3939"/>
        <item h="1" m="1" x="3718"/>
        <item h="1" m="1" x="2148"/>
        <item h="1" m="1" x="3949"/>
        <item h="1" m="1" x="3719"/>
        <item h="1" m="1" x="3866"/>
        <item h="1" m="1" x="3954"/>
        <item h="1" m="1" x="3953"/>
        <item h="1" m="1" x="3964"/>
        <item h="1" m="1" x="3963"/>
        <item h="1" m="1" x="3962"/>
        <item h="1" m="1" x="3961"/>
        <item h="1" m="1" x="3952"/>
        <item h="1" m="1" x="3951"/>
        <item h="1" m="1" x="3661"/>
        <item h="1" m="1" x="3874"/>
        <item h="1" m="1" x="3984"/>
        <item h="1" m="1" x="3993"/>
        <item h="1" m="1" x="3877"/>
        <item h="1" m="1" x="3739"/>
        <item h="1" m="1" x="3742"/>
        <item h="1" m="1" x="1339"/>
        <item h="1" m="1" x="3881"/>
        <item h="1" m="1" x="3933"/>
        <item h="1" m="1" x="3937"/>
        <item h="1" m="1" x="3772"/>
        <item h="1" m="1" x="3948"/>
        <item h="1" m="1" x="3947"/>
        <item h="1" m="1" x="3946"/>
        <item h="1" m="1" x="3945"/>
        <item h="1" m="1" x="3997"/>
        <item h="1" m="1" x="3996"/>
        <item h="1" m="1" x="3901"/>
        <item h="1" m="1" x="3900"/>
        <item h="1" m="1" x="2963"/>
        <item h="1" m="1" x="3899"/>
        <item h="1" m="1" x="3994"/>
        <item h="1" m="1" x="991"/>
        <item h="1" m="1" x="3935"/>
        <item h="1" m="1" x="3966"/>
        <item h="1" m="1" x="3786"/>
        <item h="1" m="1" x="3785"/>
        <item h="1" m="1" x="3958"/>
        <item h="1" m="1" x="4000"/>
        <item h="1" m="1" x="3908"/>
        <item h="1" m="1" x="3792"/>
        <item h="1" m="1" x="3660"/>
        <item h="1" m="1" x="3985"/>
        <item h="1" m="1" x="3943"/>
        <item h="1" m="1" x="3942"/>
        <item h="1" m="1" x="3995"/>
        <item h="1" m="1" x="3659"/>
        <item h="1" m="1" x="3941"/>
        <item h="1" m="1" x="3919"/>
        <item h="1" m="1" x="3932"/>
        <item h="1" m="1" x="3807"/>
        <item h="1" m="1" x="3592"/>
        <item h="1" m="1" x="3950"/>
        <item h="1" m="1" x="2134"/>
        <item h="1" m="1" x="3676"/>
        <item h="1" m="1" x="3682"/>
        <item h="1" m="1" x="3815"/>
        <item h="1" m="1" x="3816"/>
        <item h="1" m="1" x="3817"/>
        <item h="1" m="1" x="3818"/>
        <item h="1" m="1" x="3819"/>
        <item h="1" m="1" x="2079"/>
        <item h="1" m="1" x="3821"/>
        <item h="1" m="1" x="3822"/>
        <item h="1" m="1" x="3823"/>
        <item h="1" m="1" x="3824"/>
        <item h="1" m="1" x="3825"/>
        <item h="1" m="1" x="2074"/>
        <item h="1" m="1" x="3826"/>
        <item h="1" m="1" x="3827"/>
        <item h="1" m="1" x="3828"/>
        <item h="1" m="1" x="3829"/>
        <item h="1" m="1" x="3830"/>
        <item h="1" m="1" x="3831"/>
        <item h="1" m="1" x="3832"/>
        <item h="1" m="1" x="3833"/>
        <item h="1" m="1" x="3834"/>
        <item h="1" m="1" x="3835"/>
        <item h="1" m="1" x="3836"/>
        <item h="1" m="1" x="3837"/>
        <item h="1" m="1" x="3838"/>
        <item h="1" m="1" x="3839"/>
        <item h="1" m="1" x="3840"/>
        <item h="1" m="1" x="3841"/>
        <item h="1" m="1" x="3842"/>
        <item h="1" m="1" x="3844"/>
        <item h="1" m="1" x="3845"/>
        <item h="1" m="1" x="1527"/>
        <item h="1" m="1" x="3694"/>
        <item h="1" m="1" x="3627"/>
        <item h="1" m="1" x="3634"/>
        <item h="1" m="1" x="3847"/>
        <item h="1" m="1" x="3848"/>
        <item h="1" m="1" x="2425"/>
        <item h="1" m="1" x="3700"/>
        <item h="1" m="1" x="3851"/>
        <item h="1" m="1" x="3852"/>
        <item h="1" m="1" x="3853"/>
        <item h="1" m="1" x="3854"/>
        <item h="1" m="1" x="3855"/>
        <item h="1" m="1" x="3856"/>
        <item h="1" m="1" x="3857"/>
        <item h="1" m="1" x="3858"/>
        <item h="1" m="1" x="3699"/>
        <item h="1" m="1" x="3859"/>
        <item h="1" m="1" x="3695"/>
        <item h="1" m="1" x="3860"/>
        <item h="1" m="1" x="3696"/>
        <item h="1" m="1" x="3861"/>
        <item h="1" m="1" x="3862"/>
        <item h="1" m="1" x="3863"/>
        <item h="1" m="1" x="3864"/>
        <item h="1" m="1" x="3865"/>
        <item h="1" m="1" x="3697"/>
        <item h="1" m="1" x="3698"/>
        <item h="1" m="1" x="3459"/>
        <item h="1" m="1" x="1621"/>
        <item h="1" m="1" x="1619"/>
        <item h="1" m="1" x="3628"/>
        <item h="1" m="1" x="706"/>
        <item h="1" m="1" x="3867"/>
        <item h="1" m="1" x="3871"/>
        <item h="1" m="1" x="3872"/>
        <item h="1" m="1" x="3655"/>
        <item h="1" m="1" x="3732"/>
        <item h="1" m="1" x="3733"/>
        <item h="1" m="1" x="3734"/>
        <item h="1" m="1" x="3735"/>
        <item h="1" m="1" x="2640"/>
        <item h="1" m="1" x="3879"/>
        <item h="1" m="1" x="3740"/>
        <item h="1" m="1" x="3880"/>
        <item h="1" m="1" x="3746"/>
        <item h="1" m="1" x="3747"/>
        <item h="1" m="1" x="3748"/>
        <item h="1" m="1" x="3749"/>
        <item h="1" m="1" x="3759"/>
        <item h="1" m="1" x="3302"/>
        <item h="1" m="1" x="3763"/>
        <item h="1" m="1" x="3885"/>
        <item h="1" m="1" x="3892"/>
        <item h="1" m="1" x="3893"/>
        <item h="1" m="1" x="3894"/>
        <item h="1" m="1" x="3898"/>
        <item h="1" m="1" x="755"/>
        <item h="1" m="1" x="3902"/>
        <item h="1" m="1" x="3778"/>
        <item h="1" m="1" x="2222"/>
        <item h="1" m="1" x="3782"/>
        <item h="1" m="1" x="3165"/>
        <item h="1" m="1" x="1565"/>
        <item h="1" m="1" x="3905"/>
        <item h="1" m="1" x="3906"/>
        <item h="1" m="1" x="3791"/>
        <item h="1" m="1" x="3914"/>
        <item h="1" m="1" x="3794"/>
        <item h="1" m="1" x="3915"/>
        <item h="1" m="1" x="3795"/>
        <item h="1" m="1" x="3799"/>
        <item h="1" m="1" x="3805"/>
        <item h="1" m="1" x="3801"/>
        <item h="1" m="1" x="3802"/>
        <item h="1" m="1" x="3803"/>
        <item h="1" m="1" x="3804"/>
        <item h="1" m="1" x="3920"/>
        <item h="1" m="1" x="3921"/>
        <item h="1" m="1" x="3494"/>
        <item h="1" m="1" x="3922"/>
        <item h="1" m="1" x="3923"/>
        <item h="1" m="1" x="3924"/>
        <item h="1" m="1" x="3926"/>
        <item h="1" m="1" x="3928"/>
        <item h="1" m="1" x="3929"/>
        <item h="1" m="1" x="3930"/>
        <item h="1" m="1" x="3931"/>
        <item h="1" m="1" x="3337"/>
        <item h="1" m="1" x="3813"/>
        <item h="1" m="1" x="3814"/>
        <item h="1" m="1" x="3642"/>
        <item h="1" m="1" x="3674"/>
        <item h="1" m="1" x="3675"/>
        <item h="1" m="1" x="3193"/>
        <item h="1" m="1" x="3678"/>
        <item h="1" m="1" x="3679"/>
        <item h="1" m="1" x="3680"/>
        <item h="1" m="1" x="3663"/>
        <item h="1" m="1" x="3686"/>
        <item h="1" m="1" x="3640"/>
        <item h="1" m="1" x="3689"/>
        <item h="1" m="1" x="3690"/>
        <item h="1" m="1" x="3691"/>
        <item h="1" m="1" x="3639"/>
        <item h="1" m="1" x="3693"/>
        <item h="1" m="1" x="3658"/>
        <item h="1" m="1" x="3703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712"/>
        <item h="1" m="1" x="3713"/>
        <item h="1" m="1" x="3714"/>
        <item h="1" m="1" x="3715"/>
        <item h="1" m="1" x="3716"/>
        <item h="1" m="1" x="3647"/>
        <item h="1" m="1" x="3717"/>
        <item h="1" m="1" x="3720"/>
        <item h="1" m="1" x="3670"/>
        <item h="1" m="1" x="1224"/>
        <item h="1" m="1" x="1225"/>
        <item h="1" m="1" x="1223"/>
        <item h="1" m="1" x="3722"/>
        <item h="1" m="1" x="3723"/>
        <item h="1" m="1" x="3724"/>
        <item h="1" m="1" x="3725"/>
        <item h="1" m="1" x="3649"/>
        <item h="1" m="1" x="3648"/>
        <item h="1" m="1" x="3653"/>
        <item h="1" m="1" x="3652"/>
        <item h="1" m="1" x="3730"/>
        <item h="1" m="1" x="3638"/>
        <item h="1" m="1" x="1726"/>
        <item h="1" m="1" x="3731"/>
        <item h="1" m="1" x="3736"/>
        <item h="1" m="1" x="2139"/>
        <item h="1" m="1" x="3738"/>
        <item h="1" m="1" x="779"/>
        <item h="1" m="1" x="3148"/>
        <item h="1" m="1" x="3741"/>
        <item h="1" m="1" x="3743"/>
        <item h="1" m="1" x="3744"/>
        <item h="1" m="1" x="3745"/>
        <item h="1" m="1" x="3750"/>
        <item h="1" m="1" x="3751"/>
        <item h="1" m="1" x="3752"/>
        <item h="1" m="1" x="3477"/>
        <item h="1" m="1" x="3754"/>
        <item h="1" m="1" x="3480"/>
        <item h="1" m="1" x="3762"/>
        <item h="1" m="1" x="3770"/>
        <item h="1" m="1" x="3774"/>
        <item h="1" m="1" x="3776"/>
        <item h="1" x="159"/>
        <item h="1" m="1" x="3777"/>
        <item h="1" m="1" x="3284"/>
        <item h="1" m="1" x="3779"/>
        <item h="1" m="1" x="3780"/>
        <item h="1" m="1" x="3657"/>
        <item h="1" m="1" x="3656"/>
        <item h="1" m="1" x="3573"/>
        <item h="1" m="1" x="1836"/>
        <item h="1" m="1" x="3163"/>
        <item h="1" m="1" x="3781"/>
        <item h="1" m="1" x="3783"/>
        <item h="1" m="1" x="3160"/>
        <item h="1" m="1" x="1566"/>
        <item h="1" m="1" x="3788"/>
        <item h="1" m="1" x="3489"/>
        <item h="1" m="1" x="3490"/>
        <item h="1" m="1" x="3641"/>
        <item h="1" m="1" x="2786"/>
        <item h="1" m="1" x="3796"/>
        <item h="1" m="1" x="3797"/>
        <item h="1" m="1" x="3798"/>
        <item h="1" m="1" x="3305"/>
        <item h="1" m="1" x="3800"/>
        <item h="1" m="1" x="3323"/>
        <item h="1" m="1" x="3435"/>
        <item h="1" m="1" x="3434"/>
        <item h="1" m="1" x="3811"/>
        <item h="1" m="1" x="3812"/>
        <item h="1" m="1" x="2395"/>
        <item h="1" m="1" x="3191"/>
        <item h="1" m="1" x="3617"/>
        <item h="1" m="1" x="3606"/>
        <item h="1" m="1" x="3607"/>
        <item h="1" m="1" x="3084"/>
        <item h="1" m="1" x="2258"/>
        <item h="1" m="1" x="3624"/>
        <item h="1" m="1" x="3651"/>
        <item h="1" m="1" x="3615"/>
        <item h="1" m="1" x="3635"/>
        <item h="1" m="1" x="3345"/>
        <item h="1" m="1" x="3616"/>
        <item h="1" m="1" x="3610"/>
        <item h="1" m="1" x="3612"/>
        <item h="1" m="1" x="3637"/>
        <item h="1" m="1" x="3622"/>
        <item h="1" m="1" x="3524"/>
        <item h="1" m="1" x="3525"/>
        <item h="1" m="1" x="3618"/>
        <item h="1" m="1" x="3608"/>
        <item h="1" m="1" x="3521"/>
        <item h="1" m="1" x="3611"/>
        <item h="1" m="1" x="3613"/>
        <item h="1" m="1" x="3650"/>
        <item h="1" m="1" x="3541"/>
        <item h="1" m="1" x="3545"/>
        <item h="1" m="1" x="3475"/>
        <item h="1" m="1" x="2781"/>
        <item h="1" m="1" x="2782"/>
        <item h="1" m="1" x="3542"/>
        <item h="1" m="1" x="3543"/>
        <item h="1" m="1" x="2789"/>
        <item h="1" m="1" x="3549"/>
        <item h="1" m="1" x="3623"/>
        <item h="1" m="1" x="3614"/>
        <item h="1" m="1" x="3630"/>
        <item h="1" m="1" x="3609"/>
        <item h="1" m="1" x="3632"/>
        <item h="1" m="1" x="3631"/>
        <item h="1" x="270"/>
        <item h="1" m="1" x="3560"/>
        <item h="1" m="1" x="3559"/>
        <item h="1" m="1" x="3562"/>
        <item h="1" m="1" x="3431"/>
        <item h="1" m="1" x="3629"/>
        <item h="1" m="1" x="3621"/>
        <item h="1" m="1" x="3671"/>
        <item h="1" m="1" x="3568"/>
        <item h="1" m="1" x="1401"/>
        <item h="1" m="1" x="1402"/>
        <item h="1" m="1" x="3042"/>
        <item h="1" m="1" x="3575"/>
        <item h="1" m="1" x="3574"/>
        <item h="1" m="1" x="3643"/>
        <item h="1" m="1" x="1948"/>
        <item h="1" m="1" x="1835"/>
        <item h="1" m="1" x="3033"/>
        <item h="1" m="1" x="2784"/>
        <item h="1" m="1" x="1469"/>
        <item h="1" m="1" x="2785"/>
        <item h="1" m="1" x="3578"/>
        <item h="1" m="1" x="3579"/>
        <item h="1" m="1" x="3580"/>
        <item h="1" m="1" x="3582"/>
        <item h="1" m="1" x="3583"/>
        <item h="1" m="1" x="3318"/>
        <item h="1" m="1" x="3588"/>
        <item h="1" m="1" x="3589"/>
        <item h="1" m="1" x="3590"/>
        <item h="1" m="1" x="3591"/>
        <item h="1" m="1" x="3432"/>
        <item h="1" m="1" x="3645"/>
        <item h="1" m="1" x="3644"/>
        <item h="1" m="1" x="3595"/>
        <item h="1" m="1" x="3596"/>
        <item h="1" m="1" x="3597"/>
        <item h="1" m="1" x="3620"/>
        <item h="1" m="1" x="3619"/>
        <item h="1" m="1" x="3633"/>
        <item h="1" m="1" x="3599"/>
        <item h="1" m="1" x="3601"/>
        <item h="1" m="1" x="3602"/>
        <item h="1" m="1" x="2406"/>
        <item h="1" m="1" x="3603"/>
        <item h="1" m="1" x="3604"/>
        <item h="1" m="1" x="3333"/>
        <item h="1" m="1" x="3340"/>
        <item h="1" m="1" x="3600"/>
        <item h="1" m="1" x="3496"/>
        <item h="1" m="1" x="3497"/>
        <item h="1" m="1" x="3498"/>
        <item h="1" m="1" x="3499"/>
        <item h="1" m="1" x="3501"/>
        <item h="1" m="1" x="1180"/>
        <item h="1" m="1" x="1181"/>
        <item h="1" m="1" x="3503"/>
        <item h="1" m="1" x="3504"/>
        <item h="1" m="1" x="3505"/>
        <item h="1" m="1" x="3506"/>
        <item h="1" m="1" x="3508"/>
        <item h="1" m="1" x="3452"/>
        <item h="1" m="1" x="3453"/>
        <item h="1" m="1" x="3510"/>
        <item h="1" m="1" x="3511"/>
        <item h="1" m="1" x="3512"/>
        <item h="1" m="1" x="3513"/>
        <item h="1" m="1" x="3202"/>
        <item h="1" m="1" x="3097"/>
        <item h="1" m="1" x="3514"/>
        <item h="1" m="1" x="3515"/>
        <item h="1" m="1" x="3516"/>
        <item h="1" m="1" x="3518"/>
        <item h="1" m="1" x="3519"/>
        <item h="1" m="1" x="3096"/>
        <item h="1" m="1" x="3522"/>
        <item h="1" m="1" x="3523"/>
        <item h="1" m="1" x="3526"/>
        <item h="1" m="1" x="3527"/>
        <item h="1" m="1" x="3528"/>
        <item h="1" m="1" x="3448"/>
        <item h="1" m="1" x="3449"/>
        <item h="1" m="1" x="3529"/>
        <item h="1" m="1" x="3098"/>
        <item h="1" m="1" x="3530"/>
        <item h="1" m="1" x="3531"/>
        <item h="1" m="1" x="3532"/>
        <item h="1" m="1" x="3534"/>
        <item h="1" m="1" x="3535"/>
        <item h="1" m="1" x="3538"/>
        <item h="1" m="1" x="3539"/>
        <item h="1" m="1" x="3540"/>
        <item h="1" m="1" x="2796"/>
        <item h="1" m="1" x="3544"/>
        <item h="1" m="1" x="3547"/>
        <item h="1" m="1" x="3548"/>
        <item h="1" m="1" x="3265"/>
        <item h="1" m="1" x="3429"/>
        <item h="1" m="1" x="3550"/>
        <item h="1" m="1" x="3551"/>
        <item h="1" m="1" x="3552"/>
        <item h="1" m="1" x="3553"/>
        <item h="1" m="1" x="3554"/>
        <item h="1" m="1" x="3555"/>
        <item h="1" m="1" x="3556"/>
        <item h="1" m="1" x="3557"/>
        <item h="1" m="1" x="3558"/>
        <item h="1" m="1" x="1351"/>
        <item h="1" m="1" x="1352"/>
        <item h="1" m="1" x="3476"/>
        <item h="1" m="1" x="3561"/>
        <item h="1" m="1" x="1248"/>
        <item h="1" m="1" x="3563"/>
        <item h="1" m="1" x="3564"/>
        <item h="1" m="1" x="3565"/>
        <item h="1" m="1" x="3566"/>
        <item h="1" m="1" x="3567"/>
        <item h="1" m="1" x="3486"/>
        <item h="1" m="1" x="3280"/>
        <item h="1" m="1" x="3283"/>
        <item h="1" m="1" x="1399"/>
        <item h="1" m="1" x="2461"/>
        <item h="1" m="1" x="3569"/>
        <item h="1" m="1" x="3570"/>
        <item h="1" m="1" x="3571"/>
        <item h="1" x="369"/>
        <item h="1" m="1" x="3159"/>
        <item h="1" m="1" x="3430"/>
        <item h="1" m="1" x="3034"/>
        <item h="1" m="1" x="1944"/>
        <item h="1" m="1" x="1834"/>
        <item h="1" m="1" x="2180"/>
        <item h="1" m="1" x="3169"/>
        <item h="1" m="1" x="3576"/>
        <item h="1" m="1" x="3577"/>
        <item h="1" x="83"/>
        <item h="1" m="1" x="2027"/>
        <item h="1" m="1" x="2802"/>
        <item h="1" m="1" x="3581"/>
        <item h="1" m="1" x="3584"/>
        <item h="1" m="1" x="3493"/>
        <item h="1" m="1" x="3585"/>
        <item h="1" m="1" x="3586"/>
        <item h="1" m="1" x="3587"/>
        <item h="1" m="1" x="3183"/>
        <item h="1" m="1" x="3598"/>
        <item h="1" m="1" x="1205"/>
        <item h="1" m="1" x="1738"/>
        <item h="1" m="1" x="1739"/>
        <item h="1" m="1" x="3605"/>
        <item h="1" m="1" x="3437"/>
        <item h="1" m="1" x="3438"/>
        <item h="1" m="1" x="3195"/>
        <item h="1" m="1" x="776"/>
        <item h="1" m="1" x="3439"/>
        <item h="1" m="1" x="3440"/>
        <item h="1" m="1" x="3441"/>
        <item h="1" m="1" x="3442"/>
        <item h="1" m="1" x="3443"/>
        <item h="1" m="1" x="3444"/>
        <item h="1" m="1" x="3445"/>
        <item h="1" m="1" x="3100"/>
        <item h="1" m="1" x="3446"/>
        <item h="1" m="1" x="3447"/>
        <item h="1" m="1" x="3450"/>
        <item h="1" m="1" x="3451"/>
        <item h="1" m="1" x="3099"/>
        <item h="1" m="1" x="3454"/>
        <item h="1" m="1" x="3455"/>
        <item h="1" m="1" x="3457"/>
        <item h="1" m="1" x="3458"/>
        <item h="1" m="1" x="3460"/>
        <item h="1" m="1" x="3461"/>
        <item h="1" m="1" x="3462"/>
        <item h="1" m="1" x="3463"/>
        <item h="1" x="349"/>
        <item h="1" m="1" x="3236"/>
        <item h="1" m="1" x="3465"/>
        <item h="1" m="1" x="3466"/>
        <item h="1" m="1" x="3467"/>
        <item h="1" m="1" x="3468"/>
        <item h="1" m="1" x="3469"/>
        <item h="1" m="1" x="3470"/>
        <item h="1" m="1" x="3471"/>
        <item h="1" m="1" x="3472"/>
        <item h="1" m="1" x="1250"/>
        <item h="1" m="1" x="2798"/>
        <item h="1" m="1" x="3248"/>
        <item h="1" m="1" x="3254"/>
        <item h="1" m="1" x="3252"/>
        <item h="1" m="1" x="3255"/>
        <item h="1" m="1" x="3257"/>
        <item h="1" m="1" x="3258"/>
        <item h="1" m="1" x="470"/>
        <item h="1" m="1" x="1259"/>
        <item h="1" m="1" x="3423"/>
        <item h="1" m="1" x="3478"/>
        <item h="1" m="1" x="3482"/>
        <item h="1" m="1" x="3483"/>
        <item h="1" m="1" x="3421"/>
        <item h="1" m="1" x="3419"/>
        <item h="1" m="1" x="3425"/>
        <item h="1" m="1" x="3422"/>
        <item h="1" m="1" x="3424"/>
        <item h="1" m="1" x="3484"/>
        <item h="1" m="1" x="3277"/>
        <item h="1" m="1" x="2718"/>
        <item h="1" m="1" x="3279"/>
        <item h="1" m="1" x="3281"/>
        <item h="1" m="1" x="3420"/>
        <item h="1" m="1" x="3289"/>
        <item h="1" m="1" x="3487"/>
        <item h="1" m="1" x="3348"/>
        <item h="1" m="1" x="1853"/>
        <item h="1" m="1" x="3035"/>
        <item h="1" m="1" x="3426"/>
        <item h="1" m="1" x="3040"/>
        <item h="1" m="1" x="3296"/>
        <item h="1" m="1" x="1443"/>
        <item h="1" m="1" x="3488"/>
        <item h="1" m="1" x="3491"/>
        <item h="1" m="1" x="3492"/>
        <item h="1" m="1" x="3307"/>
        <item h="1" m="1" x="3308"/>
        <item h="1" m="1" x="3309"/>
        <item h="1" m="1" x="3310"/>
        <item h="1" m="1" x="3314"/>
        <item h="1" m="1" x="3315"/>
        <item h="1" m="1" x="3319"/>
        <item h="1" m="1" x="3418"/>
        <item h="1" m="1" x="3427"/>
        <item h="1" m="1" x="2049"/>
        <item h="1" m="1" x="3495"/>
        <item h="1" m="1" x="3327"/>
        <item h="1" m="1" x="3339"/>
        <item h="1" m="1" x="3417"/>
        <item h="1" m="1" x="3338"/>
        <item h="1" m="1" x="3331"/>
        <item h="1" m="1" x="3332"/>
        <item h="1" m="1" x="1518"/>
        <item h="1" m="1" x="2040"/>
        <item h="1" m="1" x="1725"/>
        <item h="1" m="1" x="3336"/>
        <item h="1" m="1" x="3400"/>
        <item h="1" m="1" x="3200"/>
        <item h="1" m="1" x="3199"/>
        <item h="1" m="1" x="3344"/>
        <item h="1" m="1" x="3196"/>
        <item h="1" m="1" x="3197"/>
        <item h="1" m="1" x="3198"/>
        <item h="1" m="1" x="3410"/>
        <item h="1" m="1" x="3349"/>
        <item h="1" m="1" x="1141"/>
        <item h="1" m="1" x="3407"/>
        <item h="1" m="1" x="3416"/>
        <item h="1" m="1" x="1441"/>
        <item h="1" m="1" x="3211"/>
        <item h="1" m="1" x="3353"/>
        <item h="1" m="1" x="3352"/>
        <item h="1" m="1" x="3351"/>
        <item h="1" m="1" x="3350"/>
        <item h="1" m="1" x="3212"/>
        <item h="1" m="1" x="3343"/>
        <item h="1" m="1" x="3342"/>
        <item h="1" m="1" x="3341"/>
        <item h="1" m="1" x="3213"/>
        <item h="1" m="1" x="3210"/>
        <item h="1" m="1" x="3209"/>
        <item h="1" m="1" x="3356"/>
        <item h="1" m="1" x="3370"/>
        <item h="1" m="1" x="3380"/>
        <item h="1" m="1" x="3206"/>
        <item h="1" m="1" x="3381"/>
        <item h="1" m="1" x="3208"/>
        <item h="1" m="1" x="2735"/>
        <item h="1" m="1" x="3207"/>
        <item h="1" m="1" x="3390"/>
        <item h="1" m="1" x="3389"/>
        <item h="1" m="1" x="3388"/>
        <item h="1" m="1" x="3386"/>
        <item h="1" m="1" x="3409"/>
        <item h="1" m="1" x="3411"/>
        <item h="1" m="1" x="3203"/>
        <item h="1" m="1" x="3408"/>
        <item h="1" m="1" x="3415"/>
        <item h="1" m="1" x="3414"/>
        <item h="1" m="1" x="3413"/>
        <item h="1" m="1" x="3204"/>
        <item h="1" m="1" x="3401"/>
        <item h="1" m="1" x="3396"/>
        <item h="1" m="1" x="3397"/>
        <item h="1" m="1" x="3205"/>
        <item h="1" m="1" x="3394"/>
        <item h="1" m="1" x="3378"/>
        <item h="1" m="1" x="3379"/>
        <item h="1" m="1" x="3369"/>
        <item h="1" m="1" x="3368"/>
        <item h="1" m="1" x="3374"/>
        <item h="1" m="1" x="3405"/>
        <item h="1" m="1" x="3237"/>
        <item h="1" m="1" x="3241"/>
        <item h="1" m="1" x="3355"/>
        <item h="1" m="1" x="2645"/>
        <item h="1" m="1" x="2315"/>
        <item h="1" m="1" x="3385"/>
        <item h="1" m="1" x="3384"/>
        <item h="1" m="1" x="3256"/>
        <item h="1" m="1" x="3249"/>
        <item h="1" m="1" x="3347"/>
        <item h="1" m="1" x="3250"/>
        <item h="1" m="1" x="1252"/>
        <item h="1" m="1" x="3366"/>
        <item h="1" m="1" x="3264"/>
        <item h="1" m="1" x="3262"/>
        <item h="1" m="1" x="1280"/>
        <item h="1" m="1" x="3404"/>
        <item h="1" m="1" x="3403"/>
        <item h="1" m="1" x="3402"/>
        <item h="1" m="1" x="3361"/>
        <item h="1" m="1" x="2264"/>
        <item h="1" m="1" x="3269"/>
        <item h="1" m="1" x="451"/>
        <item h="1" m="1" x="3358"/>
        <item h="1" m="1" x="1373"/>
        <item h="1" m="1" x="3399"/>
        <item h="1" m="1" x="3382"/>
        <item h="1" m="1" x="3359"/>
        <item h="1" m="1" x="3398"/>
        <item h="1" m="1" x="3367"/>
        <item h="1" m="1" x="2400"/>
        <item h="1" m="1" x="2372"/>
        <item h="1" m="1" x="1391"/>
        <item h="1" m="1" x="3278"/>
        <item h="1" m="1" x="2003"/>
        <item h="1" m="1" x="2647"/>
        <item h="1" m="1" x="3286"/>
        <item h="1" m="1" x="3392"/>
        <item h="1" m="1" x="3282"/>
        <item h="1" m="1" x="3285"/>
        <item h="1" m="1" x="1405"/>
        <item h="1" m="1" x="1404"/>
        <item h="1" m="1" x="553"/>
        <item h="1" m="1" x="3293"/>
        <item h="1" m="1" x="1413"/>
        <item h="1" m="1" x="1668"/>
        <item h="1" m="1" x="2179"/>
        <item h="1" m="1" x="554"/>
        <item h="1" m="1" x="555"/>
        <item h="1" m="1" x="556"/>
        <item h="1" m="1" x="3041"/>
        <item h="1" m="1" x="3412"/>
        <item h="1" m="1" x="2544"/>
        <item h="1" m="1" x="3297"/>
        <item h="1" m="1" x="3171"/>
        <item h="1" m="1" x="3298"/>
        <item h="1" m="1" x="3299"/>
        <item h="1" m="1" x="3300"/>
        <item h="1" m="1" x="3383"/>
        <item h="1" m="1" x="3301"/>
        <item h="1" m="1" x="2800"/>
        <item h="1" m="1" x="3346"/>
        <item h="1" m="1" x="3376"/>
        <item h="1" m="1" x="3375"/>
        <item h="1" m="1" x="3363"/>
        <item h="1" m="1" x="3362"/>
        <item h="1" m="1" x="802"/>
        <item h="1" m="1" x="3313"/>
        <item h="1" m="1" x="3304"/>
        <item h="1" m="1" x="3306"/>
        <item h="1" m="1" x="3320"/>
        <item h="1" m="1" x="3321"/>
        <item h="1" m="1" x="3316"/>
        <item h="1" m="1" x="3393"/>
        <item h="1" m="1" x="3182"/>
        <item h="1" m="1" x="3365"/>
        <item h="1" m="1" x="3364"/>
        <item h="1" m="1" x="1653"/>
        <item h="1" m="1" x="3373"/>
        <item h="1" m="1" x="3335"/>
        <item h="1" m="1" x="3372"/>
        <item h="1" m="1" x="3329"/>
        <item h="1" m="1" x="3330"/>
        <item h="1" m="1" x="2020"/>
        <item h="1" m="1" x="3371"/>
        <item h="1" m="1" x="3328"/>
        <item h="1" m="1" x="3077"/>
        <item h="1" m="1" x="3194"/>
        <item h="1" m="1" x="1524"/>
        <item h="1" m="1" x="1525"/>
        <item h="1" m="1" x="3214"/>
        <item h="1" m="1" x="3215"/>
        <item h="1" m="1" x="3216"/>
        <item h="1" m="1" x="3217"/>
        <item h="1" m="1" x="3219"/>
        <item h="1" m="1" x="3220"/>
        <item h="1" m="1" x="3221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2835"/>
        <item h="1" m="1" x="3235"/>
        <item h="1" m="1" x="3128"/>
        <item h="1" m="1" x="3129"/>
        <item h="1" m="1" x="3238"/>
        <item h="1" m="1" x="3239"/>
        <item h="1" m="1" x="3240"/>
        <item h="1" m="1" x="3242"/>
        <item h="1" m="1" x="3244"/>
        <item h="1" m="1" x="2319"/>
        <item h="1" m="1" x="2318"/>
        <item h="1" m="1" x="3136"/>
        <item h="1" m="1" x="3137"/>
        <item h="1" m="1" x="3135"/>
        <item h="1" m="1" x="534"/>
        <item h="1" m="1" x="3143"/>
        <item h="1" m="1" x="2646"/>
        <item h="1" m="1" x="533"/>
        <item h="1" m="1" x="518"/>
        <item h="1" m="1" x="2799"/>
        <item h="1" m="1" x="2803"/>
        <item h="1" m="1" x="3251"/>
        <item h="1" m="1" x="3253"/>
        <item h="1" m="1" x="3144"/>
        <item h="1" m="1" x="477"/>
        <item h="1" m="1" x="480"/>
        <item h="1" m="1" x="479"/>
        <item h="1" m="1" x="3259"/>
        <item h="1" m="1" x="3260"/>
        <item h="1" m="1" x="2792"/>
        <item h="1" m="1" x="1258"/>
        <item h="1" m="1" x="3261"/>
        <item h="1" m="1" x="3009"/>
        <item h="1" m="1" x="2793"/>
        <item h="1" m="1" x="2794"/>
        <item h="1" m="1" x="3147"/>
        <item h="1" m="1" x="1323"/>
        <item h="1" m="1" x="1322"/>
        <item h="1" m="1" x="1314"/>
        <item h="1" m="1" x="1320"/>
        <item h="1" m="1" x="1321"/>
        <item h="1" m="1" x="1308"/>
        <item h="1" m="1" x="1309"/>
        <item h="1" m="1" x="1334"/>
        <item h="1" m="1" x="1326"/>
        <item h="1" m="1" x="1327"/>
        <item h="1" m="1" x="1325"/>
        <item h="1" m="1" x="1328"/>
        <item h="1" m="1" x="1329"/>
        <item h="1" m="1" x="1324"/>
        <item h="1" m="1" x="1289"/>
        <item h="1" m="1" x="1293"/>
        <item h="1" m="1" x="1290"/>
        <item h="1" m="1" x="1291"/>
        <item h="1" m="1" x="1292"/>
        <item h="1" m="1" x="1294"/>
        <item h="1" m="1" x="1295"/>
        <item h="1" m="1" x="1296"/>
        <item h="1" m="1" x="2795"/>
        <item h="1" m="1" x="3266"/>
        <item h="1" m="1" x="3267"/>
        <item h="1" m="1" x="3268"/>
        <item h="1" m="1" x="1372"/>
        <item h="1" m="1" x="3274"/>
        <item h="1" m="1" x="3275"/>
        <item h="1" m="1" x="3276"/>
        <item h="1" m="1" x="1390"/>
        <item h="1" m="1" x="2171"/>
        <item h="1" m="1" x="2172"/>
        <item h="1" m="1" x="3288"/>
        <item h="1" m="1" x="3290"/>
        <item h="1" m="1" x="3157"/>
        <item h="1" m="1" x="3291"/>
        <item h="1" m="1" x="3292"/>
        <item h="1" m="1" x="1403"/>
        <item h="1" m="1" x="1660"/>
        <item h="1" m="1" x="3294"/>
        <item h="1" m="1" x="1947"/>
        <item h="1" m="1" x="1838"/>
        <item h="1" m="1" x="3164"/>
        <item h="1" m="1" x="3036"/>
        <item h="1" m="1" x="3037"/>
        <item h="1" m="1" x="2545"/>
        <item h="1" m="1" x="3303"/>
        <item h="1" m="1" x="3311"/>
        <item h="1" m="1" x="3312"/>
        <item h="1" m="1" x="3317"/>
        <item h="1" m="1" x="3322"/>
        <item h="1" m="1" x="1720"/>
        <item h="1" m="1" x="1721"/>
        <item h="1" m="1" x="3181"/>
        <item h="1" m="1" x="3185"/>
        <item h="1" m="1" x="3326"/>
        <item h="1" m="1" x="2469"/>
        <item h="1" m="1" x="3334"/>
        <item h="1" m="1" x="3066"/>
        <item h="1" m="1" x="3073"/>
        <item h="1" m="1" x="3074"/>
        <item h="1" m="1" x="3075"/>
        <item h="1" m="1" x="3076"/>
        <item h="1" m="1" x="3078"/>
        <item h="1" m="1" x="3079"/>
        <item h="1" m="1" x="3080"/>
        <item h="1" m="1" x="3081"/>
        <item h="1" m="1" x="3082"/>
        <item h="1" m="1" x="3083"/>
        <item h="1" m="1" x="3085"/>
        <item h="1" m="1" x="3086"/>
        <item h="1" m="1" x="3087"/>
        <item h="1" m="1" x="3089"/>
        <item h="1" m="1" x="3090"/>
        <item h="1" m="1" x="2675"/>
        <item h="1" m="1" x="3091"/>
        <item h="1" m="1" x="3092"/>
        <item h="1" m="1" x="3093"/>
        <item h="1" m="1" x="3094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9"/>
        <item h="1" m="1" x="3110"/>
        <item h="1" m="1" x="3111"/>
        <item h="1" m="1" x="3112"/>
        <item h="1" m="1" x="3113"/>
        <item h="1" m="1" x="3114"/>
        <item h="1" m="1" x="3115"/>
        <item h="1" m="1" x="3116"/>
        <item h="1" m="1" x="3117"/>
        <item h="1" m="1" x="3118"/>
        <item h="1" m="1" x="3119"/>
        <item h="1" m="1" x="3120"/>
        <item h="1" m="1" x="3121"/>
        <item h="1" m="1" x="3123"/>
        <item h="1" m="1" x="3124"/>
        <item h="1" m="1" x="3127"/>
        <item h="1" m="1" x="3131"/>
        <item h="1" m="1" x="1034"/>
        <item h="1" m="1" x="3132"/>
        <item h="1" m="1" x="3133"/>
        <item h="1" m="1" x="3134"/>
        <item h="1" m="1" x="3138"/>
        <item h="1" m="1" x="3139"/>
        <item h="1" m="1" x="3142"/>
        <item h="1" m="1" x="2814"/>
        <item h="1" m="1" x="2998"/>
        <item h="1" m="1" x="2317"/>
        <item h="1" m="1" x="3002"/>
        <item h="1" m="1" x="3145"/>
        <item h="1" m="1" x="3146"/>
        <item h="1" m="1" x="2316"/>
        <item h="1" m="1" x="2807"/>
        <item h="1" m="1" x="2808"/>
        <item h="1" m="1" x="2809"/>
        <item h="1" m="1" x="2810"/>
        <item h="1" m="1" x="3004"/>
        <item h="1" m="1" x="3005"/>
        <item h="1" m="1" x="2811"/>
        <item h="1" m="1" x="1287"/>
        <item h="1" m="1" x="1288"/>
        <item h="1" m="1" x="1284"/>
        <item h="1" m="1" x="1285"/>
        <item h="1" m="1" x="1286"/>
        <item h="1" m="1" x="3149"/>
        <item h="1" m="1" x="3150"/>
        <item h="1" m="1" x="2547"/>
        <item h="1" m="1" x="3151"/>
        <item h="1" m="1" x="3152"/>
        <item h="1" m="1" x="3153"/>
        <item h="1" m="1" x="442"/>
        <item h="1" m="1" x="3154"/>
        <item h="1" m="1" x="3155"/>
        <item h="1" m="1" x="1371"/>
        <item h="1" m="1" x="3020"/>
        <item h="1" m="1" x="3021"/>
        <item h="1" m="1" x="3024"/>
        <item h="1" m="1" x="3156"/>
        <item h="1" m="1" x="2660"/>
        <item h="1" m="1" x="1657"/>
        <item h="1" x="148"/>
        <item h="1" m="1" x="3029"/>
        <item h="1" m="1" x="3030"/>
        <item h="1" m="1" x="3031"/>
        <item h="1" m="1" x="3032"/>
        <item h="1" m="1" x="3162"/>
        <item h="1" m="1" x="1983"/>
        <item h="1" m="1" x="3166"/>
        <item h="1" m="1" x="3167"/>
        <item h="1" m="1" x="3170"/>
        <item h="1" m="1" x="3172"/>
        <item h="1" m="1" x="3174"/>
        <item h="1" m="1" x="3175"/>
        <item h="1" m="1" x="3176"/>
        <item h="1" m="1" x="631"/>
        <item h="1" m="1" x="3058"/>
        <item h="1" m="1" x="2828"/>
        <item h="1" m="1" x="3060"/>
        <item h="1" x="254"/>
        <item h="1" m="1" x="777"/>
        <item h="1" m="1" x="1722"/>
        <item h="1" m="1" x="3186"/>
        <item h="1" m="1" x="3187"/>
        <item h="1" m="1" x="3188"/>
        <item h="1" m="1" x="3189"/>
        <item h="1" m="1" x="3190"/>
        <item h="1" m="1" x="2017"/>
        <item h="1" m="1" x="3072"/>
        <item h="1" m="1" x="1519"/>
        <item h="1" m="1" x="3065"/>
        <item h="1" m="1" x="2823"/>
        <item h="1" m="1" x="3071"/>
        <item h="1" m="1" x="3067"/>
        <item h="1" m="1" x="2279"/>
        <item h="1" m="1" x="2280"/>
        <item h="1" m="1" x="2839"/>
        <item h="1" m="1" x="2932"/>
        <item h="1" m="1" x="749"/>
        <item h="1" m="1" x="2933"/>
        <item h="1" m="1" x="2934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1169"/>
        <item h="1" m="1" x="2556"/>
        <item h="1" m="1" x="2946"/>
        <item h="1" m="1" x="2947"/>
        <item h="1" m="1" x="2948"/>
        <item h="1" m="1" x="2949"/>
        <item h="1" m="1" x="2190"/>
        <item h="1" m="1" x="2191"/>
        <item h="1" m="1" x="1915"/>
        <item h="1" m="1" x="2950"/>
        <item h="1" m="1" x="2656"/>
        <item h="1" m="1" x="2951"/>
        <item h="1" m="1" x="2952"/>
        <item h="1" m="1" x="2677"/>
        <item h="1" m="1" x="2953"/>
        <item h="1" m="1" x="2954"/>
        <item h="1" m="1" x="2955"/>
        <item h="1" m="1" x="2956"/>
        <item h="1" m="1" x="2561"/>
        <item h="1" m="1" x="2957"/>
        <item h="1" m="1" x="2958"/>
        <item h="1" m="1" x="2959"/>
        <item h="1" m="1" x="2960"/>
        <item h="1" m="1" x="2961"/>
        <item h="1" m="1" x="2962"/>
        <item h="1" m="1" x="2964"/>
        <item h="1" m="1" x="2966"/>
        <item h="1" m="1" x="2967"/>
        <item h="1" m="1" x="2968"/>
        <item h="1" m="1" x="2969"/>
        <item h="1" m="1" x="2970"/>
        <item h="1" m="1" x="2971"/>
        <item h="1" m="1" x="2972"/>
        <item h="1" m="1" x="2973"/>
        <item h="1" m="1" x="2974"/>
        <item h="1" m="1" x="2976"/>
        <item h="1" m="1" x="2977"/>
        <item h="1" m="1" x="2832"/>
        <item h="1" m="1" x="2978"/>
        <item h="1" m="1" x="2979"/>
        <item h="1" m="1" x="2833"/>
        <item h="1" m="1" x="2980"/>
        <item h="1" m="1" x="2981"/>
        <item h="1" m="1" x="2982"/>
        <item h="1" m="1" x="2349"/>
        <item h="1" m="1" x="2837"/>
        <item h="1" m="1" x="2836"/>
        <item h="1" m="1" x="2983"/>
        <item h="1" m="1" x="2546"/>
        <item h="1" m="1" x="2984"/>
        <item h="1" m="1" x="2985"/>
        <item h="1" m="1" x="2649"/>
        <item h="1" m="1" x="2986"/>
        <item h="1" m="1" x="2987"/>
        <item h="1" m="1" x="2988"/>
        <item h="1" m="1" x="2989"/>
        <item h="1" m="1" x="1231"/>
        <item h="1" m="1" x="1230"/>
        <item h="1" m="1" x="1229"/>
        <item h="1" m="1" x="2838"/>
        <item h="1" m="1" x="2990"/>
        <item h="1" m="1" x="2991"/>
        <item h="1" m="1" x="1235"/>
        <item h="1" m="1" x="2994"/>
        <item h="1" m="1" x="2996"/>
        <item h="1" m="1" x="2657"/>
        <item h="1" m="1" x="2999"/>
        <item h="1" m="1" x="1544"/>
        <item h="1" m="1" x="3003"/>
        <item h="1" m="1" x="478"/>
        <item h="1" m="1" x="3006"/>
        <item h="1" m="1" x="3007"/>
        <item h="1" m="1" x="3008"/>
        <item h="1" m="1" x="3010"/>
        <item h="1" m="1" x="3011"/>
        <item h="1" m="1" x="2667"/>
        <item h="1" x="129"/>
        <item h="1" m="1" x="3013"/>
        <item h="1" m="1" x="3014"/>
        <item h="1" m="1" x="1331"/>
        <item h="1" m="1" x="1315"/>
        <item h="1" m="1" x="1316"/>
        <item h="1" m="1" x="3015"/>
        <item h="1" m="1" x="2650"/>
        <item h="1" m="1" x="3016"/>
        <item h="1" m="1" x="2805"/>
        <item h="1" m="1" x="3017"/>
        <item h="1" m="1" x="2321"/>
        <item h="1" m="1" x="3018"/>
        <item h="1" m="1" x="3019"/>
        <item h="1" m="1" x="2559"/>
        <item h="1" m="1" x="2840"/>
        <item h="1" m="1" x="3022"/>
        <item h="1" m="1" x="3023"/>
        <item h="1" m="1" x="3025"/>
        <item h="1" m="1" x="2659"/>
        <item h="1" m="1" x="2231"/>
        <item h="1" m="1" x="1400"/>
        <item h="1" m="1" x="3028"/>
        <item h="1" m="1" x="3043"/>
        <item h="1" m="1" x="2178"/>
        <item h="1" m="1" x="3046"/>
        <item h="1" m="1" x="751"/>
        <item h="1" m="1" x="3047"/>
        <item h="1" m="1" x="2815"/>
        <item h="1" m="1" x="3048"/>
        <item h="1" m="1" x="2816"/>
        <item h="1" m="1" x="2817"/>
        <item h="1" m="1" x="1732"/>
        <item h="1" m="1" x="3049"/>
        <item h="1" m="1" x="3050"/>
        <item h="1" m="1" x="3051"/>
        <item h="1" m="1" x="3052"/>
        <item h="1" m="1" x="3053"/>
        <item h="1" m="1" x="3054"/>
        <item h="1" m="1" x="3055"/>
        <item h="1" m="1" x="3056"/>
        <item h="1" m="1" x="3057"/>
        <item h="1" m="1" x="3061"/>
        <item h="1" m="1" x="3062"/>
        <item h="1" m="1" x="2818"/>
        <item h="1" m="1" x="2663"/>
        <item h="1" m="1" x="3063"/>
        <item h="1" m="1" x="2664"/>
        <item h="1" m="1" x="2662"/>
        <item h="1" m="1" x="2661"/>
        <item h="1" m="1" x="2265"/>
        <item h="1" m="1" x="2266"/>
        <item h="1" m="1" x="2821"/>
        <item h="1" m="1" x="1734"/>
        <item h="1" m="1" x="1727"/>
        <item h="1" m="1" x="3068"/>
        <item h="1" m="1" x="3069"/>
        <item h="1" m="1" x="3070"/>
        <item h="1" m="1" x="627"/>
        <item h="1" m="1" x="2224"/>
        <item h="1" m="1" x="500"/>
        <item h="1" m="1" x="1949"/>
        <item h="1" m="1" x="1847"/>
        <item h="1" m="1" x="2654"/>
        <item h="1" m="1" x="1848"/>
        <item h="1" m="1" x="2337"/>
        <item h="1" m="1" x="1850"/>
        <item h="1" m="1" x="2819"/>
        <item h="1" m="1" x="2820"/>
        <item h="1" m="1" x="2824"/>
        <item h="1" m="1" x="2825"/>
        <item h="1" m="1" x="2826"/>
        <item h="1" m="1" x="2827"/>
        <item h="1" m="1" x="2669"/>
        <item h="1" m="1" x="2070"/>
        <item h="1" m="1" x="666"/>
        <item h="1" m="1" x="1416"/>
        <item h="1" m="1" x="1411"/>
        <item h="1" m="1" x="1415"/>
        <item h="1" m="1" x="2829"/>
        <item h="1" m="1" x="2831"/>
        <item h="1" m="1" x="1410"/>
        <item h="1" m="1" x="2499"/>
        <item h="1" m="1" x="2681"/>
        <item h="1" m="1" x="2680"/>
        <item h="1" m="1" x="2834"/>
        <item h="1" m="1" x="766"/>
        <item h="1" m="1" x="1946"/>
        <item h="1" m="1" x="1945"/>
        <item h="1" m="1" x="2205"/>
        <item h="1" m="1" x="2841"/>
        <item h="1" m="1" x="2842"/>
        <item h="1" m="1" x="2843"/>
        <item h="1" m="1" x="1468"/>
        <item h="1" m="1" x="2845"/>
        <item h="1" m="1" x="2846"/>
        <item h="1" m="1" x="2848"/>
        <item h="1" m="1" x="2849"/>
        <item h="1" m="1" x="2325"/>
        <item h="1" m="1" x="2850"/>
        <item h="1" m="1" x="1222"/>
        <item h="1" m="1" x="2851"/>
        <item h="1" m="1" x="2852"/>
        <item h="1" m="1" x="2651"/>
        <item h="1" m="1" x="2853"/>
        <item h="1" m="1" x="2856"/>
        <item h="1" m="1" x="2857"/>
        <item h="1" m="1" x="2858"/>
        <item h="1" m="1" x="2329"/>
        <item h="1" m="1" x="2330"/>
        <item h="1" m="1" x="2331"/>
        <item h="1" m="1" x="2332"/>
        <item h="1" m="1" x="2859"/>
        <item h="1" m="1" x="2334"/>
        <item h="1" m="1" x="2860"/>
        <item h="1" m="1" x="2861"/>
        <item h="1" m="1" x="2655"/>
        <item h="1" m="1" x="2335"/>
        <item h="1" m="1" x="2336"/>
        <item h="1" m="1" x="2862"/>
        <item h="1" m="1" x="2863"/>
        <item h="1" m="1" x="2553"/>
        <item h="1" m="1" x="2554"/>
        <item h="1" m="1" x="2573"/>
        <item h="1" m="1" x="2864"/>
        <item h="1" m="1" x="535"/>
        <item h="1" m="1" x="2865"/>
        <item h="1" m="1" x="2866"/>
        <item h="1" m="1" x="2176"/>
        <item h="1" m="1" x="2867"/>
        <item h="1" m="1" x="2868"/>
        <item h="1" m="1" x="2869"/>
        <item h="1" m="1" x="2870"/>
        <item h="1" m="1" x="2871"/>
        <item h="1" m="1" x="1045"/>
        <item h="1" m="1" x="2873"/>
        <item h="1" m="1" x="2875"/>
        <item h="1" m="1" x="2876"/>
        <item h="1" m="1" x="2877"/>
        <item h="1" m="1" x="2878"/>
        <item h="1" m="1" x="2879"/>
        <item h="1" m="1" x="1674"/>
        <item h="1" m="1" x="2880"/>
        <item h="1" m="1" x="2881"/>
        <item h="1" m="1" x="2882"/>
        <item h="1" m="1" x="2682"/>
        <item h="1" m="1" x="2883"/>
        <item h="1" m="1" x="2884"/>
        <item h="1" m="1" x="2885"/>
        <item h="1" m="1" x="2886"/>
        <item h="1" m="1" x="2887"/>
        <item h="1" m="1" x="2551"/>
        <item h="1" m="1" x="2888"/>
        <item h="1" m="1" x="2668"/>
        <item h="1" m="1" x="2671"/>
        <item h="1" m="1" x="2670"/>
        <item h="1" m="1" x="2558"/>
        <item h="1" m="1" x="2673"/>
        <item h="1" m="1" x="1336"/>
        <item h="1" m="1" x="1227"/>
        <item h="1" m="1" x="1226"/>
        <item h="1" m="1" x="1440"/>
        <item h="1" m="1" x="2676"/>
        <item h="1" m="1" x="2889"/>
        <item h="1" m="1" x="1281"/>
        <item h="1" m="1" x="1282"/>
        <item h="1" m="1" x="1904"/>
        <item h="1" m="1" x="2890"/>
        <item h="1" m="1" x="2892"/>
        <item h="1" m="1" x="2893"/>
        <item h="1" m="1" x="2894"/>
        <item h="1" m="1" x="1283"/>
        <item h="1" m="1" x="2093"/>
        <item h="1" m="1" x="2895"/>
        <item h="1" m="1" x="2286"/>
        <item h="1" m="1" x="1421"/>
        <item h="1" m="1" x="2897"/>
        <item h="1" m="1" x="2102"/>
        <item h="1" m="1" x="2103"/>
        <item h="1" m="1" x="2104"/>
        <item h="1" m="1" x="2106"/>
        <item h="1" m="1" x="2107"/>
        <item h="1" m="1" x="2898"/>
        <item h="1" m="1" x="2899"/>
        <item h="1" m="1" x="2110"/>
        <item h="1" m="1" x="2115"/>
        <item h="1" m="1" x="2113"/>
        <item h="1" m="1" x="2114"/>
        <item h="1" m="1" x="2111"/>
        <item h="1" m="1" x="2112"/>
        <item h="1" m="1" x="2900"/>
        <item h="1" m="1" x="2562"/>
        <item h="1" m="1" x="2901"/>
        <item h="1" m="1" x="2902"/>
        <item h="1" m="1" x="2903"/>
        <item h="1" m="1" x="2904"/>
        <item h="1" m="1" x="2905"/>
        <item h="1" m="1" x="2679"/>
        <item h="1" m="1" x="2678"/>
        <item h="1" m="1" x="2906"/>
        <item h="1" m="1" x="2131"/>
        <item h="1" m="1" x="2907"/>
        <item h="1" m="1" x="2350"/>
        <item h="1" m="1" x="2352"/>
        <item h="1" m="1" x="2351"/>
        <item h="1" m="1" x="2775"/>
        <item h="1" m="1" x="2910"/>
        <item h="1" m="1" x="1562"/>
        <item h="1" m="1" x="2912"/>
        <item h="1" m="1" x="2913"/>
        <item h="1" m="1" x="2914"/>
        <item h="1" m="1" x="2915"/>
        <item h="1" m="1" x="2916"/>
        <item h="1" m="1" x="2918"/>
        <item h="1" m="1" x="1350"/>
        <item h="1" m="1" x="2919"/>
        <item h="1" m="1" x="2920"/>
        <item h="1" m="1" x="2921"/>
        <item h="1" m="1" x="2922"/>
        <item h="1" m="1" x="2923"/>
        <item h="1" m="1" x="2924"/>
        <item h="1" m="1" x="2765"/>
        <item h="1" m="1" x="2925"/>
        <item h="1" m="1" x="2926"/>
        <item h="1" m="1" x="2927"/>
        <item h="1" m="1" x="2928"/>
        <item h="1" m="1" x="2930"/>
        <item h="1" m="1" x="2931"/>
        <item h="1" m="1" x="947"/>
        <item h="1" m="1" x="2672"/>
        <item h="1" m="1" x="2683"/>
        <item h="1" m="1" x="2685"/>
        <item h="1" m="1" x="452"/>
        <item h="1" m="1" x="2686"/>
        <item h="1" m="1" x="2687"/>
        <item h="1" m="1" x="2688"/>
        <item h="1" m="1" x="2548"/>
        <item h="1" m="1" x="2689"/>
        <item h="1" m="1" x="2500"/>
        <item h="1" m="1" x="501"/>
        <item h="1" m="1" x="2691"/>
        <item h="1" m="1" x="2693"/>
        <item h="1" m="1" x="2694"/>
        <item h="1" m="1" x="2695"/>
        <item h="1" m="1" x="2220"/>
        <item h="1" m="1" x="2697"/>
        <item h="1" m="1" x="2698"/>
        <item h="1" m="1" x="2699"/>
        <item h="1" m="1" x="2700"/>
        <item h="1" m="1" x="2702"/>
        <item h="1" m="1" x="2549"/>
        <item h="1" m="1" x="2582"/>
        <item h="1" m="1" x="2338"/>
        <item h="1" m="1" x="2703"/>
        <item h="1" m="1" x="2704"/>
        <item h="1" m="1" x="2705"/>
        <item h="1" m="1" x="2706"/>
        <item h="1" m="1" x="2707"/>
        <item h="1" m="1" x="2708"/>
        <item h="1" m="1" x="2709"/>
        <item h="1" m="1" x="2355"/>
        <item h="1" m="1" x="1036"/>
        <item h="1" m="1" x="2710"/>
        <item h="1" m="1" x="2339"/>
        <item h="1" m="1" x="2713"/>
        <item h="1" m="1" x="545"/>
        <item h="1" m="1" x="2714"/>
        <item h="1" m="1" x="547"/>
        <item h="1" m="1" x="2340"/>
        <item h="1" m="1" x="2715"/>
        <item h="1" m="1" x="2716"/>
        <item h="1" m="1" x="2552"/>
        <item h="1" m="1" x="1115"/>
        <item h="1" m="1" x="1699"/>
        <item h="1" m="1" x="2243"/>
        <item h="1" m="1" x="2719"/>
        <item h="1" m="1" x="2720"/>
        <item h="1" m="1" x="2721"/>
        <item h="1" m="1" x="2722"/>
        <item h="1" m="1" x="2723"/>
        <item h="1" m="1" x="2725"/>
        <item h="1" m="1" x="2347"/>
        <item h="1" m="1" x="2726"/>
        <item h="1" m="1" x="1577"/>
        <item h="1" m="1" x="2727"/>
        <item h="1" m="1" x="1362"/>
        <item h="1" m="1" x="2729"/>
        <item h="1" m="1" x="2557"/>
        <item h="1" m="1" x="2730"/>
        <item h="1" m="1" x="2731"/>
        <item h="1" m="1" x="1348"/>
        <item h="1" m="1" x="1349"/>
        <item h="1" m="1" x="2732"/>
        <item h="1" m="1" x="2733"/>
        <item h="1" m="1" x="2734"/>
        <item h="1" m="1" x="2736"/>
        <item h="1" m="1" x="2737"/>
        <item h="1" m="1" x="2738"/>
        <item h="1" m="1" x="2560"/>
        <item h="1" m="1" x="2739"/>
        <item h="1" m="1" x="2740"/>
        <item h="1" m="1" x="2741"/>
        <item h="1" m="1" x="675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705"/>
        <item h="1" m="1" x="1275"/>
        <item h="1" m="1" x="1508"/>
        <item h="1" m="1" x="2750"/>
        <item h="1" m="1" x="737"/>
        <item h="1" m="1" x="2752"/>
        <item h="1" m="1" x="2753"/>
        <item h="1" m="1" x="2754"/>
        <item h="1" m="1" x="2755"/>
        <item h="1" m="1" x="2756"/>
        <item h="1" m="1" x="2757"/>
        <item h="1" m="1" x="2758"/>
        <item h="1" m="1" x="2759"/>
        <item h="1" m="1" x="2563"/>
        <item h="1" m="1" x="2760"/>
        <item h="1" m="1" x="2569"/>
        <item h="1" m="1" x="2761"/>
        <item h="1" m="1" x="2762"/>
        <item h="1" m="1" x="2564"/>
        <item h="1" m="1" x="2763"/>
        <item h="1" m="1" x="2764"/>
        <item h="1" m="1" x="2565"/>
        <item h="1" m="1" x="2626"/>
        <item h="1" m="1" x="2567"/>
        <item h="1" m="1" x="2568"/>
        <item h="1" m="1" x="2570"/>
        <item h="1" m="1" x="768"/>
        <item h="1" m="1" x="2572"/>
        <item h="1" m="1" x="2766"/>
        <item h="1" m="1" x="2767"/>
        <item h="1" m="1" x="2768"/>
        <item h="1" m="1" x="2769"/>
        <item h="1" m="1" x="2770"/>
        <item h="1" m="1" x="2771"/>
        <item h="1" m="1" x="2772"/>
        <item h="1" m="1" x="2773"/>
        <item h="1" m="1" x="2774"/>
        <item h="1" m="1" x="2574"/>
        <item h="1" m="1" x="2776"/>
        <item h="1" m="1" x="2777"/>
        <item h="1" m="1" x="2778"/>
        <item h="1" m="1" x="2630"/>
        <item h="1" m="1" x="487"/>
        <item h="1" m="1" x="2505"/>
        <item h="1" m="1" x="1957"/>
        <item h="1" m="1" x="2326"/>
        <item h="1" m="1" x="2216"/>
        <item h="1" m="1" x="2576"/>
        <item h="1" m="1" x="2388"/>
        <item h="1" m="1" x="2577"/>
        <item h="1" m="1" x="506"/>
        <item h="1" m="1" x="2333"/>
        <item h="1" m="1" x="1986"/>
        <item h="1" m="1" x="2578"/>
        <item h="1" m="1" x="2579"/>
        <item h="1" m="1" x="2581"/>
        <item h="1" m="1" x="2583"/>
        <item h="1" m="1" x="2584"/>
        <item h="1" m="1" x="2507"/>
        <item h="1" m="1" x="2508"/>
        <item h="1" m="1" x="2585"/>
        <item h="1" m="1" x="2239"/>
        <item h="1" m="1" x="2341"/>
        <item h="1" m="1" x="2342"/>
        <item h="1" m="1" x="2007"/>
        <item h="1" m="1" x="2587"/>
        <item h="1" m="1" x="1099"/>
        <item h="1" m="1" x="2344"/>
        <item h="1" m="1" x="2588"/>
        <item h="1" m="1" x="2345"/>
        <item h="1" m="1" x="2346"/>
        <item h="1" m="1" x="2401"/>
        <item h="1" m="1" x="2245"/>
        <item h="1" m="1" x="2246"/>
        <item h="1" m="1" x="2247"/>
        <item h="1" m="1" x="2501"/>
        <item h="1" m="1" x="2413"/>
        <item h="1" m="1" x="630"/>
        <item h="1" m="1" x="2348"/>
        <item h="1" m="1" x="2416"/>
        <item h="1" m="1" x="2589"/>
        <item h="1" m="1" x="2590"/>
        <item h="1" m="1" x="2591"/>
        <item h="1" m="1" x="2592"/>
        <item h="1" m="1" x="2593"/>
        <item h="1" m="1" x="2595"/>
        <item h="1" m="1" x="2596"/>
        <item h="1" m="1" x="2597"/>
        <item h="1" m="1" x="2598"/>
        <item h="1" m="1" x="1360"/>
        <item h="1" m="1" x="2599"/>
        <item h="1" m="1" x="2600"/>
        <item h="1" m="1" x="2601"/>
        <item h="1" m="1" x="2602"/>
        <item h="1" m="1" x="2603"/>
        <item h="1" m="1" x="2605"/>
        <item h="1" m="1" x="2606"/>
        <item h="1" m="1" x="2502"/>
        <item h="1" m="1" x="2607"/>
        <item h="1" m="1" x="2518"/>
        <item h="1" m="1" x="1242"/>
        <item h="1" m="1" x="2608"/>
        <item h="1" m="1" x="2519"/>
        <item h="1" m="1" x="2610"/>
        <item h="1" m="1" x="2611"/>
        <item h="1" m="1" x="2108"/>
        <item h="1" m="1" x="2612"/>
        <item h="1" m="1" x="2613"/>
        <item h="1" m="1" x="2185"/>
        <item h="1" m="1" x="2614"/>
        <item h="1" m="1" x="2615"/>
        <item h="1" m="1" x="1920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7"/>
        <item h="1" m="1" x="2628"/>
        <item h="1" m="1" x="2629"/>
        <item h="1" m="1" x="2631"/>
        <item h="1" m="1" x="2353"/>
        <item h="1" m="1" x="2088"/>
        <item h="1" m="1" x="2503"/>
        <item h="1" m="1" x="2206"/>
        <item h="1" m="1" x="2354"/>
        <item h="1" m="1" x="2356"/>
        <item h="1" m="1" x="927"/>
        <item h="1" m="1" x="2357"/>
        <item h="1" m="1" x="1646"/>
        <item h="1" m="1" x="1511"/>
        <item h="1" m="1" x="2210"/>
        <item h="1" m="1" x="2363"/>
        <item h="1" m="1" x="1255"/>
        <item h="1" m="1" x="1256"/>
        <item h="1" m="1" x="1257"/>
        <item h="1" m="1" x="502"/>
        <item h="1" m="1" x="2387"/>
        <item h="1" m="1" x="1234"/>
        <item h="1" m="1" x="2391"/>
        <item h="1" m="1" x="2506"/>
        <item h="1" m="1" x="2370"/>
        <item h="1" m="1" x="537"/>
        <item h="1" m="1" x="2229"/>
        <item h="1" m="1" x="2381"/>
        <item h="1" m="1" x="2378"/>
        <item h="1" m="1" x="2379"/>
        <item h="1" m="1" x="2380"/>
        <item h="1" m="1" x="2509"/>
        <item h="1" m="1" x="2382"/>
        <item h="1" m="1" x="2383"/>
        <item h="1" m="1" x="2384"/>
        <item h="1" m="1" x="2385"/>
        <item h="1" m="1" x="2396"/>
        <item h="1" m="1" x="2399"/>
        <item h="1" m="1" x="2402"/>
        <item h="1" m="1" x="2403"/>
        <item h="1" m="1" x="2404"/>
        <item h="1" m="1" x="2405"/>
        <item h="1" m="1" x="2407"/>
        <item h="1" m="1" x="2249"/>
        <item h="1" m="1" x="2409"/>
        <item h="1" m="1" x="2510"/>
        <item h="1" m="1" x="2414"/>
        <item h="1" m="1" x="2479"/>
        <item h="1" m="1" x="2420"/>
        <item h="1" m="1" x="2421"/>
        <item h="1" m="1" x="2418"/>
        <item h="1" m="1" x="2419"/>
        <item h="1" m="1" x="2422"/>
        <item h="1" m="1" x="2511"/>
        <item h="1" m="1" x="1357"/>
        <item h="1" m="1" x="2423"/>
        <item h="1" m="1" x="2512"/>
        <item h="1" m="1" x="2513"/>
        <item h="1" m="1" x="2514"/>
        <item h="1" m="1" x="2259"/>
        <item h="1" m="1" x="1786"/>
        <item h="1" m="1" x="2516"/>
        <item h="1" m="1" x="2517"/>
        <item h="1" m="1" x="1319"/>
        <item h="1" m="1" x="1318"/>
        <item h="1" m="1" x="2520"/>
        <item h="1" m="1" x="2521"/>
        <item h="1" m="1" x="2522"/>
        <item h="1" m="1" x="2523"/>
        <item h="1" m="1" x="2524"/>
        <item h="1" m="1" x="2525"/>
        <item h="1" m="1" x="2526"/>
        <item h="1" m="1" x="2527"/>
        <item h="1" m="1" x="2528"/>
        <item h="1" m="1" x="1353"/>
        <item h="1" m="1" x="1354"/>
        <item h="1" m="1" x="1376"/>
        <item h="1" m="1" x="2529"/>
        <item h="1" m="1" x="2530"/>
        <item h="1" m="1" x="2531"/>
        <item h="1" m="1" x="2450"/>
        <item h="1" m="1" x="2532"/>
        <item h="1" m="1" x="2533"/>
        <item h="1" m="1" x="2534"/>
        <item h="1" m="1" x="2535"/>
        <item h="1" m="1" x="2536"/>
        <item h="1" m="1" x="2537"/>
        <item h="1" m="1" x="2538"/>
        <item h="1" m="1" x="2539"/>
        <item h="1" m="1" x="774"/>
        <item h="1" m="1" x="2313"/>
        <item h="1" m="1" x="2540"/>
        <item h="1" m="1" x="2541"/>
        <item h="1" x="13"/>
        <item h="1" m="1" x="2359"/>
        <item h="1" m="1" x="2360"/>
        <item h="1" m="1" x="2361"/>
        <item h="1" m="1" x="2365"/>
        <item h="1" x="49"/>
        <item h="1" m="1" x="2366"/>
        <item h="1" m="1" x="2367"/>
        <item h="1" m="1" x="2368"/>
        <item h="1" m="1" x="2369"/>
        <item h="1" m="1" x="2241"/>
        <item h="1" m="1" x="2373"/>
        <item h="1" m="1" x="2374"/>
        <item h="1" m="1" x="2170"/>
        <item h="1" m="1" x="2375"/>
        <item h="1" m="1" x="2233"/>
        <item h="1" m="1" x="2386"/>
        <item h="1" m="1" x="2394"/>
        <item h="1" m="1" x="2397"/>
        <item h="1" m="1" x="2408"/>
        <item h="1" m="1" x="1991"/>
        <item h="1" m="1" x="2411"/>
        <item h="1" m="1" x="1666"/>
        <item h="1" m="1" x="2412"/>
        <item h="1" m="1" x="2415"/>
        <item h="1" m="1" x="1183"/>
        <item h="1" m="1" x="812"/>
        <item h="1" m="1" x="2253"/>
        <item h="1" m="1" x="2426"/>
        <item h="1" m="1" x="2427"/>
        <item h="1" m="1" x="2428"/>
        <item h="1" m="1" x="2429"/>
        <item h="1" m="1" x="2430"/>
        <item h="1" m="1" x="2269"/>
        <item h="1" m="1" x="2431"/>
        <item h="1" m="1" x="2432"/>
        <item h="1" m="1" x="2433"/>
        <item h="1" m="1" x="2434"/>
        <item h="1" m="1" x="2435"/>
        <item h="1" m="1" x="1497"/>
        <item h="1" m="1" x="1418"/>
        <item h="1" m="1" x="2436"/>
        <item h="1" m="1" x="2437"/>
        <item h="1" m="1" x="2438"/>
        <item h="1" m="1" x="1167"/>
        <item h="1" m="1" x="2439"/>
        <item h="1" m="1" x="2440"/>
        <item h="1" m="1" x="2441"/>
        <item h="1" m="1" x="2442"/>
        <item h="1" m="1" x="2443"/>
        <item h="1" m="1" x="2444"/>
        <item h="1" m="1" x="2445"/>
        <item h="1" m="1" x="994"/>
        <item h="1" m="1" x="2446"/>
        <item h="1" m="1" x="2447"/>
        <item h="1" m="1" x="2448"/>
        <item h="1" m="1" x="2449"/>
        <item h="1" m="1" x="2451"/>
        <item h="1" m="1" x="2452"/>
        <item h="1" m="1" x="2453"/>
        <item h="1" m="1" x="2454"/>
        <item h="1" m="1" x="2455"/>
        <item h="1" m="1" x="1052"/>
        <item h="1" m="1" x="2456"/>
        <item h="1" m="1" x="757"/>
        <item h="1" m="1" x="483"/>
        <item h="1" m="1" x="2457"/>
        <item h="1" m="1" x="2458"/>
        <item h="1" m="1" x="2459"/>
        <item h="1" m="1" x="2460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1740"/>
        <item h="1" m="1" x="2470"/>
        <item h="1" m="1" x="2471"/>
        <item h="1" m="1" x="2472"/>
        <item h="1" m="1" x="2473"/>
        <item h="1" m="1" x="2474"/>
        <item h="1" m="1" x="2475"/>
        <item h="1" m="1" x="2476"/>
        <item h="1" m="1" x="2477"/>
        <item h="1" m="1" x="2478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2080"/>
        <item h="1" m="1" x="2488"/>
        <item h="1" m="1" x="2489"/>
        <item h="1" m="1" x="2490"/>
        <item h="1" m="1" x="2491"/>
        <item h="1" m="1" x="1425"/>
        <item h="1" m="1" x="1426"/>
        <item h="1" m="1" x="2492"/>
        <item h="1" m="1" x="1408"/>
        <item h="1" m="1" x="1423"/>
        <item h="1" m="1" x="2095"/>
        <item h="1" m="1" x="1446"/>
        <item h="1" m="1" x="1472"/>
        <item h="1" m="1" x="1356"/>
        <item h="1" m="1" x="2493"/>
        <item h="1" x="397"/>
        <item h="1" m="1" x="2494"/>
        <item h="1" m="1" x="2495"/>
        <item h="1" m="1" x="2496"/>
        <item h="1" m="1" x="2497"/>
        <item h="1" m="1" x="1122"/>
        <item h="1" m="1" x="2498"/>
        <item h="1" m="1" x="2141"/>
        <item h="1" m="1" x="1950"/>
        <item h="1" m="1" x="2207"/>
        <item h="1" m="1" x="2208"/>
        <item h="1" m="1" x="2209"/>
        <item h="1" m="1" x="1954"/>
        <item h="1" m="1" x="2143"/>
        <item h="1" m="1" x="2144"/>
        <item h="1" m="1" x="1956"/>
        <item h="1" m="1" x="2211"/>
        <item h="1" m="1" x="2212"/>
        <item h="1" m="1" x="2213"/>
        <item h="1" m="1" x="1968"/>
        <item h="1" m="1" x="944"/>
        <item h="1" x="48"/>
        <item h="1" m="1" x="2215"/>
        <item h="1" m="1" x="1795"/>
        <item h="1" m="1" x="1977"/>
        <item h="1" x="74"/>
        <item h="1" m="1" x="1625"/>
        <item h="1" m="1" x="2217"/>
        <item h="1" x="68"/>
        <item h="1" m="1" x="2140"/>
        <item h="1" m="1" x="2218"/>
        <item h="1" m="1" x="2219"/>
        <item h="1" m="1" x="2221"/>
        <item h="1" m="1" x="2152"/>
        <item h="1" m="1" x="2153"/>
        <item h="1" m="1" x="2154"/>
        <item h="1" m="1" x="2155"/>
        <item h="1" m="1" x="1985"/>
        <item h="1" m="1" x="1667"/>
        <item h="1" m="1" x="1988"/>
        <item h="1" m="1" x="2225"/>
        <item h="1" m="1" x="2226"/>
        <item h="1" m="1" x="1806"/>
        <item h="1" m="1" x="2159"/>
        <item h="1" m="1" x="1805"/>
        <item h="1" m="1" x="2142"/>
        <item h="1" m="1" x="1992"/>
        <item h="1" m="1" x="2161"/>
        <item h="1" m="1" x="2005"/>
        <item h="1" m="1" x="2001"/>
        <item h="1" m="1" x="2002"/>
        <item h="1" m="1" x="2227"/>
        <item h="1" m="1" x="2228"/>
        <item h="1" m="1" x="2235"/>
        <item h="1" m="1" x="2236"/>
        <item h="1" m="1" x="2238"/>
        <item h="1" x="198"/>
        <item h="1" m="1" x="2162"/>
        <item h="1" m="1" x="2240"/>
        <item h="1" m="1" x="1861"/>
        <item h="1" m="1" x="1628"/>
        <item h="1" m="1" x="2177"/>
        <item h="1" m="1" x="1999"/>
        <item h="1" m="1" x="572"/>
        <item h="1" m="1" x="2016"/>
        <item h="1" m="1" x="2019"/>
        <item h="1" m="1" x="2022"/>
        <item h="1" m="1" x="1695"/>
        <item h="1" m="1" x="2023"/>
        <item h="1" m="1" x="2244"/>
        <item h="1" m="1" x="2248"/>
        <item h="1" m="1" x="2250"/>
        <item h="1" m="1" x="1246"/>
        <item h="1" m="1" x="1718"/>
        <item h="1" m="1" x="2031"/>
        <item h="1" m="1" x="2047"/>
        <item h="1" m="1" x="2045"/>
        <item h="1" m="1" x="2251"/>
        <item h="1" m="1" x="2046"/>
        <item h="1" m="1" x="2043"/>
        <item h="1" m="1" x="1027"/>
        <item h="1" m="1" x="1498"/>
        <item h="1" m="1" x="1505"/>
        <item h="1" m="1" x="1506"/>
        <item h="1" m="1" x="1499"/>
        <item h="1" m="1" x="1500"/>
        <item h="1" m="1" x="1501"/>
        <item h="1" m="1" x="2252"/>
        <item h="1" m="1" x="2061"/>
        <item h="1" m="1" x="1639"/>
        <item h="1" m="1" x="2254"/>
        <item h="1" m="1" x="2255"/>
        <item h="1" m="1" x="2256"/>
        <item h="1" m="1" x="2257"/>
        <item h="1" m="1" x="2260"/>
        <item h="1" m="1" x="2261"/>
        <item h="1" m="1" x="2262"/>
        <item h="1" m="1" x="1458"/>
        <item h="1" m="1" x="2263"/>
        <item h="1" m="1" x="2184"/>
        <item h="1" m="1" x="1311"/>
        <item h="1" m="1" x="1504"/>
        <item h="1" m="1" x="1507"/>
        <item h="1" m="1" x="2267"/>
        <item h="1" m="1" x="2268"/>
        <item h="1" m="1" x="1509"/>
        <item h="1" m="1" x="2270"/>
        <item h="1" m="1" x="1173"/>
        <item h="1" m="1" x="2271"/>
        <item h="1" m="1" x="2272"/>
        <item h="1" m="1" x="2273"/>
        <item h="1" m="1" x="2274"/>
        <item h="1" m="1" x="2275"/>
        <item h="1" m="1" x="2276"/>
        <item h="1" m="1" x="1797"/>
        <item h="1" m="1" x="2277"/>
        <item h="1" m="1" x="2278"/>
        <item h="1" m="1" x="2281"/>
        <item h="1" m="1" x="663"/>
        <item h="1" m="1" x="2282"/>
        <item h="1" m="1" x="2283"/>
        <item h="1" m="1" x="1435"/>
        <item h="1" m="1" x="2284"/>
        <item h="1" m="1" x="2285"/>
        <item h="1" m="1" x="1444"/>
        <item h="1" m="1" x="1424"/>
        <item h="1" m="1" x="1807"/>
        <item h="1" m="1" x="2287"/>
        <item h="1" m="1" x="1422"/>
        <item h="1" m="1" x="1808"/>
        <item h="1" m="1" x="2096"/>
        <item h="1" m="1" x="2288"/>
        <item h="1" m="1" x="1671"/>
        <item h="1" m="1" x="2289"/>
        <item h="1" m="1" x="1447"/>
        <item h="1" m="1" x="2290"/>
        <item h="1" m="1" x="2291"/>
        <item h="1" m="1" x="2292"/>
        <item h="1" m="1" x="2293"/>
        <item h="1" m="1" x="1313"/>
        <item h="1" m="1" x="2294"/>
        <item h="1" m="1" x="1483"/>
        <item h="1" x="375"/>
        <item h="1" x="376"/>
        <item h="1" m="1" x="1433"/>
        <item h="1" m="1" x="1430"/>
        <item h="1" m="1" x="2295"/>
        <item h="1" m="1" x="2296"/>
        <item h="1" m="1" x="1182"/>
        <item h="1" m="1" x="1312"/>
        <item h="1" m="1" x="1121"/>
        <item h="1" m="1" x="2199"/>
        <item h="1" m="1" x="2297"/>
        <item h="1" m="1" x="1791"/>
        <item h="1" m="1" x="1374"/>
        <item h="1" m="1" x="2298"/>
        <item h="1" m="1" x="2300"/>
        <item h="1" m="1" x="2301"/>
        <item h="1" m="1" x="1059"/>
        <item h="1" m="1" x="2302"/>
        <item h="1" m="1" x="2303"/>
        <item h="1" m="1" x="2304"/>
        <item h="1" m="1" x="2305"/>
        <item h="1" m="1" x="1355"/>
        <item h="1" m="1" x="2307"/>
        <item h="1" m="1" x="2308"/>
        <item h="1" m="1" x="2309"/>
        <item h="1" m="1" x="2310"/>
        <item h="1" m="1" x="2311"/>
        <item h="1" m="1" x="1347"/>
        <item h="1" m="1" x="2312"/>
        <item h="1" x="412"/>
        <item h="1" m="1" x="1310"/>
        <item h="1" m="1" x="1936"/>
        <item h="1" m="1" x="1789"/>
        <item h="1" m="1" x="1943"/>
        <item h="1" m="1" x="1790"/>
        <item h="1" m="1" x="1787"/>
        <item h="1" m="1" x="791"/>
        <item h="1" m="1" x="1953"/>
        <item h="1" m="1" x="1826"/>
        <item h="1" m="1" x="1955"/>
        <item h="1" x="25"/>
        <item h="1" m="1" x="2145"/>
        <item h="1" m="1" x="1959"/>
        <item h="1" m="1" x="1958"/>
        <item h="1" m="1" x="1967"/>
        <item h="1" m="1" x="1969"/>
        <item h="1" m="1" x="2147"/>
        <item h="1" m="1" x="1974"/>
        <item h="1" m="1" x="1976"/>
        <item h="1" m="1" x="1626"/>
        <item h="1" m="1" x="1032"/>
        <item h="1" x="432"/>
        <item h="1" x="75"/>
        <item h="1" m="1" x="1979"/>
        <item h="1" m="1" x="1987"/>
        <item h="1" m="1" x="1842"/>
        <item h="1" m="1" x="1843"/>
        <item h="1" m="1" x="2157"/>
        <item h="1" m="1" x="2158"/>
        <item h="1" m="1" x="1993"/>
        <item h="1" m="1" x="2160"/>
        <item h="1" m="1" x="1865"/>
        <item h="1" m="1" x="2163"/>
        <item h="1" m="1" x="2164"/>
        <item h="1" m="1" x="2165"/>
        <item h="1" m="1" x="2166"/>
        <item h="1" m="1" x="1041"/>
        <item h="1" m="1" x="1998"/>
        <item h="1" m="1" x="2000"/>
        <item h="1" m="1" x="2167"/>
        <item h="1" m="1" x="2168"/>
        <item h="1" m="1" x="2169"/>
        <item h="1" m="1" x="2004"/>
        <item h="1" x="181"/>
        <item h="1" m="1" x="2014"/>
        <item h="1" m="1" x="2009"/>
        <item h="1" m="1" x="2011"/>
        <item h="1" x="201"/>
        <item h="1" m="1" x="2013"/>
        <item h="1" x="52"/>
        <item h="1" m="1" x="2021"/>
        <item h="1" m="1" x="1571"/>
        <item h="1" m="1" x="2025"/>
        <item h="1" m="1" x="2028"/>
        <item h="1" m="1" x="2034"/>
        <item h="1" m="1" x="2035"/>
        <item h="1" m="1" x="1729"/>
        <item h="1" x="268"/>
        <item h="1" m="1" x="1714"/>
        <item h="1" m="1" x="2052"/>
        <item h="1" m="1" x="2053"/>
        <item h="1" m="1" x="2044"/>
        <item h="1" x="310"/>
        <item h="1" m="1" x="2055"/>
        <item h="1" m="1" x="2056"/>
        <item h="1" m="1" x="2057"/>
        <item h="1" m="1" x="2058"/>
        <item h="1" m="1" x="2059"/>
        <item h="1" m="1" x="2066"/>
        <item h="1" m="1" x="2069"/>
        <item h="1" m="1" x="2181"/>
        <item h="1" m="1" x="2062"/>
        <item h="1" m="1" x="2183"/>
        <item h="1" x="333"/>
        <item h="1" m="1" x="2090"/>
        <item h="1" m="1" x="2186"/>
        <item h="1" m="1" x="1277"/>
        <item h="1" m="1" x="2187"/>
        <item h="1" m="1" x="2075"/>
        <item h="1" m="1" x="2188"/>
        <item h="1" m="1" x="2078"/>
        <item h="1" m="1" x="2189"/>
        <item h="1" m="1" x="1333"/>
        <item h="1" m="1" x="2192"/>
        <item h="1" m="1" x="2193"/>
        <item h="1" m="1" x="1305"/>
        <item h="1" m="1" x="2195"/>
        <item h="1" m="1" x="1332"/>
        <item h="1" m="1" x="2196"/>
        <item h="1" m="1" x="1298"/>
        <item h="1" m="1" x="2197"/>
        <item h="1" m="1" x="2198"/>
        <item h="1" m="1" x="1300"/>
        <item h="1" m="1" x="1303"/>
        <item h="1" m="1" x="1306"/>
        <item h="1" m="1" x="1304"/>
        <item h="1" m="1" x="1307"/>
        <item h="1" m="1" x="1299"/>
        <item h="1" m="1" x="1302"/>
        <item h="1" m="1" x="1301"/>
        <item h="1" m="1" x="1719"/>
        <item h="1" m="1" x="2125"/>
        <item h="1" m="1" x="2200"/>
        <item h="1" m="1" x="2127"/>
        <item h="1" m="1" x="2122"/>
        <item h="1" m="1" x="1925"/>
        <item h="1" m="1" x="2119"/>
        <item h="1" m="1" x="1297"/>
        <item h="1" m="1" x="2201"/>
        <item h="1" m="1" x="2203"/>
        <item h="1" m="1" x="2138"/>
        <item h="1" m="1" x="1951"/>
        <item h="1" m="1" x="1952"/>
        <item h="1" m="1" x="1057"/>
        <item h="1" m="1" x="1056"/>
        <item h="1" m="1" x="1960"/>
        <item h="1" m="1" x="1961"/>
        <item h="1" m="1" x="1962"/>
        <item h="1" m="1" x="1963"/>
        <item h="1" m="1" x="1964"/>
        <item h="1" m="1" x="473"/>
        <item h="1" m="1" x="1641"/>
        <item h="1" m="1" x="1966"/>
        <item h="1" m="1" x="1970"/>
        <item h="1" m="1" x="1971"/>
        <item h="1" m="1" x="1973"/>
        <item h="1" x="60"/>
        <item h="1" x="61"/>
        <item h="1" m="1" x="1975"/>
        <item h="1" m="1" x="1840"/>
        <item h="1" m="1" x="1984"/>
        <item h="1" m="1" x="1994"/>
        <item h="1" m="1" x="1995"/>
        <item h="1" m="1" x="1996"/>
        <item h="1" m="1" x="1867"/>
        <item h="1" m="1" x="2006"/>
        <item h="1" m="1" x="2012"/>
        <item h="1" m="1" x="2015"/>
        <item h="1" m="1" x="2018"/>
        <item h="1" m="1" x="586"/>
        <item h="1" m="1" x="1874"/>
        <item h="1" m="1" x="2024"/>
        <item h="1" m="1" x="2026"/>
        <item h="1" m="1" x="2032"/>
        <item h="1" m="1" x="2033"/>
        <item h="1" m="1" x="1878"/>
        <item h="1" m="1" x="2036"/>
        <item h="1" m="1" x="2037"/>
        <item h="1" m="1" x="1879"/>
        <item h="1" m="1" x="2038"/>
        <item h="1" m="1" x="2039"/>
        <item h="1" m="1" x="1877"/>
        <item h="1" m="1" x="2041"/>
        <item h="1" m="1" x="2048"/>
        <item h="1" m="1" x="2051"/>
        <item h="1" m="1" x="2054"/>
        <item h="1" m="1" x="1463"/>
        <item h="1" m="1" x="1662"/>
        <item h="1" m="1" x="2060"/>
        <item h="1" m="1" x="1888"/>
        <item h="1" m="1" x="2063"/>
        <item h="1" m="1" x="2064"/>
        <item h="1" m="1" x="2065"/>
        <item h="1" m="1" x="2067"/>
        <item h="1" m="1" x="2068"/>
        <item h="1" m="1" x="2072"/>
        <item h="1" m="1" x="2073"/>
        <item h="1" m="1" x="2076"/>
        <item h="1" m="1" x="2077"/>
        <item h="1" m="1" x="1899"/>
        <item h="1" m="1" x="2081"/>
        <item h="1" m="1" x="2082"/>
        <item h="1" m="1" x="2083"/>
        <item h="1" m="1" x="2084"/>
        <item h="1" m="1" x="2085"/>
        <item h="1" m="1" x="1330"/>
        <item h="1" m="1" x="1907"/>
        <item h="1" m="1" x="2087"/>
        <item h="1" m="1" x="1365"/>
        <item h="1" m="1" x="1143"/>
        <item h="1" m="1" x="1438"/>
        <item h="1" m="1" x="2089"/>
        <item h="1" m="1" x="1419"/>
        <item h="1" x="361"/>
        <item h="1" m="1" x="2091"/>
        <item h="1" m="1" x="1412"/>
        <item h="1" x="362"/>
        <item h="1" m="1" x="1409"/>
        <item h="1" m="1" x="2092"/>
        <item h="1" m="1" x="2094"/>
        <item h="1" m="1" x="2097"/>
        <item h="1" m="1" x="2098"/>
        <item h="1" m="1" x="2099"/>
        <item h="1" m="1" x="2105"/>
        <item h="1" m="1" x="1917"/>
        <item h="1" m="1" x="2117"/>
        <item h="1" m="1" x="1932"/>
        <item h="1" m="1" x="2118"/>
        <item h="1" m="1" x="1931"/>
        <item h="1" m="1" x="2120"/>
        <item h="1" m="1" x="2121"/>
        <item h="1" m="1" x="2123"/>
        <item h="1" m="1" x="2124"/>
        <item h="1" m="1" x="2126"/>
        <item h="1" m="1" x="1934"/>
        <item h="1" m="1" x="2129"/>
        <item h="1" m="1" x="2130"/>
        <item h="1" m="1" x="2132"/>
        <item h="1" m="1" x="2135"/>
        <item h="1" x="4"/>
        <item h="1" m="1" x="1822"/>
        <item h="1" m="1" x="1823"/>
        <item h="1" m="1" x="1824"/>
        <item h="1" m="1" x="1825"/>
        <item h="1" m="1" x="1647"/>
        <item h="1" m="1" x="1648"/>
        <item h="1" x="31"/>
        <item h="1" m="1" x="793"/>
        <item h="1" m="1" x="1827"/>
        <item h="1" m="1" x="1829"/>
        <item h="1" x="45"/>
        <item h="1" m="1" x="1636"/>
        <item h="1" m="1" x="1046"/>
        <item h="1" x="50"/>
        <item h="1" m="1" x="1831"/>
        <item h="1" m="1" x="505"/>
        <item h="1" m="1" x="1833"/>
        <item h="1" x="76"/>
        <item h="1" m="1" x="1837"/>
        <item h="1" m="1" x="1839"/>
        <item h="1" m="1" x="1841"/>
        <item h="1" m="1" x="1851"/>
        <item h="1" m="1" x="1852"/>
        <item h="1" m="1" x="1564"/>
        <item h="1" x="120"/>
        <item h="1" x="119"/>
        <item h="1" m="1" x="1854"/>
        <item h="1" m="1" x="1855"/>
        <item h="1" m="1" x="1856"/>
        <item h="1" m="1" x="1857"/>
        <item h="1" m="1" x="1858"/>
        <item h="1" m="1" x="801"/>
        <item h="1" m="1" x="1859"/>
        <item h="1" m="1" x="530"/>
        <item h="1" m="1" x="1862"/>
        <item h="1" m="1" x="1863"/>
        <item h="1" m="1" x="1864"/>
        <item h="1" m="1" x="1866"/>
        <item h="1" m="1" x="1042"/>
        <item h="1" m="1" x="1655"/>
        <item h="1" m="1" x="1656"/>
        <item h="1" x="180"/>
        <item h="1" m="1" x="1659"/>
        <item h="1" x="156"/>
        <item h="1" x="157"/>
        <item h="1" x="158"/>
        <item h="1" x="150"/>
        <item h="1" m="1" x="1869"/>
        <item h="1" m="1" x="1661"/>
        <item h="1" x="228"/>
        <item h="1" m="1" x="1633"/>
        <item h="1" m="1" x="1876"/>
        <item h="1" m="1" x="1673"/>
        <item h="1" m="1" x="1100"/>
        <item h="1" m="1" x="1691"/>
        <item h="1" m="1" x="1701"/>
        <item h="1" m="1" x="1702"/>
        <item h="1" m="1" x="1690"/>
        <item h="1" m="1" x="1692"/>
        <item h="1" m="1" x="1693"/>
        <item h="1" m="1" x="1694"/>
        <item h="1" m="1" x="1106"/>
        <item h="1" m="1" x="1816"/>
        <item h="1" m="1" x="809"/>
        <item h="1" m="1" x="810"/>
        <item h="1" m="1" x="1735"/>
        <item h="1" m="1" x="1736"/>
        <item h="1" m="1" x="1880"/>
        <item h="1" m="1" x="1881"/>
        <item h="1" m="1" x="1882"/>
        <item h="1" m="1" x="1689"/>
        <item h="1" m="1" x="1883"/>
        <item h="1" m="1" x="1678"/>
        <item h="1" m="1" x="1688"/>
        <item h="1" m="1" x="1683"/>
        <item h="1" x="312"/>
        <item h="1" m="1" x="1884"/>
        <item h="1" m="1" x="1885"/>
        <item h="1" m="1" x="1886"/>
        <item h="1" m="1" x="1887"/>
        <item h="1" m="1" x="1889"/>
        <item h="1" m="1" x="1890"/>
        <item h="1" m="1" x="1606"/>
        <item h="1" m="1" x="1607"/>
        <item h="1" x="107"/>
        <item h="1" m="1" x="1891"/>
        <item h="1" m="1" x="1892"/>
        <item h="1" m="1" x="1893"/>
        <item h="1" m="1" x="1894"/>
        <item h="1" m="1" x="1428"/>
        <item h="1" m="1" x="1895"/>
        <item h="1" m="1" x="831"/>
        <item h="1" m="1" x="1896"/>
        <item h="1" m="1" x="1898"/>
        <item h="1" m="1" x="1900"/>
        <item h="1" m="1" x="1901"/>
        <item h="1" m="1" x="1902"/>
        <item h="1" m="1" x="1903"/>
        <item h="1" m="1" x="1798"/>
        <item h="1" m="1" x="1905"/>
        <item h="1" m="1" x="1407"/>
        <item h="1" m="1" x="1908"/>
        <item h="1" m="1" x="1909"/>
        <item h="1" m="1" x="1437"/>
        <item h="1" m="1" x="1910"/>
        <item h="1" m="1" x="1448"/>
        <item h="1" m="1" x="1449"/>
        <item h="1" m="1" x="1436"/>
        <item h="1" m="1" x="1812"/>
        <item h="1" m="1" x="1911"/>
        <item h="1" x="335"/>
        <item h="1" x="336"/>
        <item h="1" m="1" x="1704"/>
        <item h="1" m="1" x="1815"/>
        <item h="1" m="1" x="1431"/>
        <item h="1" m="1" x="1460"/>
        <item h="1" m="1" x="1461"/>
        <item h="1" m="1" x="1912"/>
        <item h="1" m="1" x="1913"/>
        <item h="1" m="1" x="1914"/>
        <item h="1" m="1" x="1918"/>
        <item h="1" m="1" x="1921"/>
        <item h="1" m="1" x="1922"/>
        <item h="1" m="1" x="1923"/>
        <item h="1" m="1" x="1924"/>
        <item h="1" m="1" x="1926"/>
        <item h="1" m="1" x="1927"/>
        <item h="1" m="1" x="1928"/>
        <item h="1" m="1" x="1929"/>
        <item h="1" m="1" x="1930"/>
        <item h="1" m="1" x="1933"/>
        <item h="1" m="1" x="1935"/>
        <item h="1" m="1" x="1232"/>
        <item h="1" m="1" x="1233"/>
        <item h="1" m="1" x="1503"/>
        <item h="1" m="1" x="1937"/>
        <item h="1" m="1" x="1938"/>
        <item h="1" m="1" x="1939"/>
        <item h="1" m="1" x="1940"/>
        <item h="1" x="421"/>
        <item h="1" m="1" x="1715"/>
        <item h="1" x="418"/>
        <item h="1" m="1" x="949"/>
        <item h="1" x="202"/>
        <item h="1" m="1" x="1016"/>
        <item h="1" m="1" x="1741"/>
        <item h="1" m="1" x="1742"/>
        <item h="1" m="1" x="1743"/>
        <item h="1" m="1" x="1744"/>
        <item h="1" m="1" x="1119"/>
        <item h="1" m="1" x="1746"/>
        <item h="1" m="1" x="1748"/>
        <item h="1" m="1" x="794"/>
        <item h="1" m="1" x="1749"/>
        <item h="1" m="1" x="1750"/>
        <item h="1" m="1" x="1175"/>
        <item h="1" m="1" x="1176"/>
        <item h="1" m="1" x="1751"/>
        <item h="1" m="1" x="1752"/>
        <item h="1" m="1" x="1753"/>
        <item h="1" m="1" x="1754"/>
        <item h="1" m="1" x="1755"/>
        <item h="1" m="1" x="1756"/>
        <item h="1" m="1" x="1757"/>
        <item h="1" m="1" x="1758"/>
        <item h="1" m="1" x="1759"/>
        <item h="1" m="1" x="1760"/>
        <item h="1" m="1" x="1761"/>
        <item h="1" m="1" x="1763"/>
        <item h="1" m="1" x="1764"/>
        <item h="1" m="1" x="1765"/>
        <item h="1" m="1" x="1766"/>
        <item h="1" m="1" x="1767"/>
        <item h="1" m="1" x="1611"/>
        <item h="1" m="1" x="1612"/>
        <item h="1" m="1" x="1768"/>
        <item h="1" m="1" x="1769"/>
        <item h="1" m="1" x="1770"/>
        <item h="1" m="1" x="1771"/>
        <item h="1" m="1" x="1772"/>
        <item h="1" m="1" x="1773"/>
        <item h="1" m="1" x="1774"/>
        <item h="1" m="1" x="1775"/>
        <item h="1" m="1" x="1776"/>
        <item h="1" m="1" x="1777"/>
        <item h="1" m="1" x="1779"/>
        <item h="1" m="1" x="1780"/>
        <item h="1" m="1" x="1781"/>
        <item h="1" m="1" x="1782"/>
        <item h="1" m="1" x="1783"/>
        <item h="1" m="1" x="1616"/>
        <item h="1" m="1" x="1784"/>
        <item h="1" m="1" x="1541"/>
        <item h="1" m="1" x="1792"/>
        <item h="1" x="77"/>
        <item h="1" m="1" x="1793"/>
        <item h="1" m="1" x="1794"/>
        <item h="1" m="1" x="1627"/>
        <item h="1" x="73"/>
        <item h="1" m="1" x="803"/>
        <item h="1" m="1" x="1630"/>
        <item h="1" m="1" x="945"/>
        <item h="1" m="1" x="633"/>
        <item h="1" m="1" x="1796"/>
        <item h="1" m="1" x="977"/>
        <item h="1" m="1" x="1335"/>
        <item h="1" m="1" x="1644"/>
        <item h="1" m="1" x="1642"/>
        <item h="1" m="1" x="1643"/>
        <item h="1" m="1" x="1369"/>
        <item h="1" m="1" x="1799"/>
        <item h="1" m="1" x="1800"/>
        <item h="1" m="1" x="1801"/>
        <item h="1" m="1" x="1066"/>
        <item h="1" m="1" x="1652"/>
        <item h="1" m="1" x="538"/>
        <item h="1" m="1" x="1651"/>
        <item h="1" m="1" x="1397"/>
        <item h="1" x="153"/>
        <item h="1" x="179"/>
        <item h="1" x="178"/>
        <item h="1" m="1" x="1802"/>
        <item h="1" m="1" x="1406"/>
        <item h="1" m="1" x="1665"/>
        <item h="1" m="1" x="1551"/>
        <item h="1" m="1" x="1664"/>
        <item h="1" m="1" x="1450"/>
        <item h="1" m="1" x="1803"/>
        <item h="1" m="1" x="1439"/>
        <item h="1" m="1" x="1445"/>
        <item h="1" m="1" x="1804"/>
        <item h="1" x="102"/>
        <item h="1" m="1" x="1669"/>
        <item h="1" x="98"/>
        <item h="1" m="1" x="1563"/>
        <item h="1" m="1" x="1452"/>
        <item h="1" m="1" x="1453"/>
        <item h="1" m="1" x="1809"/>
        <item h="1" m="1" x="1810"/>
        <item h="1" m="1" x="1811"/>
        <item h="1" m="1" x="1813"/>
        <item h="1" m="1" x="1814"/>
        <item h="1" m="1" x="1672"/>
        <item h="1" m="1" x="1086"/>
        <item h="1" m="1" x="1087"/>
        <item h="1" m="1" x="1465"/>
        <item h="1" m="1" x="1464"/>
        <item h="1" x="223"/>
        <item h="1" m="1" x="1573"/>
        <item h="1" m="1" x="1679"/>
        <item h="1" m="1" x="1680"/>
        <item h="1" m="1" x="1681"/>
        <item h="1" m="1" x="1481"/>
        <item h="1" m="1" x="1700"/>
        <item h="1" m="1" x="1817"/>
        <item h="1" m="1" x="1502"/>
        <item h="1" m="1" x="1712"/>
        <item h="1" m="1" x="1713"/>
        <item h="1" x="411"/>
        <item h="1" m="1" x="1818"/>
        <item h="1" m="1" x="1820"/>
        <item h="1" m="1" x="1576"/>
        <item h="1" m="1" x="1737"/>
        <item h="1" m="1" x="1580"/>
        <item h="1" m="1" x="1728"/>
        <item h="1" m="1" x="1821"/>
        <item h="1" x="289"/>
        <item h="1" m="1" x="1116"/>
        <item h="1" m="1" x="1584"/>
        <item h="1" m="1" x="1585"/>
        <item h="1" m="1" x="1586"/>
        <item h="1" m="1" x="1137"/>
        <item h="1" m="1" x="1120"/>
        <item h="1" m="1" x="1134"/>
        <item h="1" m="1" x="1136"/>
        <item h="1" m="1" x="1135"/>
        <item h="1" m="1" x="1131"/>
        <item h="1" m="1" x="1133"/>
        <item h="1" m="1" x="1125"/>
        <item h="1" m="1" x="1126"/>
        <item h="1" m="1" x="1123"/>
        <item h="1" m="1" x="1132"/>
        <item h="1" m="1" x="1128"/>
        <item h="1" m="1" x="1129"/>
        <item h="1" m="1" x="1127"/>
        <item h="1" m="1" x="1130"/>
        <item h="1" m="1" x="1145"/>
        <item h="1" m="1" x="1151"/>
        <item h="1" m="1" x="1140"/>
        <item h="1" m="1" x="1147"/>
        <item h="1" m="1" x="1144"/>
        <item h="1" m="1" x="1149"/>
        <item h="1" m="1" x="1153"/>
        <item h="1" m="1" x="1146"/>
        <item h="1" m="1" x="1148"/>
        <item h="1" m="1" x="1161"/>
        <item h="1" m="1" x="1155"/>
        <item h="1" m="1" x="1156"/>
        <item h="1" m="1" x="1154"/>
        <item h="1" m="1" x="1159"/>
        <item h="1" m="1" x="1160"/>
        <item h="1" m="1" x="1152"/>
        <item h="1" m="1" x="1138"/>
        <item h="1" m="1" x="1139"/>
        <item h="1" m="1" x="1158"/>
        <item h="1" m="1" x="1157"/>
        <item h="1" m="1" x="1150"/>
        <item h="1" m="1" x="1142"/>
        <item h="1" m="1" x="1166"/>
        <item h="1" m="1" x="1165"/>
        <item h="1" m="1" x="795"/>
        <item h="1" m="1" x="1587"/>
        <item h="1" m="1" x="1168"/>
        <item h="1" m="1" x="1588"/>
        <item h="1" m="1" x="1172"/>
        <item h="1" m="1" x="1171"/>
        <item h="1" m="1" x="1590"/>
        <item h="1" m="1" x="1178"/>
        <item h="1" m="1" x="1179"/>
        <item h="1" x="80"/>
        <item h="1" m="1" x="1591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540"/>
        <item h="1" m="1" x="1601"/>
        <item h="1" m="1" x="1602"/>
        <item h="1" m="1" x="1603"/>
        <item h="1" m="1" x="1604"/>
        <item h="1" m="1" x="1605"/>
        <item h="1" m="1" x="1608"/>
        <item h="1" m="1" x="1609"/>
        <item h="1" m="1" x="1610"/>
        <item h="1" m="1" x="1614"/>
        <item h="1" m="1" x="1615"/>
        <item h="1" x="63"/>
        <item h="1" x="62"/>
        <item h="1" m="1" x="1228"/>
        <item h="1" m="1" x="704"/>
        <item h="1" m="1" x="1624"/>
        <item h="1" m="1" x="736"/>
        <item h="1" m="1" x="1238"/>
        <item h="1" x="130"/>
        <item h="1" m="1" x="1629"/>
        <item h="1" x="137"/>
        <item h="1" m="1" x="1631"/>
        <item h="1" m="1" x="1635"/>
        <item h="1" m="1" x="1254"/>
        <item h="1" m="1" x="1050"/>
        <item h="1" m="1" x="1637"/>
        <item h="1" m="1" x="1049"/>
        <item h="1" m="1" x="1274"/>
        <item h="1" m="1" x="1317"/>
        <item h="1" m="1" x="922"/>
        <item h="1" m="1" x="923"/>
        <item h="1" m="1" x="1341"/>
        <item h="1" m="1" x="1638"/>
        <item h="1" x="17"/>
        <item h="1" m="1" x="1640"/>
        <item h="1" m="1" x="1364"/>
        <item h="1" m="1" x="1058"/>
        <item h="1" x="425"/>
        <item h="1" m="1" x="445"/>
        <item h="1" x="21"/>
        <item h="1" x="20"/>
        <item h="1" m="1" x="1645"/>
        <item h="1" m="1" x="1649"/>
        <item h="1" m="1" x="1650"/>
        <item h="1" m="1" x="1377"/>
        <item h="1" m="1" x="1378"/>
        <item h="1" m="1" x="1379"/>
        <item h="1" x="396"/>
        <item h="1" m="1" x="727"/>
        <item h="1" m="1" x="1387"/>
        <item h="1" m="1" x="1380"/>
        <item h="1" m="1" x="1381"/>
        <item h="1" m="1" x="1654"/>
        <item h="1" x="161"/>
        <item h="1" m="1" x="1069"/>
        <item h="1" m="1" x="1555"/>
        <item h="1" m="1" x="1663"/>
        <item h="1" m="1" x="1417"/>
        <item h="1" m="1" x="1432"/>
        <item h="1" x="99"/>
        <item h="1" x="100"/>
        <item h="1" x="101"/>
        <item h="1" x="105"/>
        <item h="1" x="118"/>
        <item h="1" x="433"/>
        <item h="1" x="434"/>
        <item h="1" x="111"/>
        <item h="1" m="1" x="1559"/>
        <item h="1" m="1" x="1670"/>
        <item h="1" m="1" x="1560"/>
        <item h="1" m="1" x="1561"/>
        <item h="1" m="1" x="859"/>
        <item h="1" m="1" x="1442"/>
        <item h="1" m="1" x="1454"/>
        <item h="1" m="1" x="1457"/>
        <item h="1" m="1" x="1095"/>
        <item h="1" m="1" x="1675"/>
        <item h="1" m="1" x="1676"/>
        <item h="1" m="1" x="1677"/>
        <item h="1" m="1" x="1684"/>
        <item h="1" m="1" x="1685"/>
        <item h="1" m="1" x="1686"/>
        <item h="1" m="1" x="1687"/>
        <item h="1" m="1" x="1569"/>
        <item h="1" m="1" x="1696"/>
        <item h="1" m="1" x="1697"/>
        <item h="1" m="1" x="1698"/>
        <item h="1" m="1" x="1703"/>
        <item h="1" m="1" x="1705"/>
        <item h="1" m="1" x="1706"/>
        <item h="1" m="1" x="808"/>
        <item h="1" m="1" x="1707"/>
        <item h="1" m="1" x="1708"/>
        <item h="1" m="1" x="1710"/>
        <item h="1" m="1" x="1723"/>
        <item h="1" m="1" x="1575"/>
        <item h="1" m="1" x="1724"/>
        <item h="1" m="1" x="1579"/>
        <item h="1" x="290"/>
        <item h="1" m="1" x="1730"/>
        <item h="1" m="1" x="1731"/>
        <item h="1" m="1" x="1733"/>
        <item h="1" m="1" x="620"/>
        <item h="1" x="24"/>
        <item h="1" m="1" x="1117"/>
        <item h="1" m="1" x="1520"/>
        <item h="1" m="1" x="1521"/>
        <item h="1" m="1" x="1522"/>
        <item h="1" m="1" x="1523"/>
        <item h="1" m="1" x="1020"/>
        <item h="1" m="1" x="796"/>
        <item h="1" m="1" x="1528"/>
        <item h="1" x="54"/>
        <item h="1" x="55"/>
        <item h="1" x="56"/>
        <item h="1" m="1" x="1529"/>
        <item h="1" x="368"/>
        <item h="1" m="1" x="1177"/>
        <item h="1" m="1" x="1530"/>
        <item h="1" m="1" x="1531"/>
        <item h="1" m="1" x="1532"/>
        <item h="1" m="1" x="1533"/>
        <item h="1" m="1" x="1216"/>
        <item h="1" m="1" x="1534"/>
        <item h="1" m="1" x="1535"/>
        <item h="1" m="1" x="1536"/>
        <item h="1" m="1" x="1187"/>
        <item h="1" m="1" x="1188"/>
        <item h="1" m="1" x="1189"/>
        <item h="1" m="1" x="1215"/>
        <item h="1" m="1" x="1195"/>
        <item h="1" m="1" x="1214"/>
        <item h="1" m="1" x="1212"/>
        <item h="1" m="1" x="1213"/>
        <item h="1" m="1" x="1217"/>
        <item h="1" m="1" x="1218"/>
        <item h="1" m="1" x="1196"/>
        <item h="1" m="1" x="1537"/>
        <item h="1" m="1" x="1538"/>
        <item h="1" m="1" x="1539"/>
        <item h="1" m="1" x="1190"/>
        <item h="1" m="1" x="1204"/>
        <item h="1" m="1" x="1201"/>
        <item h="1" m="1" x="1202"/>
        <item h="1" m="1" x="1203"/>
        <item h="1" m="1" x="1197"/>
        <item h="1" m="1" x="1198"/>
        <item h="1" m="1" x="1199"/>
        <item h="1" m="1" x="1200"/>
        <item h="1" m="1" x="1206"/>
        <item h="1" x="354"/>
        <item h="1" m="1" x="1543"/>
        <item h="1" m="1" x="1239"/>
        <item h="1" m="1" x="595"/>
        <item h="1" m="1" x="1243"/>
        <item h="1" m="1" x="1244"/>
        <item h="1" m="1" x="1545"/>
        <item h="1" m="1" x="1253"/>
        <item h="1" x="42"/>
        <item h="1" m="1" x="1048"/>
        <item h="1" m="1" x="1260"/>
        <item h="1" m="1" x="1261"/>
        <item h="1" m="1" x="1262"/>
        <item h="1" m="1" x="1263"/>
        <item h="1" m="1" x="1264"/>
        <item h="1" m="1" x="1265"/>
        <item h="1" m="1" x="1273"/>
        <item h="1" m="1" x="1272"/>
        <item h="1" m="1" x="1269"/>
        <item h="1" m="1" x="1270"/>
        <item h="1" m="1" x="1271"/>
        <item h="1" m="1" x="1267"/>
        <item h="1" m="1" x="1268"/>
        <item h="1" x="311"/>
        <item h="1" m="1" x="925"/>
        <item h="1" x="35"/>
        <item h="1" m="1" x="1361"/>
        <item h="1" m="1" x="1382"/>
        <item h="1" m="1" x="1549"/>
        <item h="1" m="1" x="1396"/>
        <item h="1" x="165"/>
        <item h="1" m="1" x="1550"/>
        <item h="1" x="164"/>
        <item h="1" m="1" x="1398"/>
        <item h="1" m="1" x="1552"/>
        <item h="1" m="1" x="1553"/>
        <item h="1" m="1" x="1556"/>
        <item h="1" m="1" x="1558"/>
        <item h="1" m="1" x="1455"/>
        <item h="1" m="1" x="1456"/>
        <item h="1" m="1" x="1090"/>
        <item h="1" m="1" x="1462"/>
        <item h="1" m="1" x="1092"/>
        <item h="1" x="213"/>
        <item h="1" m="1" x="1567"/>
        <item h="1" m="1" x="1480"/>
        <item h="1" m="1" x="1568"/>
        <item h="1" m="1" x="1482"/>
        <item h="1" m="1" x="1570"/>
        <item h="1" m="1" x="1572"/>
        <item h="1" m="1" x="807"/>
        <item h="1" m="1" x="1496"/>
        <item h="1" m="1" x="599"/>
        <item h="1" x="298"/>
        <item h="1" x="299"/>
        <item h="1" m="1" x="1510"/>
        <item h="1" m="1" x="1581"/>
        <item h="1" m="1" x="1582"/>
        <item h="1" m="1" x="1583"/>
        <item h="1" m="1" x="1114"/>
        <item h="1" m="1" x="1118"/>
        <item h="1" m="1" x="1162"/>
        <item h="1" m="1" x="1163"/>
        <item h="1" m="1" x="1164"/>
        <item h="1" m="1" x="1170"/>
        <item h="1" m="1" x="1174"/>
        <item h="1" m="1" x="1184"/>
        <item h="1" m="1" x="1185"/>
        <item h="1" m="1" x="1186"/>
        <item h="1" x="330"/>
        <item h="1" m="1" x="1031"/>
        <item h="1" x="328"/>
        <item h="1" x="329"/>
        <item h="1" m="1" x="1191"/>
        <item h="1" m="1" x="1192"/>
        <item h="1" m="1" x="1193"/>
        <item h="1" m="1" x="1194"/>
        <item h="1" m="1" x="1207"/>
        <item h="1" m="1" x="1208"/>
        <item h="1" m="1" x="1209"/>
        <item h="1" m="1" x="1210"/>
        <item h="1" m="1" x="1211"/>
        <item h="1" m="1" x="1219"/>
        <item h="1" m="1" x="1221"/>
        <item h="1" m="1" x="1236"/>
        <item h="1" m="1" x="1237"/>
        <item h="1" x="237"/>
        <item h="1" m="1" x="863"/>
        <item h="1" m="1" x="536"/>
        <item h="1" m="1" x="1240"/>
        <item h="1" m="1" x="1241"/>
        <item h="1" m="1" x="1245"/>
        <item h="1" m="1" x="1107"/>
        <item h="1" m="1" x="523"/>
        <item h="1" m="1" x="1047"/>
        <item h="1" m="1" x="1051"/>
        <item h="1" m="1" x="1266"/>
        <item h="1" m="1" x="1278"/>
        <item h="1" x="122"/>
        <item h="1" x="59"/>
        <item h="1" m="1" x="1054"/>
        <item h="1" m="1" x="1337"/>
        <item h="1" m="1" x="1338"/>
        <item h="1" m="1" x="1340"/>
        <item h="1" m="1" x="792"/>
        <item h="1" m="1" x="1343"/>
        <item h="1" m="1" x="1344"/>
        <item h="1" m="1" x="1345"/>
        <item h="1" m="1" x="940"/>
        <item h="1" m="1" x="1366"/>
        <item h="1" m="1" x="1368"/>
        <item h="1" m="1" x="1375"/>
        <item h="1" m="1" x="703"/>
        <item h="1" m="1" x="1383"/>
        <item h="1" m="1" x="1384"/>
        <item h="1" m="1" x="1385"/>
        <item h="1" m="1" x="1386"/>
        <item h="1" m="1" x="1389"/>
        <item h="1" m="1" x="1392"/>
        <item h="1" m="1" x="1393"/>
        <item h="1" m="1" x="1394"/>
        <item h="1" m="1" x="1395"/>
        <item h="1" m="1" x="873"/>
        <item h="1" x="104"/>
        <item h="1" m="1" x="526"/>
        <item h="1" x="103"/>
        <item h="1" m="1" x="1434"/>
        <item h="1" m="1" x="1451"/>
        <item h="1" m="1" x="960"/>
        <item h="1" m="1" x="1009"/>
        <item h="1" m="1" x="1459"/>
        <item h="1" m="1" x="1091"/>
        <item h="1" m="1" x="1098"/>
        <item h="1" m="1" x="1093"/>
        <item h="1" x="36"/>
        <item h="1" m="1" x="589"/>
        <item h="1" m="1" x="465"/>
        <item h="1" m="1" x="1470"/>
        <item h="1" m="1" x="1471"/>
        <item h="1" m="1" x="1473"/>
        <item h="1" m="1" x="1474"/>
        <item h="1" m="1" x="1475"/>
        <item h="1" m="1" x="636"/>
        <item h="1" m="1" x="1476"/>
        <item h="1" m="1" x="1477"/>
        <item h="1" m="1" x="1478"/>
        <item h="1" m="1" x="1479"/>
        <item h="1" x="308"/>
        <item h="1" m="1" x="1486"/>
        <item h="1" m="1" x="1487"/>
        <item h="1" m="1" x="1488"/>
        <item h="1" m="1" x="628"/>
        <item h="1" m="1" x="1489"/>
        <item h="1" m="1" x="1490"/>
        <item h="1" m="1" x="1491"/>
        <item h="1" m="1" x="1492"/>
        <item h="1" m="1" x="585"/>
        <item h="1" m="1" x="1493"/>
        <item h="1" x="292"/>
        <item h="1" m="1" x="1494"/>
        <item h="1" m="1" x="820"/>
        <item h="1" m="1" x="1512"/>
        <item h="1" m="1" x="1513"/>
        <item h="1" m="1" x="1514"/>
        <item h="1" m="1" x="1515"/>
        <item h="1" m="1" x="1516"/>
        <item h="1" m="1" x="1517"/>
        <item h="1" m="1" x="1017"/>
        <item h="1" m="1" x="1018"/>
        <item h="1" m="1" x="1019"/>
        <item h="1" m="1" x="1021"/>
        <item h="1" m="1" x="1022"/>
        <item h="1" m="1" x="951"/>
        <item h="1" m="1" x="889"/>
        <item h="1" m="1" x="1023"/>
        <item h="1" m="1" x="1025"/>
        <item h="1" m="1" x="1026"/>
        <item h="1" m="1" x="1028"/>
        <item h="1" m="1" x="1029"/>
        <item h="1" m="1" x="963"/>
        <item h="1" m="1" x="1030"/>
        <item h="1" x="78"/>
        <item h="1" x="139"/>
        <item h="1" m="1" x="1033"/>
        <item h="1" x="131"/>
        <item h="1" m="1" x="954"/>
        <item h="1" m="1" x="955"/>
        <item h="1" m="1" x="953"/>
        <item h="1" m="1" x="865"/>
        <item h="1" m="1" x="1035"/>
        <item h="1" m="1" x="864"/>
        <item h="1" m="1" x="862"/>
        <item h="1" m="1" x="1037"/>
        <item h="1" m="1" x="1038"/>
        <item h="1" x="133"/>
        <item h="1" x="134"/>
        <item h="1" x="138"/>
        <item h="1" m="1" x="513"/>
        <item h="1" m="1" x="1040"/>
        <item h="1" m="1" x="1044"/>
        <item h="1" m="1" x="685"/>
        <item h="1" m="1" x="654"/>
        <item h="1" m="1" x="655"/>
        <item h="1" m="1" x="1053"/>
        <item h="1" x="231"/>
        <item h="1" x="232"/>
        <item h="1" x="233"/>
        <item h="1" x="234"/>
        <item h="1" m="1" x="740"/>
        <item h="1" m="1" x="692"/>
        <item h="1" m="1" x="438"/>
        <item h="1" m="1" x="688"/>
        <item h="1" x="30"/>
        <item h="1" m="1" x="1012"/>
        <item h="1" x="15"/>
        <item h="1" m="1" x="932"/>
        <item h="1" m="1" x="441"/>
        <item h="1" m="1" x="1055"/>
        <item h="1" m="1" x="933"/>
        <item h="1" m="1" x="934"/>
        <item h="1" m="1" x="722"/>
        <item h="1" x="5"/>
        <item h="1" x="2"/>
        <item h="1" x="1"/>
        <item h="1" m="1" x="1060"/>
        <item h="1" m="1" x="1061"/>
        <item h="1" m="1" x="1062"/>
        <item h="1" m="1" x="1063"/>
        <item h="1" m="1" x="1064"/>
        <item h="1" m="1" x="1068"/>
        <item h="1" x="195"/>
        <item h="1" x="176"/>
        <item h="1" x="72"/>
        <item h="1" x="196"/>
        <item h="1" x="146"/>
        <item h="1" x="169"/>
        <item h="1" x="163"/>
        <item h="1" x="205"/>
        <item h="1" m="1" x="557"/>
        <item h="1" x="108"/>
        <item h="1" x="109"/>
        <item h="1" x="110"/>
        <item h="1" m="1" x="712"/>
        <item h="1" m="1" x="1071"/>
        <item h="1" m="1" x="1072"/>
        <item h="1" m="1" x="1073"/>
        <item h="1" m="1" x="1075"/>
        <item h="1" m="1" x="1076"/>
        <item h="1" x="92"/>
        <item h="1" x="93"/>
        <item h="1" x="94"/>
        <item h="1" x="317"/>
        <item h="1" m="1" x="1077"/>
        <item h="1" m="1" x="1078"/>
        <item h="1" m="1" x="856"/>
        <item h="1" m="1" x="1080"/>
        <item h="1" m="1" x="1081"/>
        <item h="1" m="1" x="1082"/>
        <item h="1" m="1" x="1083"/>
        <item h="1" m="1" x="724"/>
        <item h="1" m="1" x="723"/>
        <item h="1" m="1" x="1084"/>
        <item h="1" m="1" x="1085"/>
        <item h="1" m="1" x="1015"/>
        <item h="1" m="1" x="1088"/>
        <item h="1" m="1" x="1089"/>
        <item h="1" m="1" x="577"/>
        <item h="1" m="1" x="578"/>
        <item h="1" m="1" x="565"/>
        <item h="1" m="1" x="972"/>
        <item h="1" m="1" x="567"/>
        <item h="1" m="1" x="1101"/>
        <item h="1" m="1" x="1102"/>
        <item h="1" m="1" x="1104"/>
        <item h="1" x="388"/>
        <item h="1" x="382"/>
        <item h="1" m="1" x="1108"/>
        <item h="1" m="1" x="1109"/>
        <item h="1" m="1" x="610"/>
        <item h="1" m="1" x="877"/>
        <item h="1" m="1" x="876"/>
        <item h="1" m="1" x="901"/>
        <item h="1" m="1" x="1111"/>
        <item h="1" m="1" x="582"/>
        <item h="1" m="1" x="1112"/>
        <item h="1" m="1" x="1113"/>
        <item h="1" x="18"/>
        <item h="1" m="1" x="926"/>
        <item h="1" m="1" x="928"/>
        <item h="1" m="1" x="929"/>
        <item h="1" m="1" x="930"/>
        <item h="1" m="1" x="931"/>
        <item h="1" x="37"/>
        <item h="1" m="1" x="458"/>
        <item h="1" m="1" x="459"/>
        <item h="1" m="1" x="468"/>
        <item h="1" m="1" x="797"/>
        <item h="1" m="1" x="935"/>
        <item h="1" m="1" x="471"/>
        <item h="1" m="1" x="938"/>
        <item h="1" m="1" x="939"/>
        <item h="1" m="1" x="798"/>
        <item h="1" m="1" x="941"/>
        <item h="1" m="1" x="942"/>
        <item h="1" m="1" x="943"/>
        <item h="1" m="1" x="948"/>
        <item h="1" m="1" x="512"/>
        <item h="1" m="1" x="514"/>
        <item h="1" x="79"/>
        <item h="1" m="1" x="952"/>
        <item h="1" x="136"/>
        <item h="1" m="1" x="867"/>
        <item h="1" m="1" x="539"/>
        <item h="1" m="1" x="956"/>
        <item h="1" x="173"/>
        <item h="1" x="172"/>
        <item h="1" x="174"/>
        <item h="1" m="1" x="854"/>
        <item h="1" m="1" x="861"/>
        <item h="1" m="1" x="560"/>
        <item h="1" m="1" x="575"/>
        <item h="1" m="1" x="564"/>
        <item h="1" x="226"/>
        <item h="1" x="227"/>
        <item h="1" m="1" x="588"/>
        <item h="1" m="1" x="593"/>
        <item h="1" m="1" x="600"/>
        <item h="1" m="1" x="608"/>
        <item h="1" m="1" x="612"/>
        <item h="1" x="272"/>
        <item h="1" m="1" x="550"/>
        <item h="1" m="1" x="959"/>
        <item h="1" x="306"/>
        <item h="1" m="1" x="961"/>
        <item h="1" m="1" x="962"/>
        <item h="1" x="318"/>
        <item h="1" m="1" x="882"/>
        <item h="1" m="1" x="964"/>
        <item h="1" m="1" x="965"/>
        <item h="1" m="1" x="966"/>
        <item h="1" m="1" x="967"/>
        <item h="1" m="1" x="968"/>
        <item h="1" m="1" x="881"/>
        <item h="1" m="1" x="969"/>
        <item h="1" m="1" x="970"/>
        <item h="1" m="1" x="971"/>
        <item h="1" m="1" x="973"/>
        <item h="1" m="1" x="822"/>
        <item h="1" m="1" x="974"/>
        <item h="1" m="1" x="976"/>
        <item h="1" x="344"/>
        <item h="1" m="1" x="978"/>
        <item h="1" m="1" x="979"/>
        <item h="1" m="1" x="980"/>
        <item h="1" m="1" x="687"/>
        <item h="1" m="1" x="981"/>
        <item h="1" m="1" x="982"/>
        <item h="1" m="1" x="983"/>
        <item h="1" m="1" x="984"/>
        <item h="1" m="1" x="985"/>
        <item h="1" m="1" x="679"/>
        <item h="1" m="1" x="986"/>
        <item h="1" m="1" x="987"/>
        <item h="1" m="1" x="837"/>
        <item h="1" x="377"/>
        <item h="1" x="378"/>
        <item h="1" m="1" x="988"/>
        <item h="1" m="1" x="989"/>
        <item h="1" x="398"/>
        <item h="1" m="1" x="990"/>
        <item h="1" m="1" x="995"/>
        <item h="1" m="1" x="996"/>
        <item h="1" m="1" x="997"/>
        <item h="1" m="1" x="998"/>
        <item h="1" m="1" x="99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13"/>
        <item h="1" m="1" x="787"/>
        <item h="1" m="1" x="1014"/>
        <item h="1" x="0"/>
        <item h="1" m="1" x="443"/>
        <item h="1" m="1" x="447"/>
        <item h="1" m="1" x="461"/>
        <item h="1" x="39"/>
        <item h="1" m="1" x="475"/>
        <item h="1" m="1" x="485"/>
        <item h="1" m="1" x="850"/>
        <item h="1" m="1" x="851"/>
        <item h="1" m="1" x="799"/>
        <item h="1" x="57"/>
        <item h="1" x="58"/>
        <item h="1" m="1" x="519"/>
        <item h="1" m="1" x="508"/>
        <item h="1" m="1" x="509"/>
        <item h="1" m="1" x="510"/>
        <item h="1" x="66"/>
        <item h="1" x="140"/>
        <item h="1" m="1" x="800"/>
        <item h="1" x="125"/>
        <item h="1" x="128"/>
        <item h="1" m="1" x="868"/>
        <item h="1" m="1" x="529"/>
        <item h="1" m="1" x="528"/>
        <item h="1" m="1" x="869"/>
        <item h="1" m="1" x="870"/>
        <item h="1" m="1" x="540"/>
        <item h="1" x="193"/>
        <item h="1" m="1" x="548"/>
        <item h="1" x="155"/>
        <item h="1" x="149"/>
        <item h="1" m="1" x="549"/>
        <item h="1" x="192"/>
        <item h="1" x="190"/>
        <item h="1" x="191"/>
        <item h="1" x="171"/>
        <item h="1" m="1" x="552"/>
        <item h="1" m="1" x="874"/>
        <item h="1" m="1" x="580"/>
        <item h="1" m="1" x="579"/>
        <item h="1" x="216"/>
        <item h="1" m="1" x="569"/>
        <item h="1" m="1" x="573"/>
        <item h="1" m="1" x="570"/>
        <item h="1" m="1" x="574"/>
        <item h="1" x="287"/>
        <item h="1" m="1" x="590"/>
        <item h="1" m="1" x="591"/>
        <item h="1" m="1" x="592"/>
        <item h="1" x="229"/>
        <item h="1" m="1" x="601"/>
        <item h="1" m="1" x="602"/>
        <item h="1" m="1" x="603"/>
        <item h="1" m="1" x="604"/>
        <item h="1" m="1" x="605"/>
        <item h="1" m="1" x="606"/>
        <item h="1" x="243"/>
        <item h="1" m="1" x="875"/>
        <item h="1" m="1" x="614"/>
        <item h="1" m="1" x="615"/>
        <item h="1" x="297"/>
        <item h="1" m="1" x="621"/>
        <item h="1" m="1" x="622"/>
        <item h="1" m="1" x="616"/>
        <item h="1" m="1" x="617"/>
        <item h="1" m="1" x="623"/>
        <item h="1" m="1" x="629"/>
        <item h="1" x="282"/>
        <item h="1" x="283"/>
        <item h="1" m="1" x="638"/>
        <item h="1" m="1" x="639"/>
        <item h="1" m="1" x="641"/>
        <item h="1" m="1" x="642"/>
        <item h="1" m="1" x="651"/>
        <item h="1" x="314"/>
        <item h="1" x="315"/>
        <item h="1" x="316"/>
        <item h="1" m="1" x="878"/>
        <item h="1" m="1" x="815"/>
        <item h="1" m="1" x="879"/>
        <item h="1" m="1" x="816"/>
        <item h="1" m="1" x="880"/>
        <item h="1" x="326"/>
        <item h="1" m="1" x="718"/>
        <item h="1" m="1" x="883"/>
        <item h="1" m="1" x="884"/>
        <item h="1" m="1" x="710"/>
        <item h="1" m="1" x="711"/>
        <item h="1" m="1" x="885"/>
        <item h="1" m="1" x="886"/>
        <item h="1" m="1" x="887"/>
        <item h="1" m="1" x="888"/>
        <item h="1" m="1" x="890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667"/>
        <item h="1" m="1" x="899"/>
        <item h="1" m="1" x="900"/>
        <item h="1" m="1" x="702"/>
        <item h="1" x="340"/>
        <item h="1" x="341"/>
        <item h="1" m="1" x="730"/>
        <item h="1" m="1" x="729"/>
        <item h="1" m="1" x="902"/>
        <item h="1" m="1" x="903"/>
        <item h="1" x="384"/>
        <item h="1" x="385"/>
        <item h="1" m="1" x="904"/>
        <item h="1" m="1" x="905"/>
        <item h="1" m="1" x="750"/>
        <item h="1" x="405"/>
        <item h="1" m="1" x="906"/>
        <item h="1" m="1" x="907"/>
        <item h="1" m="1" x="908"/>
        <item h="1" m="1" x="909"/>
        <item h="1" m="1" x="911"/>
        <item h="1" m="1" x="912"/>
        <item h="1" m="1" x="913"/>
        <item h="1" m="1" x="914"/>
        <item h="1" m="1" x="915"/>
        <item h="1" m="1" x="916"/>
        <item h="1" m="1" x="918"/>
        <item h="1" m="1" x="919"/>
        <item h="1" x="414"/>
        <item h="1" x="413"/>
        <item h="1" x="415"/>
        <item h="1" m="1" x="790"/>
        <item h="1" m="1" x="456"/>
        <item h="1" m="1" x="457"/>
        <item h="1" m="1" x="448"/>
        <item h="1" m="1" x="449"/>
        <item h="1" m="1" x="450"/>
        <item h="1" m="1" x="467"/>
        <item h="1" m="1" x="462"/>
        <item h="1" x="117"/>
        <item h="1" m="1" x="474"/>
        <item h="1" x="53"/>
        <item h="1" m="1" x="493"/>
        <item h="1" m="1" x="522"/>
        <item h="1" x="81"/>
        <item h="1" m="1" x="542"/>
        <item h="1" x="152"/>
        <item h="1" x="151"/>
        <item h="1" x="188"/>
        <item h="1" m="1" x="551"/>
        <item h="1" x="199"/>
        <item h="1" x="126"/>
        <item h="1" m="1" x="527"/>
        <item h="1" m="1" x="583"/>
        <item h="1" m="1" x="584"/>
        <item h="1" x="219"/>
        <item h="1" m="1" x="568"/>
        <item h="1" m="1" x="587"/>
        <item h="1" m="1" x="594"/>
        <item h="1" m="1" x="464"/>
        <item h="1" x="236"/>
        <item h="1" m="1" x="597"/>
        <item h="1" m="1" x="632"/>
        <item h="1" x="284"/>
        <item h="1" m="1" x="625"/>
        <item h="1" m="1" x="626"/>
        <item h="1" x="294"/>
        <item h="1" m="1" x="646"/>
        <item h="1" m="1" x="648"/>
        <item h="1" m="1" x="650"/>
        <item h="1" m="1" x="645"/>
        <item h="1" m="1" x="634"/>
        <item h="1" m="1" x="652"/>
        <item h="1" m="1" x="813"/>
        <item h="1" m="1" x="814"/>
        <item h="1" m="1" x="817"/>
        <item h="1" m="1" x="818"/>
        <item h="1" m="1" x="819"/>
        <item h="1" m="1" x="823"/>
        <item h="1" m="1" x="824"/>
        <item h="1" m="1" x="825"/>
        <item h="1" m="1" x="826"/>
        <item h="1" m="1" x="827"/>
        <item h="1" m="1" x="828"/>
        <item h="1" m="1" x="829"/>
        <item h="1" m="1" x="830"/>
        <item h="1" m="1" x="677"/>
        <item h="1" m="1" x="832"/>
        <item h="1" m="1" x="833"/>
        <item h="1" m="1" x="834"/>
        <item h="1" m="1" x="835"/>
        <item h="1" m="1" x="836"/>
        <item h="1" x="355"/>
        <item h="1" x="380"/>
        <item h="1" x="383"/>
        <item h="1" m="1" x="839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767"/>
        <item h="1" x="427"/>
        <item h="1" x="431"/>
        <item h="1" m="1" x="439"/>
        <item h="1" x="9"/>
        <item h="1" m="1" x="444"/>
        <item h="1" m="1" x="446"/>
        <item h="1" m="1" x="454"/>
        <item h="1" m="1" x="455"/>
        <item h="1" x="26"/>
        <item h="1" m="1" x="460"/>
        <item h="1" m="1" x="463"/>
        <item h="1" m="1" x="466"/>
        <item h="1" m="1" x="472"/>
        <item h="1" m="1" x="481"/>
        <item h="1" m="1" x="482"/>
        <item h="1" m="1" x="484"/>
        <item h="1" m="1" x="488"/>
        <item h="1" m="1" x="489"/>
        <item h="1" m="1" x="490"/>
        <item h="1" m="1" x="491"/>
        <item h="1" m="1" x="492"/>
        <item h="1" x="51"/>
        <item h="1" m="1" x="498"/>
        <item h="1" m="1" x="499"/>
        <item h="1" m="1" x="504"/>
        <item h="1" m="1" x="507"/>
        <item h="1" x="82"/>
        <item h="1" x="84"/>
        <item h="1" x="116"/>
        <item h="1" x="86"/>
        <item h="1" m="1" x="531"/>
        <item h="1" m="1" x="532"/>
        <item h="1" x="143"/>
        <item h="1" m="1" x="541"/>
        <item h="1" x="145"/>
        <item h="1" x="184"/>
        <item h="1" x="185"/>
        <item h="1" x="186"/>
        <item h="1" x="187"/>
        <item h="1" x="183"/>
        <item h="1" x="166"/>
        <item h="1" x="123"/>
        <item h="1" m="1" x="562"/>
        <item h="1" m="1" x="581"/>
        <item h="1" m="1" x="596"/>
        <item h="1" m="1" x="598"/>
        <item h="1" x="238"/>
        <item h="1" x="239"/>
        <item h="1" x="242"/>
        <item h="1" x="235"/>
        <item h="1" m="1" x="609"/>
        <item h="1" x="241"/>
        <item h="1" x="267"/>
        <item h="1" m="1" x="618"/>
        <item h="1" m="1" x="619"/>
        <item h="1" m="1" x="624"/>
        <item h="1" x="263"/>
        <item h="1" x="251"/>
        <item h="1" x="253"/>
        <item h="1" x="257"/>
        <item h="1" x="281"/>
        <item h="1" m="1" x="637"/>
        <item h="1" m="1" x="643"/>
        <item h="1" m="1" x="644"/>
        <item h="1" m="1" x="649"/>
        <item h="1" m="1" x="653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4"/>
        <item h="1" m="1" x="665"/>
        <item h="1" m="1" x="668"/>
        <item h="1" m="1" x="669"/>
        <item h="1" m="1" x="670"/>
        <item h="1" m="1" x="671"/>
        <item h="1" m="1" x="672"/>
        <item h="1" m="1" x="673"/>
        <item h="1" m="1" x="674"/>
        <item h="1" m="1" x="676"/>
        <item h="1" m="1" x="678"/>
        <item h="1" m="1" x="681"/>
        <item h="1" m="1" x="682"/>
        <item h="1" m="1" x="683"/>
        <item h="1" m="1" x="684"/>
        <item h="1" m="1" x="686"/>
        <item h="1" m="1" x="689"/>
        <item h="1" m="1" x="690"/>
        <item h="1" m="1" x="691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x="371"/>
        <item h="1" m="1" x="707"/>
        <item h="1" m="1" x="708"/>
        <item h="1" m="1" x="709"/>
        <item h="1" m="1" x="714"/>
        <item h="1" m="1" x="715"/>
        <item h="1" m="1" x="716"/>
        <item h="1" m="1" x="717"/>
        <item h="1" m="1" x="719"/>
        <item h="1" m="1" x="720"/>
        <item h="1" m="1" x="721"/>
        <item h="1" x="339"/>
        <item h="1" m="1" x="725"/>
        <item h="1" x="343"/>
        <item h="1" m="1" x="726"/>
        <item h="1" m="1" x="728"/>
        <item h="1" m="1" x="731"/>
        <item h="1" x="374"/>
        <item h="1" x="381"/>
        <item h="1" m="1" x="732"/>
        <item h="1" m="1" x="733"/>
        <item h="1" m="1" x="734"/>
        <item h="1" x="379"/>
        <item h="1" m="1" x="735"/>
        <item h="1" m="1" x="738"/>
        <item h="1" m="1" x="739"/>
        <item h="1" x="389"/>
        <item h="1" m="1" x="741"/>
        <item h="1" x="394"/>
        <item h="1" m="1" x="742"/>
        <item h="1" m="1" x="743"/>
        <item h="1" m="1" x="744"/>
        <item h="1" m="1" x="745"/>
        <item h="1" m="1" x="746"/>
        <item h="1" m="1" x="747"/>
        <item h="1" x="400"/>
        <item h="1" x="401"/>
        <item h="1" x="404"/>
        <item h="1" m="1" x="753"/>
        <item h="1" x="408"/>
        <item h="1" m="1" x="754"/>
        <item h="1" m="1" x="756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71"/>
        <item h="1" x="416"/>
        <item h="1" m="1" x="775"/>
        <item h="1" x="420"/>
        <item h="1" m="1" x="778"/>
        <item h="1" m="1" x="784"/>
        <item h="1" m="1" x="788"/>
        <item h="1" x="14"/>
        <item h="1" x="19"/>
        <item h="1" x="22"/>
        <item h="1" x="23"/>
        <item h="1" x="28"/>
        <item h="1" x="29"/>
        <item h="1" x="32"/>
        <item h="1" x="40"/>
        <item h="1" x="41"/>
        <item h="1" x="44"/>
        <item h="1" x="46"/>
        <item h="1" x="47"/>
        <item h="1" x="89"/>
        <item h="1" x="90"/>
        <item h="1" x="91"/>
        <item h="1" x="95"/>
        <item h="1" x="97"/>
        <item h="1" x="106"/>
        <item h="1" x="113"/>
        <item h="1" x="114"/>
        <item h="1" x="115"/>
        <item h="1" x="121"/>
        <item h="1" x="207"/>
        <item h="1" x="208"/>
        <item h="1" x="209"/>
        <item h="1" x="210"/>
        <item h="1" x="211"/>
        <item h="1" x="212"/>
        <item h="1" x="221"/>
        <item h="1" x="222"/>
        <item h="1" x="224"/>
        <item h="1" x="230"/>
        <item h="1" x="244"/>
        <item h="1" x="245"/>
        <item h="1" x="258"/>
        <item h="1" x="262"/>
        <item h="1" x="279"/>
        <item h="1" x="285"/>
        <item h="1" x="286"/>
        <item h="1" x="288"/>
        <item h="1" x="293"/>
        <item h="1" x="295"/>
        <item h="1" x="296"/>
        <item h="1" x="301"/>
        <item h="1" x="302"/>
        <item h="1" x="303"/>
        <item h="1" x="304"/>
        <item h="1" x="309"/>
        <item h="1" x="313"/>
        <item h="1" x="319"/>
        <item h="1" x="320"/>
        <item h="1" x="321"/>
        <item h="1" x="322"/>
        <item h="1" x="323"/>
        <item h="1" x="324"/>
        <item h="1" x="325"/>
        <item h="1" x="331"/>
        <item h="1" x="332"/>
        <item h="1" x="334"/>
        <item h="1" x="337"/>
        <item h="1" x="338"/>
        <item h="1" x="342"/>
        <item h="1" x="346"/>
        <item h="1" x="348"/>
        <item h="1" x="350"/>
        <item h="1" x="351"/>
        <item h="1" x="352"/>
        <item h="1" x="353"/>
        <item h="1" x="356"/>
        <item h="1" x="357"/>
        <item h="1" x="358"/>
        <item h="1" x="359"/>
        <item h="1" x="360"/>
        <item h="1" x="363"/>
        <item h="1" x="364"/>
        <item h="1" x="365"/>
        <item h="1" x="366"/>
        <item h="1" x="367"/>
        <item h="1" x="370"/>
        <item h="1" x="372"/>
        <item h="1" x="373"/>
        <item h="1" x="386"/>
        <item h="1" x="387"/>
        <item h="1" x="390"/>
        <item h="1" x="391"/>
        <item h="1" x="392"/>
        <item h="1" x="393"/>
        <item h="1" x="395"/>
        <item h="1" x="406"/>
        <item h="1" x="407"/>
        <item h="1" x="409"/>
        <item h="1" x="410"/>
        <item h="1" x="417"/>
        <item h="1" x="4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8">
    <format dxfId="88">
      <pivotArea outline="0" collapsedLevelsAreSubtotals="1" fieldPosition="0"/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dataOnly="0" labelOnly="1" grandRow="1" outline="0" fieldPosition="0"/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grandRow="1" outline="0" fieldPosition="0"/>
    </format>
    <format dxfId="80">
      <pivotArea dataOnly="0" labelOnly="1" outline="0" axis="axisValues" fieldPosition="0"/>
    </format>
    <format dxfId="79">
      <pivotArea outline="0" collapsedLevelsAreSubtotals="1" fieldPosition="0"/>
    </format>
    <format dxfId="78">
      <pivotArea dataOnly="0" labelOnly="1" outline="0" axis="axisValues" fieldPosition="0"/>
    </format>
    <format dxfId="77">
      <pivotArea type="all" dataOnly="0" outline="0" fieldPosition="0"/>
    </format>
    <format dxfId="76">
      <pivotArea outline="0" collapsedLevelsAreSubtotals="1" fieldPosition="0"/>
    </format>
    <format dxfId="75">
      <pivotArea dataOnly="0" labelOnly="1" grandRow="1" outline="0" fieldPosition="0"/>
    </format>
    <format dxfId="74">
      <pivotArea dataOnly="0" labelOnly="1" outline="0" axis="axisValues" fieldPosition="0"/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dataOnly="0" labelOnly="1" grandRow="1" outline="0" fieldPosition="0"/>
    </format>
    <format dxfId="70">
      <pivotArea dataOnly="0" labelOnly="1" outline="0" axis="axisValues" fieldPosition="0"/>
    </format>
    <format dxfId="69">
      <pivotArea field="27" type="button" dataOnly="0" labelOnly="1" outline="0" axis="axisPage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dataOnly="0" labelOnly="1" outline="0" axis="axisValues" fieldPosition="0"/>
    </format>
    <format dxfId="62">
      <pivotArea outline="0" collapsedLevelsAreSubtotals="1" fieldPosition="0"/>
    </format>
    <format dxfId="61">
      <pivotArea dataOnly="0" labelOnly="1" grandRow="1" outline="0" fieldPosition="0"/>
    </format>
    <format dxfId="60">
      <pivotArea dataOnly="0" labelOnly="1" grandRow="1" outline="0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55">
      <pivotArea dataOnly="0" labelOnly="1" fieldPosition="0">
        <references count="1">
          <reference field="6" count="0"/>
        </references>
      </pivotArea>
    </format>
    <format dxfId="54">
      <pivotArea dataOnly="0" labelOnly="1" fieldPosition="0">
        <references count="1">
          <reference field="6" count="0"/>
        </references>
      </pivotArea>
    </format>
    <format dxfId="53">
      <pivotArea field="27" type="button" dataOnly="0" labelOnly="1" outline="0" axis="axisPage" fieldPosition="0"/>
    </format>
    <format dxfId="52">
      <pivotArea field="6" type="button" dataOnly="0" labelOnly="1" outline="0" axis="axisRow" fieldPosition="0"/>
    </format>
    <format dxfId="51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50">
      <pivotArea dataOnly="0" labelOnly="1" grandRow="1" outline="0" fieldPosition="0"/>
    </format>
    <format dxfId="49">
      <pivotArea field="27" type="button" dataOnly="0" labelOnly="1" outline="0" axis="axisPage" fieldPosition="0"/>
    </format>
    <format dxfId="48">
      <pivotArea field="6" type="button" dataOnly="0" labelOnly="1" outline="0" axis="axisRow" fieldPosition="0"/>
    </format>
    <format dxfId="47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4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1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compact="0" showAll="0"/>
    <pivotField axis="axisRow" compact="0" showAll="0">
      <items count="9">
        <item x="3"/>
        <item x="0"/>
        <item x="1"/>
        <item x="2"/>
        <item x="4"/>
        <item m="1" x="7"/>
        <item m="1" x="6"/>
        <item x="5"/>
        <item t="default"/>
      </items>
    </pivotField>
    <pivotField dataField="1" compact="0" showAll="0">
      <items count="9">
        <item x="3"/>
        <item x="0"/>
        <item x="1"/>
        <item x="2"/>
        <item x="4"/>
        <item m="1" x="7"/>
        <item m="1" x="6"/>
        <item x="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3"/>
        <item x="1"/>
        <item x="0"/>
        <item x="2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181">
      <pivotArea outline="0" collapsedLevelsAreSubtotals="1" fieldPosition="0"/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77">
      <pivotArea dataOnly="0" labelOnly="1" grandCol="1" outline="0" fieldPosition="0"/>
    </format>
    <format dxfId="176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75">
      <pivotArea dataOnly="0" labelOnly="1" grandCol="1" outline="0" fieldPosition="0"/>
    </format>
    <format dxfId="174">
      <pivotArea type="origin" dataOnly="0" labelOnly="1" outline="0" fieldPosition="0"/>
    </format>
    <format dxfId="173">
      <pivotArea field="18" type="button" dataOnly="0" labelOnly="1" outline="0" axis="axisCol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type="origin" dataOnly="0" labelOnly="1" outline="0" fieldPosition="0"/>
    </format>
    <format dxfId="169">
      <pivotArea field="18" type="button" dataOnly="0" labelOnly="1" outline="0" axis="axisCol" fieldPosition="0"/>
    </format>
    <format dxfId="168">
      <pivotArea type="topRight" dataOnly="0" labelOnly="1" outline="0" fieldPosition="0"/>
    </format>
    <format dxfId="167">
      <pivotArea dataOnly="0" labelOnly="1" grandRow="1" outline="0" fieldPosition="0"/>
    </format>
    <format dxfId="16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65">
      <pivotArea dataOnly="0" labelOnly="1" grandCol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type="origin" dataOnly="0" labelOnly="1" outline="0" fieldPosition="0"/>
    </format>
    <format dxfId="161">
      <pivotArea field="18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Row="1" outline="0" fieldPosition="0"/>
    </format>
    <format dxfId="15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57">
      <pivotArea dataOnly="0" labelOnly="1" grandCol="1" outline="0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type="origin" dataOnly="0" labelOnly="1" outline="0" fieldPosition="0"/>
    </format>
    <format dxfId="153">
      <pivotArea field="18" type="button" dataOnly="0" labelOnly="1" outline="0" axis="axisCol" fieldPosition="0"/>
    </format>
    <format dxfId="152">
      <pivotArea type="topRight" dataOnly="0" labelOnly="1" outline="0" fieldPosition="0"/>
    </format>
    <format dxfId="151">
      <pivotArea dataOnly="0" labelOnly="1" grandRow="1" outline="0" fieldPosition="0"/>
    </format>
    <format dxfId="15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49">
      <pivotArea dataOnly="0" labelOnly="1" grandCol="1" outline="0" fieldPosition="0"/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type="origin" dataOnly="0" labelOnly="1" outline="0" fieldPosition="0"/>
    </format>
    <format dxfId="145">
      <pivotArea field="18" type="button" dataOnly="0" labelOnly="1" outline="0" axis="axisCol" fieldPosition="0"/>
    </format>
    <format dxfId="144">
      <pivotArea type="topRight" dataOnly="0" labelOnly="1" outline="0" fieldPosition="0"/>
    </format>
    <format dxfId="143">
      <pivotArea dataOnly="0" labelOnly="1" grandRow="1" outline="0" fieldPosition="0"/>
    </format>
    <format dxfId="14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41">
      <pivotArea dataOnly="0" labelOnly="1" grandCol="1" outline="0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type="origin" dataOnly="0" labelOnly="1" outline="0" fieldPosition="0"/>
    </format>
    <format dxfId="137">
      <pivotArea dataOnly="0" labelOnly="1" grandRow="1" outline="0" fieldPosition="0"/>
    </format>
    <format dxfId="13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35">
      <pivotArea dataOnly="0" labelOnly="1" grandCol="1" outline="0" fieldPosition="0"/>
    </format>
    <format dxfId="134">
      <pivotArea outline="0" collapsedLevelsAreSubtotals="1" fieldPosition="0"/>
    </format>
    <format dxfId="13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32">
      <pivotArea dataOnly="0" labelOnly="1" grandCol="1" outline="0" fieldPosition="0"/>
    </format>
    <format dxfId="131">
      <pivotArea type="origin" dataOnly="0" labelOnly="1" outline="0" fieldPosition="0"/>
    </format>
    <format dxfId="130">
      <pivotArea dataOnly="0" labelOnly="1" grandRow="1" outline="0" fieldPosition="0"/>
    </format>
    <format dxfId="129">
      <pivotArea outline="0" collapsedLevelsAreSubtotals="1" fieldPosition="0"/>
    </format>
    <format dxfId="12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27">
      <pivotArea dataOnly="0" labelOnly="1" grandCol="1" outline="0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18" type="button" dataOnly="0" labelOnly="1" outline="0" axis="axisCol" fieldPosition="0"/>
    </format>
    <format dxfId="122">
      <pivotArea type="topRight" dataOnly="0" labelOnly="1" outline="0" fieldPosition="0"/>
    </format>
    <format dxfId="121">
      <pivotArea dataOnly="0" labelOnly="1" grandRow="1" outline="0" fieldPosition="0"/>
    </format>
    <format dxfId="12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19">
      <pivotArea dataOnly="0" labelOnly="1" grandCol="1" outline="0" fieldPosition="0"/>
    </format>
    <format>
      <pivotArea type="all" dataOnly="0" outline="0" fieldPosition="0"/>
    </format>
    <format dxfId="118">
      <pivotArea type="origin" dataOnly="0" labelOnly="1" outline="0" fieldPosition="0"/>
    </format>
    <format dxfId="117">
      <pivotArea field="18" type="button" dataOnly="0" labelOnly="1" outline="0" axis="axisCol" fieldPosition="0"/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field="18" type="button" dataOnly="0" labelOnly="1" outline="0" axis="axisCol" fieldPosition="0"/>
    </format>
    <format dxfId="113">
      <pivotArea type="topRight" dataOnly="0" labelOnly="1" outline="0" fieldPosition="0"/>
    </format>
    <format dxfId="11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11">
      <pivotArea dataOnly="0" labelOnly="1" grandCol="1" outline="0" fieldPosition="0"/>
    </format>
    <format dxfId="110">
      <pivotArea type="origin" dataOnly="0" labelOnly="1" outline="0" fieldPosition="0"/>
    </format>
    <format dxfId="109">
      <pivotArea dataOnly="0" labelOnly="1" grandRow="1" outline="0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18" type="button" dataOnly="0" labelOnly="1" outline="0" axis="axisCol" fieldPosition="0"/>
    </format>
    <format dxfId="104">
      <pivotArea type="topRight" dataOnly="0" labelOnly="1" outline="0" fieldPosition="0"/>
    </format>
    <format dxfId="103">
      <pivotArea dataOnly="0" labelOnly="1" grandRow="1" outline="0" fieldPosition="0"/>
    </format>
    <format dxfId="10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1">
      <pivotArea dataOnly="0" labelOnly="1" grandCol="1" outline="0" fieldPosition="0"/>
    </format>
    <format dxfId="100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99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98">
      <pivotArea field="6" type="button" dataOnly="0" labelOnly="1" outline="0"/>
    </format>
    <format dxfId="97">
      <pivotArea fieldPosition="0">
        <references count="1">
          <reference field="5" count="2">
            <x v="5"/>
            <x v="6"/>
          </reference>
        </references>
      </pivotArea>
    </format>
    <format dxfId="96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95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94">
      <pivotArea fieldPosition="0">
        <references count="1">
          <reference field="5" count="1">
            <x v="4"/>
          </reference>
        </references>
      </pivotArea>
    </format>
    <format dxfId="93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92">
      <pivotArea type="origin" dataOnly="0" labelOnly="1" outline="0" fieldPosition="0"/>
    </format>
    <format dxfId="91">
      <pivotArea field="5" type="button" dataOnly="0" labelOnly="1" outline="0" axis="axisRow" fieldPosition="0"/>
    </format>
    <format dxfId="90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89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4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1:T127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414"/>
        <item m="1" x="7998"/>
        <item m="1" x="6856"/>
        <item m="1" x="4674"/>
        <item m="1" x="7988"/>
        <item m="1" x="7959"/>
        <item m="1" x="1168"/>
        <item m="1" x="5710"/>
        <item m="1" x="6855"/>
        <item m="1" x="7205"/>
        <item m="1" x="6857"/>
        <item m="1" x="6129"/>
        <item m="1" x="4649"/>
        <item m="1" x="6944"/>
        <item m="1" x="7992"/>
        <item m="1" x="7986"/>
        <item m="1" x="6860"/>
        <item m="1" x="6858"/>
        <item m="1" x="6947"/>
        <item m="1" x="6946"/>
        <item m="1" x="6945"/>
        <item m="1" x="6948"/>
        <item m="1" x="6949"/>
        <item m="1" x="7987"/>
        <item m="1" x="6859"/>
        <item m="1" x="6943"/>
        <item m="1" x="6950"/>
        <item m="1" x="6942"/>
        <item m="1" x="6952"/>
        <item m="1" x="7790"/>
        <item m="1" x="5034"/>
        <item m="1" x="7984"/>
        <item m="1" x="7204"/>
        <item m="1" x="6689"/>
        <item m="1" x="7714"/>
        <item m="1" x="5733"/>
        <item m="1" x="5726"/>
        <item m="1" x="7930"/>
        <item m="1" x="6342"/>
        <item m="1" x="6114"/>
        <item m="1" x="4976"/>
        <item m="1" x="7969"/>
        <item m="1" x="7968"/>
        <item m="1" x="7762"/>
        <item m="1" x="7997"/>
        <item m="1" x="6136"/>
        <item m="1" x="7994"/>
        <item m="1" x="7955"/>
        <item m="1" x="5725"/>
        <item m="1" x="7941"/>
        <item m="1" x="7937"/>
        <item m="1" x="7995"/>
        <item m="1" x="7935"/>
        <item m="1" x="7931"/>
        <item m="1" x="7971"/>
        <item m="1" x="7976"/>
        <item m="1" x="7990"/>
        <item m="1" x="7993"/>
        <item m="1" x="7975"/>
        <item m="1" x="1409"/>
        <item m="1" x="7915"/>
        <item m="1" x="7936"/>
        <item m="1" x="7933"/>
        <item m="1" x="7934"/>
        <item m="1" x="7963"/>
        <item m="1" x="7977"/>
        <item m="1" x="7950"/>
        <item m="1" x="7946"/>
        <item m="1" x="7958"/>
        <item m="1" x="7981"/>
        <item m="1" x="2909"/>
        <item m="1" x="7974"/>
        <item m="1" x="7967"/>
        <item m="1" x="7947"/>
        <item m="1" x="7951"/>
        <item m="1" x="2154"/>
        <item m="1" x="5843"/>
        <item m="1" x="7341"/>
        <item m="1" x="7996"/>
        <item m="1" x="7957"/>
        <item m="1" x="7945"/>
        <item m="1" x="7962"/>
        <item m="1" x="7758"/>
        <item m="1" x="1186"/>
        <item m="1" x="7938"/>
        <item m="1" x="7932"/>
        <item m="1" x="7939"/>
        <item m="1" x="7985"/>
        <item m="1" x="7989"/>
        <item m="1" x="7965"/>
        <item m="1" x="7944"/>
        <item m="1" x="7954"/>
        <item m="1" x="7943"/>
        <item m="1" x="7956"/>
        <item m="1" x="7978"/>
        <item m="1" x="7961"/>
        <item m="1" x="7982"/>
        <item m="1" x="7983"/>
        <item m="1" x="7942"/>
        <item m="1" x="5288"/>
        <item m="1" x="7709"/>
        <item m="1" x="7964"/>
        <item m="1" x="7970"/>
        <item m="1" x="7952"/>
        <item m="1" x="7966"/>
        <item m="1" x="7980"/>
        <item m="1" x="7973"/>
        <item m="1" x="7979"/>
        <item m="1" x="7999"/>
        <item m="1" x="7953"/>
        <item m="1" x="6531"/>
        <item m="1" x="6243"/>
        <item m="1" x="7991"/>
        <item m="1" x="7920"/>
        <item m="1" x="7919"/>
        <item m="1" x="7921"/>
        <item m="1" x="4653"/>
        <item m="1" x="6412"/>
        <item m="1" x="7444"/>
        <item m="1" x="7913"/>
        <item m="1" x="7914"/>
        <item m="1" x="4891"/>
        <item m="1" x="7767"/>
        <item m="1" x="5746"/>
        <item m="1" x="5736"/>
        <item m="1" x="6958"/>
        <item m="1" x="7972"/>
        <item m="1" x="2383"/>
        <item m="1" x="5132"/>
        <item m="1" x="7445"/>
        <item m="1" x="7446"/>
        <item m="1" x="4778"/>
        <item m="1" x="4793"/>
        <item m="1" x="4792"/>
        <item m="1" x="4858"/>
        <item m="1" x="4857"/>
        <item m="1" x="4856"/>
        <item m="1" x="4084"/>
        <item m="1" x="4855"/>
        <item m="1" x="4854"/>
        <item m="1" x="4853"/>
        <item m="1" x="7656"/>
        <item m="1" x="7374"/>
        <item m="1" x="4925"/>
        <item m="1" x="7916"/>
        <item m="1" x="4815"/>
        <item m="1" x="7779"/>
        <item m="1" x="4989"/>
        <item m="1" x="4766"/>
        <item m="1" x="7252"/>
        <item m="1" x="4860"/>
        <item m="1" x="4859"/>
        <item m="1" x="4900"/>
        <item m="1" x="4926"/>
        <item m="1" x="4671"/>
        <item m="1" x="5267"/>
        <item m="1" x="5709"/>
        <item m="1" x="6959"/>
        <item m="1" x="5031"/>
        <item m="1" x="7778"/>
        <item m="1" x="4927"/>
        <item m="1" x="7794"/>
        <item m="1" x="4897"/>
        <item m="1" x="7532"/>
        <item m="1" x="7522"/>
        <item m="1" x="7529"/>
        <item m="1" x="7741"/>
        <item m="1" x="7437"/>
        <item m="1" x="7438"/>
        <item m="1" x="5442"/>
        <item m="1" x="7712"/>
        <item m="1" x="4895"/>
        <item m="1" x="7780"/>
        <item m="1" x="7769"/>
        <item m="1" x="4991"/>
        <item m="1" x="4794"/>
        <item m="1" x="7340"/>
        <item m="1" x="7355"/>
        <item m="1" x="4662"/>
        <item m="1" x="4814"/>
        <item m="1" x="7165"/>
        <item m="1" x="3679"/>
        <item m="1" x="7457"/>
        <item m="1" x="7844"/>
        <item m="1" x="6960"/>
        <item m="1" x="6521"/>
        <item m="1" x="1092"/>
        <item m="1" x="7740"/>
        <item m="1" x="7439"/>
        <item m="1" x="7801"/>
        <item m="1" x="6539"/>
        <item m="1" x="5045"/>
        <item m="1" x="4820"/>
        <item m="1" x="7732"/>
        <item m="1" x="4732"/>
        <item m="1" x="6538"/>
        <item m="1" x="7381"/>
        <item m="1" x="4893"/>
        <item m="1" x="6961"/>
        <item m="1" x="4776"/>
        <item m="1" x="4863"/>
        <item m="1" x="4871"/>
        <item m="1" x="4841"/>
        <item m="1" x="7786"/>
        <item m="1" x="7774"/>
        <item m="1" x="1463"/>
        <item m="1" x="1460"/>
        <item m="1" x="7772"/>
        <item m="1" x="4756"/>
        <item m="1" x="7796"/>
        <item m="1" x="7647"/>
        <item m="1" x="4736"/>
        <item m="1" x="4737"/>
        <item m="1" x="5508"/>
        <item m="1" x="4752"/>
        <item m="1" x="4751"/>
        <item m="1" x="7810"/>
        <item m="1" x="7729"/>
        <item m="1" x="5245"/>
        <item m="1" x="6131"/>
        <item m="1" x="7852"/>
        <item m="1" x="3835"/>
        <item m="1" x="7343"/>
        <item m="1" x="7711"/>
        <item m="1" x="1499"/>
        <item m="1" x="6133"/>
        <item m="1" x="7773"/>
        <item m="1" x="7771"/>
        <item m="1" x="7785"/>
        <item m="1" x="7789"/>
        <item m="1" x="4924"/>
        <item m="1" x="4787"/>
        <item m="1" x="4777"/>
        <item m="1" x="7845"/>
        <item m="1" x="7853"/>
        <item m="1" x="7832"/>
        <item m="1" x="7797"/>
        <item m="1" x="7371"/>
        <item m="1" x="7817"/>
        <item m="1" x="6144"/>
        <item m="1" x="4996"/>
        <item m="1" x="7757"/>
        <item m="1" x="4472"/>
        <item m="1" x="4783"/>
        <item m="1" x="4767"/>
        <item m="1" x="4992"/>
        <item m="1" x="7354"/>
        <item m="1" x="7811"/>
        <item m="1" x="7812"/>
        <item m="1" x="7813"/>
        <item m="1" x="7820"/>
        <item m="1" x="4738"/>
        <item m="1" x="7856"/>
        <item m="1" x="7851"/>
        <item m="1" x="4904"/>
        <item m="1" x="717"/>
        <item m="1" x="5265"/>
        <item m="1" x="6962"/>
        <item m="1" x="4972"/>
        <item m="1" x="7847"/>
        <item m="1" x="7928"/>
        <item m="1" x="7940"/>
        <item m="1" x="6787"/>
        <item m="1" x="4946"/>
        <item m="1" x="4993"/>
        <item m="1" x="4994"/>
        <item m="1" x="5037"/>
        <item m="1" x="7534"/>
        <item m="1" x="7720"/>
        <item m="1" x="7721"/>
        <item m="1" x="4983"/>
        <item m="1" x="7734"/>
        <item m="1" x="4894"/>
        <item m="1" x="6132"/>
        <item m="1" x="7850"/>
        <item m="1" x="7737"/>
        <item m="1" x="7270"/>
        <item m="1" x="4870"/>
        <item m="1" x="4881"/>
        <item m="1" x="6879"/>
        <item m="1" x="4832"/>
        <item m="1" x="4678"/>
        <item m="1" x="6204"/>
        <item m="1" x="4754"/>
        <item m="1" x="4755"/>
        <item m="1" x="4995"/>
        <item m="1" x="4775"/>
        <item m="1" x="5033"/>
        <item m="1" x="7730"/>
        <item m="1" x="7292"/>
        <item m="1" x="7662"/>
        <item m="1" x="7838"/>
        <item m="1" x="7837"/>
        <item m="1" x="7586"/>
        <item m="1" x="4743"/>
        <item m="1" x="7666"/>
        <item m="1" x="7672"/>
        <item m="1" x="7673"/>
        <item m="1" x="7376"/>
        <item m="1" x="4852"/>
        <item m="1" x="7854"/>
        <item m="1" x="7602"/>
        <item m="1" x="4973"/>
        <item m="1" x="6963"/>
        <item m="1" x="1492"/>
        <item m="1" x="7448"/>
        <item m="1" x="7443"/>
        <item m="1" x="7693"/>
        <item m="1" x="7887"/>
        <item m="1" x="7654"/>
        <item m="1" x="7883"/>
        <item m="1" x="7752"/>
        <item m="1" x="7633"/>
        <item m="1" x="7917"/>
        <item m="1" x="7760"/>
        <item m="1" x="4839"/>
        <item m="1" x="7763"/>
        <item m="1" x="6505"/>
        <item m="1" x="4735"/>
        <item m="1" x="2184"/>
        <item m="1" x="6524"/>
        <item m="1" x="6526"/>
        <item m="1" x="4864"/>
        <item m="1" x="7655"/>
        <item m="1" x="6957"/>
        <item m="1" x="7819"/>
        <item m="1" x="6965"/>
        <item m="1" x="7827"/>
        <item m="1" x="7830"/>
        <item m="1" x="7831"/>
        <item m="1" x="7833"/>
        <item m="1" x="7834"/>
        <item m="1" x="7835"/>
        <item m="1" x="7836"/>
        <item m="1" x="7667"/>
        <item m="1" x="7842"/>
        <item m="1" x="7668"/>
        <item m="1" x="7739"/>
        <item m="1" x="7370"/>
        <item m="1" x="7736"/>
        <item m="1" x="6861"/>
        <item m="1" x="7846"/>
        <item m="1" x="6862"/>
        <item m="1" x="7869"/>
        <item m="1" x="7868"/>
        <item m="1" x="7855"/>
        <item m="1" x="7859"/>
        <item m="1" x="6442"/>
        <item m="1" x="7871"/>
        <item m="1" x="7293"/>
        <item m="1" x="2896"/>
        <item m="1" x="7881"/>
        <item m="1" x="7788"/>
        <item m="1" x="7888"/>
        <item m="1" x="6718"/>
        <item m="1" x="7884"/>
        <item m="1" x="7885"/>
        <item m="1" x="7896"/>
        <item m="1" x="7899"/>
        <item m="1" x="7910"/>
        <item m="1" x="7906"/>
        <item m="1" x="7907"/>
        <item m="1" x="7908"/>
        <item m="1" x="7912"/>
        <item m="1" x="6026"/>
        <item m="1" x="7918"/>
        <item m="1" x="7556"/>
        <item m="1" x="4681"/>
        <item m="1" x="7768"/>
        <item m="1" x="7777"/>
        <item m="1" x="7775"/>
        <item m="1" x="7776"/>
        <item m="1" x="4987"/>
        <item m="1" x="7784"/>
        <item m="1" x="7793"/>
        <item m="1" x="7792"/>
        <item m="1" x="7328"/>
        <item m="1" x="4099"/>
        <item m="1" x="4842"/>
        <item m="1" x="4866"/>
        <item m="1" x="4865"/>
        <item m="1" x="6525"/>
        <item m="1" x="4867"/>
        <item m="1" x="4851"/>
        <item m="1" x="7798"/>
        <item m="1" x="7799"/>
        <item m="1" x="6964"/>
        <item m="1" x="7349"/>
        <item m="1" x="7347"/>
        <item m="1" x="4648"/>
        <item m="1" x="7561"/>
        <item m="1" x="5741"/>
        <item m="1" x="5747"/>
        <item m="1" x="7664"/>
        <item m="1" x="7823"/>
        <item m="1" x="7824"/>
        <item m="1" x="7825"/>
        <item m="1" x="7826"/>
        <item m="1" x="7828"/>
        <item m="1" x="7829"/>
        <item m="1" x="4768"/>
        <item m="1" x="7839"/>
        <item m="1" x="7840"/>
        <item m="1" x="7841"/>
        <item m="1" x="7843"/>
        <item m="1" x="7735"/>
        <item m="1" x="7742"/>
        <item m="1" x="7743"/>
        <item m="1" x="7744"/>
        <item m="1" x="7746"/>
        <item m="1" x="7747"/>
        <item m="1" x="7748"/>
        <item m="1" x="7749"/>
        <item m="1" x="7745"/>
        <item m="1" x="7848"/>
        <item m="1" x="7849"/>
        <item m="1" x="7949"/>
        <item m="1" x="7857"/>
        <item m="1" x="7858"/>
        <item m="1" x="7860"/>
        <item m="1" x="7861"/>
        <item m="1" x="7862"/>
        <item m="1" x="7863"/>
        <item m="1" x="7864"/>
        <item m="1" x="7865"/>
        <item m="1" x="7866"/>
        <item m="1" x="7867"/>
        <item m="1" x="7870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2"/>
        <item m="1" x="2185"/>
        <item m="1" x="7886"/>
        <item m="1" x="7889"/>
        <item m="1" x="7890"/>
        <item m="1" x="7891"/>
        <item m="1" x="7892"/>
        <item m="1" x="7699"/>
        <item m="1" x="7893"/>
        <item m="1" x="7894"/>
        <item m="1" x="7895"/>
        <item m="1" x="7897"/>
        <item m="1" x="7898"/>
        <item m="1" x="7900"/>
        <item m="1" x="7901"/>
        <item m="1" x="6972"/>
        <item m="1" x="7902"/>
        <item m="1" x="7903"/>
        <item m="1" x="7904"/>
        <item m="1" x="7905"/>
        <item m="1" x="7909"/>
        <item m="1" x="7911"/>
        <item m="1" x="7922"/>
        <item m="1" x="7923"/>
        <item m="1" x="7924"/>
        <item m="1" x="7925"/>
        <item m="1" x="4878"/>
        <item m="1" x="7926"/>
        <item m="1" x="7927"/>
        <item m="1" x="7929"/>
        <item m="1" x="6033"/>
        <item m="1" x="7761"/>
        <item m="1" x="7948"/>
        <item m="1" x="7764"/>
        <item m="1" x="7960"/>
        <item m="1" x="7781"/>
        <item m="1" x="4940"/>
        <item m="1" x="7787"/>
        <item m="1" x="7791"/>
        <item m="1" x="4808"/>
        <item m="1" x="7330"/>
        <item m="1" x="7795"/>
        <item m="1" x="7353"/>
        <item m="1" x="5724"/>
        <item m="1" x="6055"/>
        <item m="1" x="4872"/>
        <item m="1" x="5735"/>
        <item m="1" x="7815"/>
        <item m="1" x="7818"/>
        <item m="1" x="7562"/>
        <item m="1" x="7733"/>
        <item m="1" x="7657"/>
        <item m="1" x="7548"/>
        <item m="1" x="7669"/>
        <item m="1" x="7670"/>
        <item m="1" x="7364"/>
        <item m="1" x="7375"/>
        <item m="1" x="7738"/>
        <item m="1" x="7660"/>
        <item m="1" x="7682"/>
        <item m="1" x="7688"/>
        <item m="1" x="7750"/>
        <item m="1" x="7751"/>
        <item m="1" x="7694"/>
        <item m="1" x="7605"/>
        <item m="1" x="7606"/>
        <item m="1" x="7607"/>
        <item m="1" x="7603"/>
        <item m="1" x="7604"/>
        <item m="1" x="7753"/>
        <item m="1" x="7427"/>
        <item m="1" x="7428"/>
        <item m="1" x="7620"/>
        <item m="1" x="7719"/>
        <item m="1" x="7754"/>
        <item m="1" x="7493"/>
        <item m="1" x="7755"/>
        <item m="1" x="7538"/>
        <item m="1" x="7756"/>
        <item m="1" x="4883"/>
        <item m="1" x="7759"/>
        <item m="1" x="7322"/>
        <item m="1" x="7323"/>
        <item m="1" x="6529"/>
        <item m="1" x="4969"/>
        <item m="1" x="7765"/>
        <item m="1" x="7766"/>
        <item m="1" x="7770"/>
        <item m="1" x="7782"/>
        <item m="1" x="7783"/>
        <item m="1" x="7716"/>
        <item m="1" x="7715"/>
        <item m="1" x="7325"/>
        <item m="1" x="4905"/>
        <item m="1" x="7338"/>
        <item m="1" x="4779"/>
        <item m="1" x="4780"/>
        <item m="1" x="4734"/>
        <item m="1" x="7800"/>
        <item m="1" x="5707"/>
        <item m="1" x="5705"/>
        <item m="1" x="5706"/>
        <item m="1" x="7802"/>
        <item m="1" x="7803"/>
        <item m="1" x="7544"/>
        <item m="1" x="7804"/>
        <item m="1" x="7352"/>
        <item m="1" x="7805"/>
        <item m="1" x="7806"/>
        <item m="1" x="7807"/>
        <item m="1" x="7808"/>
        <item m="1" x="7809"/>
        <item m="1" x="5715"/>
        <item m="1" x="7814"/>
        <item m="1" x="7816"/>
        <item m="1" x="7565"/>
        <item m="1" x="7821"/>
        <item m="1" x="7822"/>
        <item m="1" x="7489"/>
        <item m="1" x="7658"/>
        <item m="1" x="7659"/>
        <item m="1" x="7504"/>
        <item m="1" x="7661"/>
        <item m="1" x="7663"/>
        <item m="1" x="7665"/>
        <item m="1" x="7366"/>
        <item m="1" x="7429"/>
        <item m="1" x="7671"/>
        <item m="1" x="6954"/>
        <item m="1" x="7372"/>
        <item m="1" x="7373"/>
        <item m="1" x="7674"/>
        <item m="1" x="7675"/>
        <item m="1" x="7676"/>
        <item m="1" x="7677"/>
        <item m="1" x="7678"/>
        <item m="1" x="7475"/>
        <item m="1" x="7679"/>
        <item m="1" x="7680"/>
        <item m="1" x="7681"/>
        <item m="1" x="7683"/>
        <item m="1" x="7393"/>
        <item m="1" x="7684"/>
        <item m="1" x="7685"/>
        <item m="1" x="7686"/>
        <item m="1" x="7687"/>
        <item m="1" x="7689"/>
        <item m="1" x="7690"/>
        <item m="1" x="7691"/>
        <item m="1" x="7692"/>
        <item m="1" x="7406"/>
        <item m="1" x="7411"/>
        <item m="1" x="7177"/>
        <item m="1" x="7695"/>
        <item m="1" x="7696"/>
        <item m="1" x="7456"/>
        <item m="1" x="7697"/>
        <item m="1" x="7698"/>
        <item m="1" x="7700"/>
        <item m="1" x="7625"/>
        <item m="1" x="7701"/>
        <item m="1" x="7465"/>
        <item m="1" x="6970"/>
        <item m="1" x="4757"/>
        <item m="1" x="7702"/>
        <item m="1" x="7703"/>
        <item m="1" x="7485"/>
        <item m="1" x="7704"/>
        <item m="1" x="7705"/>
        <item m="1" x="7486"/>
        <item m="1" x="7626"/>
        <item m="1" x="7627"/>
        <item m="1" x="7517"/>
        <item m="1" x="7706"/>
        <item m="1" x="7707"/>
        <item m="1" x="7708"/>
        <item m="1" x="7195"/>
        <item m="1" x="7710"/>
        <item m="1" x="7199"/>
        <item m="1" x="6863"/>
        <item m="1" x="7713"/>
        <item m="1" x="7329"/>
        <item m="1" x="7333"/>
        <item m="1" x="4873"/>
        <item m="1" x="7717"/>
        <item m="1" x="7718"/>
        <item m="1" x="7524"/>
        <item m="1" x="4657"/>
        <item m="1" x="4770"/>
        <item m="1" x="6523"/>
        <item m="1" x="4769"/>
        <item m="1" x="6528"/>
        <item m="1" x="4876"/>
        <item m="1" x="4874"/>
        <item m="1" x="7535"/>
        <item m="1" x="7536"/>
        <item m="1" x="6207"/>
        <item m="1" x="7539"/>
        <item m="1" x="7541"/>
        <item m="1" x="7542"/>
        <item m="1" x="3273"/>
        <item m="1" x="7346"/>
        <item m="1" x="7350"/>
        <item m="1" x="7220"/>
        <item m="1" x="7722"/>
        <item m="1" x="7723"/>
        <item m="1" x="7724"/>
        <item m="1" x="7725"/>
        <item m="1" x="7726"/>
        <item m="1" x="7727"/>
        <item m="1" x="7728"/>
        <item m="1" x="7549"/>
        <item m="1" x="7554"/>
        <item m="1" x="7555"/>
        <item m="1" x="7557"/>
        <item m="1" x="7559"/>
        <item m="1" x="7579"/>
        <item m="1" x="7563"/>
        <item m="1" x="6939"/>
        <item m="1" x="7566"/>
        <item m="1" x="7731"/>
        <item m="1" x="6935"/>
        <item m="1" x="7569"/>
        <item m="1" x="7570"/>
        <item m="1" x="7571"/>
        <item m="1" x="7572"/>
        <item m="1" x="7573"/>
        <item m="1" x="7574"/>
        <item m="1" x="5708"/>
        <item m="1" x="7575"/>
        <item m="1" x="7576"/>
        <item m="1" x="7577"/>
        <item m="1" x="7362"/>
        <item m="1" x="7578"/>
        <item m="1" x="7580"/>
        <item m="1" x="7581"/>
        <item m="1" x="7582"/>
        <item m="1" x="7583"/>
        <item m="1" x="7584"/>
        <item m="1" x="7410"/>
        <item m="1" x="7585"/>
        <item m="1" x="7587"/>
        <item m="1" x="7365"/>
        <item m="1" x="7588"/>
        <item m="1" x="7589"/>
        <item m="1" x="6966"/>
        <item m="1" x="6156"/>
        <item m="1" x="7590"/>
        <item m="1" x="7441"/>
        <item m="1" x="7591"/>
        <item m="1" x="7592"/>
        <item m="1" x="7369"/>
        <item m="1" x="7301"/>
        <item m="1" x="7593"/>
        <item m="1" x="6969"/>
        <item m="1" x="5439"/>
        <item m="1" x="7594"/>
        <item m="1" x="7595"/>
        <item m="1" x="7596"/>
        <item m="1" x="7597"/>
        <item m="1" x="7598"/>
        <item m="1" x="7394"/>
        <item m="1" x="7400"/>
        <item m="1" x="7401"/>
        <item m="1" x="7599"/>
        <item m="1" x="7600"/>
        <item m="1" x="7601"/>
        <item m="1" x="7413"/>
        <item m="1" x="7418"/>
        <item m="1" x="7430"/>
        <item m="1" x="7421"/>
        <item m="1" x="7431"/>
        <item m="1" x="7608"/>
        <item m="1" x="6681"/>
        <item m="1" x="7609"/>
        <item m="1" x="7610"/>
        <item m="1" x="6200"/>
        <item m="1" x="7419"/>
        <item m="1" x="7611"/>
        <item m="1" x="7435"/>
        <item m="1" x="7436"/>
        <item m="1" x="7450"/>
        <item m="1" x="7452"/>
        <item m="1" x="7453"/>
        <item m="1" x="6967"/>
        <item m="1" x="6968"/>
        <item m="1" x="7451"/>
        <item m="1" x="7612"/>
        <item m="1" x="7613"/>
        <item m="1" x="6355"/>
        <item m="1" x="7454"/>
        <item m="1" x="7614"/>
        <item m="1" x="7389"/>
        <item m="1" x="7025"/>
        <item m="1" x="7615"/>
        <item m="1" x="7616"/>
        <item m="1" x="7617"/>
        <item m="1" x="7461"/>
        <item m="1" x="7618"/>
        <item m="1" x="7619"/>
        <item m="1" x="7462"/>
        <item m="1" x="7470"/>
        <item m="1" x="7471"/>
        <item m="1" x="7472"/>
        <item m="1" x="7468"/>
        <item m="1" x="7469"/>
        <item m="1" x="7481"/>
        <item m="1" x="7474"/>
        <item m="1" x="7621"/>
        <item m="1" x="7622"/>
        <item m="1" x="7623"/>
        <item m="1" x="7624"/>
        <item m="1" x="7484"/>
        <item m="1" x="7495"/>
        <item m="1" x="7492"/>
        <item m="1" x="7488"/>
        <item m="1" x="7494"/>
        <item m="1" x="7491"/>
        <item m="1" x="7500"/>
        <item m="1" x="7501"/>
        <item m="1" x="7506"/>
        <item m="1" x="7628"/>
        <item m="1" x="7502"/>
        <item m="1" x="7511"/>
        <item m="1" x="7503"/>
        <item m="1" x="7505"/>
        <item m="1" x="7507"/>
        <item m="1" x="7629"/>
        <item m="1" x="7630"/>
        <item m="1" x="7513"/>
        <item m="1" x="7514"/>
        <item m="1" x="7515"/>
        <item m="1" x="7516"/>
        <item m="1" x="6546"/>
        <item m="1" x="6547"/>
        <item m="1" x="5648"/>
        <item m="1" x="7249"/>
        <item m="1" x="7631"/>
        <item m="1" x="7632"/>
        <item m="1" x="7520"/>
        <item m="1" x="7634"/>
        <item m="1" x="7635"/>
        <item m="1" x="7636"/>
        <item m="1" x="7531"/>
        <item m="1" x="6955"/>
        <item m="1" x="4742"/>
        <item m="1" x="7637"/>
        <item m="1" x="7638"/>
        <item m="1" x="4812"/>
        <item m="1" x="4804"/>
        <item m="1" x="4805"/>
        <item m="1" x="6408"/>
        <item m="1" x="4811"/>
        <item m="1" x="7326"/>
        <item m="1" x="7327"/>
        <item m="1" x="4833"/>
        <item m="1" x="4655"/>
        <item m="1" x="4656"/>
        <item m="1" x="6130"/>
        <item m="1" x="7639"/>
        <item m="1" x="7640"/>
        <item m="1" x="7641"/>
        <item m="1" x="7642"/>
        <item m="1" x="7643"/>
        <item m="1" x="7644"/>
        <item m="1" x="7645"/>
        <item m="1" x="7214"/>
        <item m="1" x="4758"/>
        <item m="1" x="7646"/>
        <item m="1" x="4923"/>
        <item m="1" x="5010"/>
        <item m="1" x="4781"/>
        <item m="1" x="5241"/>
        <item m="1" x="4807"/>
        <item m="1" x="4774"/>
        <item m="1" x="7273"/>
        <item m="1" x="4898"/>
        <item m="1" x="4828"/>
        <item m="1" x="7648"/>
        <item m="1" x="7440"/>
        <item m="1" x="7649"/>
        <item m="1" x="7650"/>
        <item m="1" x="7651"/>
        <item m="1" x="5716"/>
        <item m="1" x="6548"/>
        <item m="1" x="7547"/>
        <item m="1" x="6956"/>
        <item m="1" x="7473"/>
        <item m="1" x="4038"/>
        <item m="1" x="7652"/>
        <item m="1" x="4782"/>
        <item m="1" x="4875"/>
        <item m="1" x="6534"/>
        <item m="1" x="5731"/>
        <item m="1" x="7653"/>
        <item m="1" x="4886"/>
        <item m="1" x="5737"/>
        <item m="1" x="5751"/>
        <item m="1" x="5752"/>
        <item m="1" x="7359"/>
        <item m="1" x="6976"/>
        <item m="1" x="6977"/>
        <item m="1" x="6978"/>
        <item m="1" x="7291"/>
        <item m="1" x="7360"/>
        <item m="1" x="7361"/>
        <item m="1" x="7290"/>
        <item m="1" x="7297"/>
        <item m="1" x="7363"/>
        <item m="1" x="5758"/>
        <item m="1" x="7367"/>
        <item m="1" x="7298"/>
        <item m="1" x="7294"/>
        <item m="1" x="4948"/>
        <item m="1" x="7368"/>
        <item m="1" x="7377"/>
        <item m="1" x="6196"/>
        <item m="1" x="7378"/>
        <item m="1" x="7379"/>
        <item m="1" x="7380"/>
        <item m="1" x="7382"/>
        <item m="1" x="7383"/>
        <item m="1" x="7384"/>
        <item m="1" x="7385"/>
        <item m="1" x="7386"/>
        <item m="1" x="7387"/>
        <item m="1" x="7388"/>
        <item m="1" x="6998"/>
        <item m="1" x="7390"/>
        <item m="1" x="7391"/>
        <item m="1" x="7392"/>
        <item m="1" x="7001"/>
        <item m="1" x="7395"/>
        <item m="1" x="7396"/>
        <item m="1" x="7397"/>
        <item m="1" x="7398"/>
        <item m="1" x="7399"/>
        <item m="1" x="7402"/>
        <item m="1" x="7403"/>
        <item m="1" x="7404"/>
        <item m="1" x="7308"/>
        <item m="1" x="7405"/>
        <item m="1" x="7407"/>
        <item m="1" x="7408"/>
        <item m="1" x="7409"/>
        <item m="1" x="7412"/>
        <item m="1" x="7414"/>
        <item m="1" x="7415"/>
        <item m="1" x="7416"/>
        <item m="1" x="7417"/>
        <item m="1" x="7007"/>
        <item m="1" x="7420"/>
        <item m="1" x="7422"/>
        <item m="1" x="7423"/>
        <item m="1" x="7424"/>
        <item m="1" x="7425"/>
        <item m="1" x="7426"/>
        <item m="1" x="7311"/>
        <item m="1" x="7432"/>
        <item m="1" x="7433"/>
        <item m="1" x="7434"/>
        <item m="1" x="7442"/>
        <item m="1" x="7447"/>
        <item m="1" x="7449"/>
        <item m="1" x="7455"/>
        <item m="1" x="7313"/>
        <item m="1" x="7458"/>
        <item m="1" x="7459"/>
        <item m="1" x="7460"/>
        <item m="1" x="7463"/>
        <item m="1" x="7464"/>
        <item m="1" x="7466"/>
        <item m="1" x="7467"/>
        <item m="1" x="4802"/>
        <item m="1" x="7024"/>
        <item m="1" x="7476"/>
        <item m="1" x="7477"/>
        <item m="1" x="7345"/>
        <item m="1" x="7478"/>
        <item m="1" x="7479"/>
        <item m="1" x="7480"/>
        <item m="1" x="7314"/>
        <item m="1" x="7482"/>
        <item m="1" x="7483"/>
        <item m="1" x="7317"/>
        <item m="1" x="7487"/>
        <item m="1" x="6971"/>
        <item m="1" x="7490"/>
        <item m="1" x="7036"/>
        <item m="1" x="7496"/>
        <item m="1" x="7497"/>
        <item m="1" x="7498"/>
        <item m="1" x="7499"/>
        <item m="1" x="7508"/>
        <item m="1" x="7509"/>
        <item m="1" x="7510"/>
        <item m="1" x="7512"/>
        <item m="1" x="7319"/>
        <item m="1" x="6545"/>
        <item m="1" x="5651"/>
        <item m="1" x="5032"/>
        <item m="1" x="7518"/>
        <item m="1" x="7519"/>
        <item m="1" x="7521"/>
        <item m="1" x="4879"/>
        <item m="1" x="4968"/>
        <item m="1" x="6198"/>
        <item m="1" x="7332"/>
        <item m="1" x="7331"/>
        <item m="1" x="7200"/>
        <item m="1" x="7523"/>
        <item m="1" x="7525"/>
        <item m="1" x="6864"/>
        <item m="1" x="7526"/>
        <item m="1" x="7527"/>
        <item m="1" x="7528"/>
        <item m="1" x="5402"/>
        <item m="1" x="7530"/>
        <item m="1" x="4971"/>
        <item m="1" x="7266"/>
        <item m="1" x="4920"/>
        <item m="1" x="6882"/>
        <item m="1" x="7533"/>
        <item m="1" x="5927"/>
        <item m="1" x="6973"/>
        <item m="1" x="6974"/>
        <item m="1" x="7537"/>
        <item m="1" x="7540"/>
        <item m="1" x="6975"/>
        <item m="1" x="7543"/>
        <item m="1" x="7216"/>
        <item m="1" x="7545"/>
        <item m="1" x="7546"/>
        <item m="1" x="7356"/>
        <item m="1" x="6865"/>
        <item m="1" x="7284"/>
        <item m="1" x="6549"/>
        <item m="1" x="7550"/>
        <item m="1" x="7551"/>
        <item m="1" x="7552"/>
        <item m="1" x="7553"/>
        <item m="1" x="7558"/>
        <item m="1" x="7358"/>
        <item m="1" x="7560"/>
        <item m="1" x="6688"/>
        <item m="1" x="7564"/>
        <item m="1" x="7567"/>
        <item m="1" x="7568"/>
        <item m="1" x="6690"/>
        <item m="1" x="6691"/>
        <item m="1" x="7227"/>
        <item m="1" x="6979"/>
        <item m="1" x="6983"/>
        <item m="1" x="6984"/>
        <item m="1" x="6985"/>
        <item m="1" x="6987"/>
        <item m="1" x="6994"/>
        <item m="1" x="6992"/>
        <item m="1" x="6988"/>
        <item m="1" x="6989"/>
        <item m="1" x="6990"/>
        <item m="1" x="6991"/>
        <item m="1" x="5264"/>
        <item m="1" x="7295"/>
        <item m="1" x="7296"/>
        <item m="1" x="7299"/>
        <item m="1" x="7300"/>
        <item m="1" x="7155"/>
        <item m="1" x="4724"/>
        <item m="1" x="7302"/>
        <item m="1" x="4953"/>
        <item m="1" x="7163"/>
        <item m="1" x="7164"/>
        <item m="1" x="7303"/>
        <item m="1" x="7304"/>
        <item m="1" x="7305"/>
        <item m="1" x="7306"/>
        <item m="1" x="7225"/>
        <item m="1" x="7162"/>
        <item m="1" x="6870"/>
        <item m="1" x="7307"/>
        <item m="1" x="7309"/>
        <item m="1" x="7310"/>
        <item m="1" x="7002"/>
        <item m="1" x="5181"/>
        <item m="1" x="7312"/>
        <item m="1" x="7006"/>
        <item m="1" x="4974"/>
        <item m="1" x="7238"/>
        <item m="1" x="2783"/>
        <item m="1" x="7014"/>
        <item m="1" x="7015"/>
        <item m="1" x="7016"/>
        <item m="1" x="7018"/>
        <item m="1" x="7240"/>
        <item m="1" x="7019"/>
        <item m="1" x="7241"/>
        <item m="1" x="5182"/>
        <item m="1" x="7029"/>
        <item m="1" x="7030"/>
        <item m="1" x="7031"/>
        <item m="1" x="7032"/>
        <item m="1" x="7027"/>
        <item m="1" x="7315"/>
        <item m="1" x="7316"/>
        <item m="1" x="7034"/>
        <item m="1" x="6285"/>
        <item m="1" x="6677"/>
        <item m="1" x="6678"/>
        <item m="1" x="6377"/>
        <item m="1" x="6106"/>
        <item m="1" x="7318"/>
        <item m="1" x="7035"/>
        <item m="1" x="7037"/>
        <item m="1" x="7038"/>
        <item m="1" x="7039"/>
        <item m="1" x="7043"/>
        <item m="1" x="7044"/>
        <item m="1" x="6679"/>
        <item m="1" x="4921"/>
        <item m="1" x="7320"/>
        <item m="1" x="7321"/>
        <item m="1" x="6877"/>
        <item m="1" x="6878"/>
        <item m="1" x="7196"/>
        <item m="1" x="7194"/>
        <item m="1" x="7193"/>
        <item m="1" x="7197"/>
        <item m="1" x="7324"/>
        <item m="1" x="7253"/>
        <item m="1" x="6680"/>
        <item m="1" x="7198"/>
        <item m="1" x="7207"/>
        <item m="1" x="7210"/>
        <item m="1" x="7211"/>
        <item m="1" x="7206"/>
        <item m="1" x="7209"/>
        <item m="1" x="7208"/>
        <item m="1" x="7201"/>
        <item m="1" x="5407"/>
        <item m="1" x="4935"/>
        <item m="1" x="4938"/>
        <item m="1" x="6427"/>
        <item m="1" x="7334"/>
        <item m="1" x="4970"/>
        <item m="1" x="4978"/>
        <item m="1" x="7335"/>
        <item m="1" x="7336"/>
        <item m="1" x="7337"/>
        <item m="1" x="4545"/>
        <item m="1" x="7213"/>
        <item m="1" x="7268"/>
        <item m="1" x="5857"/>
        <item m="1" x="7339"/>
        <item m="1" x="7272"/>
        <item m="1" x="4834"/>
        <item m="1" x="4771"/>
        <item m="1" x="7274"/>
        <item m="1" x="6227"/>
        <item m="1" x="7342"/>
        <item m="1" x="7344"/>
        <item m="1" x="7348"/>
        <item m="1" x="7351"/>
        <item m="1" x="6685"/>
        <item m="1" x="6684"/>
        <item m="1" x="6686"/>
        <item m="1" x="6687"/>
        <item m="1" x="7357"/>
        <item m="1" x="6884"/>
        <item m="1" x="6683"/>
        <item m="1" x="6682"/>
        <item m="1" x="6252"/>
        <item m="1" x="5738"/>
        <item m="1" x="6270"/>
        <item m="1" x="6692"/>
        <item m="1" x="1171"/>
        <item m="1" x="6993"/>
        <item m="1" x="6986"/>
        <item m="1" x="7228"/>
        <item m="1" x="7229"/>
        <item m="1" x="6997"/>
        <item m="1" x="7000"/>
        <item m="1" x="7230"/>
        <item m="1" x="7171"/>
        <item m="1" x="7169"/>
        <item m="1" x="7231"/>
        <item m="1" x="7232"/>
        <item m="1" x="7233"/>
        <item m="1" x="7170"/>
        <item m="1" x="7161"/>
        <item m="1" x="7174"/>
        <item m="1" x="7158"/>
        <item m="1" x="4975"/>
        <item m="1" x="7234"/>
        <item m="1" x="6241"/>
        <item m="1" x="7235"/>
        <item m="1" x="7236"/>
        <item m="1" x="7237"/>
        <item m="1" x="7003"/>
        <item m="1" x="7011"/>
        <item m="1" x="7012"/>
        <item m="1" x="7008"/>
        <item m="1" x="7017"/>
        <item m="1" x="7178"/>
        <item m="1" x="7239"/>
        <item m="1" x="7020"/>
        <item m="1" x="7021"/>
        <item m="1" x="7242"/>
        <item m="1" x="7022"/>
        <item m="1" x="7033"/>
        <item m="1" x="7243"/>
        <item m="1" x="7244"/>
        <item m="1" x="7026"/>
        <item m="1" x="7180"/>
        <item m="1" x="7245"/>
        <item m="1" x="7246"/>
        <item m="1" x="7185"/>
        <item m="1" x="7181"/>
        <item m="1" x="7182"/>
        <item m="1" x="7184"/>
        <item m="1" x="7183"/>
        <item m="1" x="6542"/>
        <item m="1" x="6541"/>
        <item m="1" x="6474"/>
        <item m="1" x="6710"/>
        <item m="1" x="6475"/>
        <item m="1" x="6540"/>
        <item m="1" x="6476"/>
        <item m="1" x="6543"/>
        <item m="1" x="6544"/>
        <item m="1" x="7247"/>
        <item m="1" x="7187"/>
        <item m="1" x="7041"/>
        <item m="1" x="7188"/>
        <item m="1" x="7248"/>
        <item m="1" x="5652"/>
        <item m="1" x="5840"/>
        <item m="1" x="7250"/>
        <item m="1" x="6875"/>
        <item m="1" x="7190"/>
        <item m="1" x="3605"/>
        <item m="1" x="6876"/>
        <item m="1" x="7251"/>
        <item m="1" x="7045"/>
        <item m="1" x="480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6564"/>
        <item m="1" x="4672"/>
        <item m="1" x="6880"/>
        <item m="1" x="4977"/>
        <item m="1" x="7264"/>
        <item m="1" x="7265"/>
        <item m="1" x="7267"/>
        <item m="1" x="6719"/>
        <item m="1" x="7269"/>
        <item m="1" x="7215"/>
        <item m="1" x="7271"/>
        <item m="1" x="6218"/>
        <item m="1" x="7275"/>
        <item m="1" x="6232"/>
        <item m="1" x="6235"/>
        <item m="1" x="5712"/>
        <item m="1" x="7276"/>
        <item m="1" x="6885"/>
        <item m="1" x="7277"/>
        <item m="1" x="7278"/>
        <item m="1" x="7279"/>
        <item m="1" x="7280"/>
        <item m="1" x="7281"/>
        <item m="1" x="7282"/>
        <item m="1" x="7283"/>
        <item m="1" x="6727"/>
        <item m="1" x="6886"/>
        <item m="1" x="5727"/>
        <item m="1" x="6250"/>
        <item m="1" x="6253"/>
        <item m="1" x="7221"/>
        <item m="1" x="6260"/>
        <item m="1" x="6261"/>
        <item m="1" x="6262"/>
        <item m="1" x="7222"/>
        <item m="1" x="7224"/>
        <item m="1" x="7285"/>
        <item m="1" x="7226"/>
        <item m="1" x="7286"/>
        <item m="1" x="7287"/>
        <item m="1" x="7288"/>
        <item m="1" x="7289"/>
        <item m="1" x="6274"/>
        <item m="1" x="5744"/>
        <item m="1" x="6279"/>
        <item m="1" x="6280"/>
        <item m="1" x="6281"/>
        <item m="1" x="6695"/>
        <item m="1" x="6693"/>
        <item m="1" x="6694"/>
        <item m="1" x="7052"/>
        <item m="1" x="6980"/>
        <item m="1" x="6981"/>
        <item m="1" x="6982"/>
        <item m="1" x="7154"/>
        <item m="1" x="7058"/>
        <item m="1" x="7059"/>
        <item m="1" x="6697"/>
        <item m="1" x="6995"/>
        <item m="1" x="6996"/>
        <item m="1" x="6702"/>
        <item m="1" x="5169"/>
        <item m="1" x="7156"/>
        <item m="1" x="7157"/>
        <item m="1" x="7159"/>
        <item m="1" x="7160"/>
        <item m="1" x="6871"/>
        <item m="1" x="7166"/>
        <item m="1" x="7167"/>
        <item m="1" x="7168"/>
        <item m="1" x="7172"/>
        <item m="1" x="7173"/>
        <item m="1" x="6873"/>
        <item m="1" x="4263"/>
        <item m="1" x="7005"/>
        <item m="1" x="7004"/>
        <item m="1" x="7175"/>
        <item m="1" x="7176"/>
        <item m="1" x="7079"/>
        <item m="1" x="7084"/>
        <item m="1" x="7085"/>
        <item m="1" x="7009"/>
        <item m="1" x="7010"/>
        <item m="1" x="7013"/>
        <item m="1" x="7089"/>
        <item m="1" x="7100"/>
        <item m="1" x="7179"/>
        <item m="1" x="7095"/>
        <item m="1" x="7023"/>
        <item m="1" x="7097"/>
        <item m="1" x="7028"/>
        <item m="1" x="6477"/>
        <item m="1" x="7186"/>
        <item m="1" x="6478"/>
        <item m="1" x="6479"/>
        <item m="1" x="6105"/>
        <item m="1" x="6463"/>
        <item m="1" x="6375"/>
        <item m="1" x="6499"/>
        <item m="1" x="6395"/>
        <item m="1" x="6460"/>
        <item m="1" x="6461"/>
        <item m="1" x="6462"/>
        <item m="1" x="6711"/>
        <item m="1" x="7040"/>
        <item m="1" x="7140"/>
        <item m="1" x="7145"/>
        <item m="1" x="7042"/>
        <item m="1" x="6272"/>
        <item m="1" x="7189"/>
        <item m="1" x="7191"/>
        <item m="1" x="7192"/>
        <item m="1" x="4822"/>
        <item m="1" x="6717"/>
        <item m="1" x="6563"/>
        <item m="1" x="6838"/>
        <item m="1" x="7202"/>
        <item m="1" x="7203"/>
        <item m="1" x="5213"/>
        <item m="1" x="7141"/>
        <item m="1" x="4719"/>
        <item m="1" x="2796"/>
        <item m="1" x="7212"/>
        <item m="1" x="4903"/>
        <item m="1" x="6618"/>
        <item m="1" x="6048"/>
        <item m="1" x="5236"/>
        <item m="1" x="6438"/>
        <item m="1" x="6208"/>
        <item m="1" x="7217"/>
        <item m="1" x="7218"/>
        <item m="1" x="6093"/>
        <item m="1" x="6724"/>
        <item m="1" x="7219"/>
        <item m="1" x="7125"/>
        <item m="1" x="4889"/>
        <item m="1" x="7223"/>
        <item m="1" x="6275"/>
        <item m="1" x="6887"/>
        <item m="1" x="6999"/>
        <item m="1" x="7046"/>
        <item m="1" x="7047"/>
        <item m="1" x="7048"/>
        <item m="1" x="7049"/>
        <item m="1" x="7050"/>
        <item m="1" x="7051"/>
        <item m="1" x="7053"/>
        <item m="1" x="7054"/>
        <item m="1" x="7055"/>
        <item m="1" x="7056"/>
        <item m="1" x="7057"/>
        <item m="1" x="7060"/>
        <item m="1" x="5106"/>
        <item m="1" x="7061"/>
        <item m="1" x="7062"/>
        <item m="1" x="7063"/>
        <item m="1" x="7064"/>
        <item m="1" x="7065"/>
        <item m="1" x="7066"/>
        <item m="1" x="7067"/>
        <item m="1" x="5767"/>
        <item m="1" x="6699"/>
        <item m="1" x="6700"/>
        <item m="1" x="6701"/>
        <item m="1" x="6867"/>
        <item m="1" x="7068"/>
        <item m="1" x="6705"/>
        <item m="1" x="4683"/>
        <item m="1" x="6557"/>
        <item m="1" x="6868"/>
        <item m="1" x="6869"/>
        <item m="1" x="5123"/>
        <item m="1" x="5790"/>
        <item m="1" x="6872"/>
        <item m="1" x="6907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80"/>
        <item m="1" x="7081"/>
        <item m="1" x="7082"/>
        <item m="1" x="7083"/>
        <item m="1" x="7086"/>
        <item m="1" x="7087"/>
        <item m="1" x="4650"/>
        <item m="1" x="7088"/>
        <item m="1" x="5750"/>
        <item m="1" x="7090"/>
        <item m="1" x="7091"/>
        <item m="1" x="6157"/>
        <item m="1" x="7092"/>
        <item m="1" x="7093"/>
        <item m="1" x="7094"/>
        <item m="1" x="7096"/>
        <item m="1" x="7098"/>
        <item m="1" x="7099"/>
        <item m="1" x="6214"/>
        <item m="1" x="6916"/>
        <item m="1" x="6216"/>
        <item m="1" x="7101"/>
        <item m="1" x="6376"/>
        <item m="1" x="6485"/>
        <item m="1" x="6101"/>
        <item m="1" x="6483"/>
        <item m="1" x="6484"/>
        <item m="1" x="6471"/>
        <item m="1" x="6472"/>
        <item m="1" x="6473"/>
        <item m="1" x="6464"/>
        <item m="1" x="6465"/>
        <item m="1" x="6466"/>
        <item m="1" x="6467"/>
        <item m="1" x="6468"/>
        <item m="1" x="6469"/>
        <item m="1" x="6470"/>
        <item m="1" x="6481"/>
        <item m="1" x="6482"/>
        <item m="1" x="6486"/>
        <item m="1" x="6480"/>
        <item m="1" x="7102"/>
        <item m="1" x="7103"/>
        <item m="1" x="7104"/>
        <item m="1" x="6712"/>
        <item m="1" x="6874"/>
        <item m="1" x="7105"/>
        <item m="1" x="6713"/>
        <item m="1" x="6714"/>
        <item m="1" x="6715"/>
        <item m="1" x="6716"/>
        <item m="1" x="7106"/>
        <item m="1" x="7107"/>
        <item m="1" x="7108"/>
        <item m="1" x="7109"/>
        <item m="1" x="7110"/>
        <item m="1" x="7111"/>
        <item m="1" x="4838"/>
        <item m="1" x="7112"/>
        <item m="1" x="7113"/>
        <item m="1" x="6913"/>
        <item m="1" x="6914"/>
        <item m="1" x="4892"/>
        <item m="1" x="7114"/>
        <item m="1" x="7115"/>
        <item m="1" x="7116"/>
        <item m="1" x="6617"/>
        <item m="1" x="7117"/>
        <item m="1" x="7118"/>
        <item m="1" x="6881"/>
        <item m="1" x="4725"/>
        <item m="1" x="7119"/>
        <item m="1" x="6917"/>
        <item m="1" x="7120"/>
        <item m="1" x="4965"/>
        <item m="1" x="7121"/>
        <item m="1" x="6927"/>
        <item m="1" x="6883"/>
        <item m="1" x="7122"/>
        <item m="1" x="7123"/>
        <item m="1" x="7124"/>
        <item m="1" x="6723"/>
        <item m="1" x="6565"/>
        <item m="1" x="4503"/>
        <item m="1" x="6728"/>
        <item m="1" x="7126"/>
        <item m="1" x="7127"/>
        <item m="1" x="7128"/>
        <item m="1" x="7129"/>
        <item m="1" x="7130"/>
        <item m="1" x="7131"/>
        <item m="1" x="6902"/>
        <item m="1" x="7132"/>
        <item m="1" x="7133"/>
        <item m="1" x="7134"/>
        <item m="1" x="7135"/>
        <item m="1" x="7136"/>
        <item m="1" x="7137"/>
        <item m="1" x="6188"/>
        <item m="1" x="7138"/>
        <item m="1" x="7139"/>
        <item m="1" x="7142"/>
        <item m="1" x="7143"/>
        <item m="1" x="7144"/>
        <item m="1" x="7146"/>
        <item m="1" x="7147"/>
        <item m="1" x="7148"/>
        <item m="1" x="7149"/>
        <item m="1" x="7150"/>
        <item m="1" x="7151"/>
        <item m="1" x="7152"/>
        <item m="1" x="7153"/>
        <item m="1" x="6936"/>
        <item m="1" x="6937"/>
        <item m="1" x="6938"/>
        <item m="1" x="6940"/>
        <item m="1" x="6941"/>
        <item m="1" x="6951"/>
        <item m="1" x="6953"/>
        <item m="1" x="6866"/>
        <item m="1" x="6704"/>
        <item m="1" x="6553"/>
        <item m="1" x="6554"/>
        <item m="1" x="6888"/>
        <item m="1" x="6889"/>
        <item m="1" x="5153"/>
        <item m="1" x="6890"/>
        <item m="1" x="6891"/>
        <item m="1" x="6892"/>
        <item m="1" x="6893"/>
        <item m="1" x="6550"/>
        <item m="1" x="6551"/>
        <item m="1" x="6730"/>
        <item m="1" x="6731"/>
        <item m="1" x="6732"/>
        <item m="1" x="6734"/>
        <item m="1" x="6735"/>
        <item m="1" x="6736"/>
        <item m="1" x="6737"/>
        <item m="1" x="6738"/>
        <item m="1" x="6733"/>
        <item m="1" x="6696"/>
        <item m="1" x="6894"/>
        <item m="1" x="6698"/>
        <item m="1" x="6895"/>
        <item m="1" x="6896"/>
        <item m="1" x="5572"/>
        <item m="1" x="6897"/>
        <item m="1" x="6898"/>
        <item m="1" x="6899"/>
        <item m="1" x="5777"/>
        <item m="1" x="6900"/>
        <item m="1" x="6901"/>
        <item m="1" x="6703"/>
        <item m="1" x="6552"/>
        <item m="1" x="6739"/>
        <item m="1" x="6741"/>
        <item m="1" x="4597"/>
        <item m="1" x="6788"/>
        <item m="1" x="6706"/>
        <item m="1" x="6707"/>
        <item m="1" x="6903"/>
        <item m="1" x="6904"/>
        <item m="1" x="6905"/>
        <item m="1" x="6906"/>
        <item m="1" x="6908"/>
        <item m="1" x="6909"/>
        <item m="1" x="6178"/>
        <item m="1" x="6910"/>
        <item m="1" x="6758"/>
        <item m="1" x="763"/>
        <item m="1" x="6354"/>
        <item m="1" x="6756"/>
        <item m="1" x="6182"/>
        <item m="1" x="6763"/>
        <item m="1" x="6558"/>
        <item m="1" x="4922"/>
        <item m="1" x="4763"/>
        <item m="1" x="6768"/>
        <item m="1" x="6708"/>
        <item m="1" x="6709"/>
        <item m="1" x="6487"/>
        <item m="1" x="6773"/>
        <item m="1" x="6778"/>
        <item m="1" x="6803"/>
        <item m="1" x="6029"/>
        <item m="1" x="6032"/>
        <item m="1" x="6911"/>
        <item m="1" x="6912"/>
        <item m="1" x="5484"/>
        <item m="1" x="5235"/>
        <item m="1" x="4599"/>
        <item m="1" x="6915"/>
        <item m="1" x="6918"/>
        <item m="1" x="6919"/>
        <item m="1" x="6920"/>
        <item m="1" x="6921"/>
        <item m="1" x="6770"/>
        <item m="1" x="6922"/>
        <item m="1" x="6923"/>
        <item m="1" x="6924"/>
        <item m="1" x="6925"/>
        <item m="1" x="6926"/>
        <item m="1" x="6928"/>
        <item m="1" x="4723"/>
        <item m="1" x="6929"/>
        <item m="1" x="6930"/>
        <item m="1" x="5505"/>
        <item m="1" x="5506"/>
        <item m="1" x="5242"/>
        <item m="1" x="6931"/>
        <item m="1" x="6206"/>
        <item m="1" x="6210"/>
        <item m="1" x="6215"/>
        <item m="1" x="6211"/>
        <item m="1" x="5107"/>
        <item m="1" x="6219"/>
        <item m="1" x="6720"/>
        <item m="1" x="6233"/>
        <item m="1" x="6234"/>
        <item m="1" x="6721"/>
        <item m="1" x="6722"/>
        <item m="1" x="6236"/>
        <item m="1" x="6726"/>
        <item m="1" x="6725"/>
        <item m="1" x="6932"/>
        <item m="1" x="6933"/>
        <item m="1" x="4887"/>
        <item m="1" x="6251"/>
        <item m="1" x="6256"/>
        <item m="1" x="6258"/>
        <item m="1" x="5440"/>
        <item m="1" x="6259"/>
        <item m="1" x="6263"/>
        <item m="1" x="4489"/>
        <item m="1" x="6273"/>
        <item m="1" x="6277"/>
        <item m="1" x="5742"/>
        <item m="1" x="5743"/>
        <item m="1" x="5748"/>
        <item m="1" x="6934"/>
        <item m="1" x="6567"/>
        <item m="1" x="6568"/>
        <item m="1" x="6569"/>
        <item m="1" x="6570"/>
        <item m="1" x="6729"/>
        <item m="1" x="6576"/>
        <item m="1" x="6740"/>
        <item m="1" x="6742"/>
        <item m="1" x="6555"/>
        <item m="1" x="6743"/>
        <item m="1" x="6744"/>
        <item m="1" x="6745"/>
        <item m="1" x="6080"/>
        <item m="1" x="5768"/>
        <item m="1" x="6746"/>
        <item m="1" x="6747"/>
        <item m="1" x="6748"/>
        <item m="1" x="6749"/>
        <item m="1" x="5028"/>
        <item m="1" x="5026"/>
        <item m="1" x="6750"/>
        <item m="1" x="6751"/>
        <item m="1" x="2784"/>
        <item m="1" x="6559"/>
        <item m="1" x="6340"/>
        <item m="1" x="6752"/>
        <item m="1" x="6753"/>
        <item m="1" x="6754"/>
        <item m="1" x="6012"/>
        <item m="1" x="5317"/>
        <item m="1" x="6351"/>
        <item m="1" x="6349"/>
        <item m="1" x="6352"/>
        <item m="1" x="6347"/>
        <item m="1" x="6348"/>
        <item m="1" x="6755"/>
        <item m="1" x="6757"/>
        <item m="1" x="6759"/>
        <item m="1" x="6760"/>
        <item m="1" x="6761"/>
        <item m="1" x="6762"/>
        <item m="1" x="6560"/>
        <item m="1" x="6764"/>
        <item m="1" x="6765"/>
        <item m="1" x="6766"/>
        <item m="1" x="5806"/>
        <item m="1" x="6767"/>
        <item m="1" x="6769"/>
        <item m="1" x="6771"/>
        <item m="1" x="5703"/>
        <item m="1" x="6289"/>
        <item m="1" x="6490"/>
        <item m="1" x="6488"/>
        <item m="1" x="6489"/>
        <item m="1" x="6383"/>
        <item m="1" x="6381"/>
        <item m="1" x="6382"/>
        <item m="1" x="6102"/>
        <item m="1" x="6493"/>
        <item m="1" x="6103"/>
        <item m="1" x="6104"/>
        <item m="1" x="6492"/>
        <item m="1" x="6491"/>
        <item m="1" x="6384"/>
        <item m="1" x="6385"/>
        <item m="1" x="6772"/>
        <item m="1" x="6774"/>
        <item m="1" x="6775"/>
        <item m="1" x="6776"/>
        <item m="1" x="6777"/>
        <item m="1" x="6186"/>
        <item m="1" x="6779"/>
        <item m="1" x="6780"/>
        <item m="1" x="6396"/>
        <item m="1" x="6397"/>
        <item m="1" x="6781"/>
        <item m="1" x="6782"/>
        <item m="1" x="6783"/>
        <item m="1" x="6784"/>
        <item m="1" x="6195"/>
        <item m="1" x="6194"/>
        <item m="1" x="6785"/>
        <item m="1" x="6786"/>
        <item m="1" x="6562"/>
        <item m="1" x="4759"/>
        <item m="1" x="6043"/>
        <item m="1" x="6789"/>
        <item m="1" x="4666"/>
        <item m="1" x="6614"/>
        <item m="1" x="6615"/>
        <item m="1" x="6790"/>
        <item m="1" x="6212"/>
        <item m="1" x="6213"/>
        <item m="1" x="6221"/>
        <item m="1" x="6225"/>
        <item m="1" x="6228"/>
        <item m="1" x="6240"/>
        <item m="1" x="6791"/>
        <item m="1" x="5714"/>
        <item m="1" x="6641"/>
        <item m="1" x="6642"/>
        <item m="1" x="6792"/>
        <item m="1" x="6793"/>
        <item m="1" x="6794"/>
        <item m="1" x="6638"/>
        <item m="1" x="6639"/>
        <item m="1" x="6795"/>
        <item m="1" x="6796"/>
        <item m="1" x="6797"/>
        <item m="1" x="6798"/>
        <item m="1" x="6645"/>
        <item m="1" x="6799"/>
        <item m="1" x="6637"/>
        <item m="1" x="6800"/>
        <item m="1" x="6636"/>
        <item m="1" x="6350"/>
        <item m="1" x="6801"/>
        <item m="1" x="6255"/>
        <item m="1" x="6257"/>
        <item m="1" x="6267"/>
        <item m="1" x="6566"/>
        <item m="1" x="4727"/>
        <item m="1" x="6278"/>
        <item m="1" x="6286"/>
        <item m="1" x="5443"/>
        <item m="1" x="6802"/>
        <item m="1" x="6804"/>
        <item m="1" x="6805"/>
        <item m="1" x="6806"/>
        <item m="1" x="6807"/>
        <item m="1" x="6581"/>
        <item m="1" x="6579"/>
        <item m="1" x="6580"/>
        <item m="1" x="6584"/>
        <item m="1" x="6808"/>
        <item m="1" x="6809"/>
        <item m="1" x="6810"/>
        <item m="1" x="6811"/>
        <item m="1" x="6812"/>
        <item m="1" x="6593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449"/>
        <item m="1" x="6824"/>
        <item m="1" x="6825"/>
        <item m="1" x="6826"/>
        <item m="1" x="6827"/>
        <item m="1" x="4269"/>
        <item m="1" x="6828"/>
        <item m="1" x="6605"/>
        <item m="1" x="6829"/>
        <item m="1" x="6606"/>
        <item m="1" x="4917"/>
        <item m="1" x="6830"/>
        <item m="1" x="4880"/>
        <item m="1" x="6268"/>
        <item m="1" x="6831"/>
        <item m="1" x="6832"/>
        <item m="1" x="6833"/>
        <item m="1" x="6834"/>
        <item m="1" x="4967"/>
        <item m="1" x="6634"/>
        <item m="1" x="6835"/>
        <item m="1" x="6629"/>
        <item m="1" x="6628"/>
        <item m="1" x="6836"/>
        <item m="1" x="6630"/>
        <item m="1" x="6624"/>
        <item m="1" x="6837"/>
        <item m="1" x="6506"/>
        <item m="1" x="6673"/>
        <item m="1" x="6672"/>
        <item m="1" x="5672"/>
        <item m="1" x="6839"/>
        <item m="1" x="6840"/>
        <item m="1" x="6841"/>
        <item m="1" x="6842"/>
        <item m="1" x="6520"/>
        <item m="1" x="6843"/>
        <item m="1" x="5904"/>
        <item m="1" x="6205"/>
        <item m="1" x="4919"/>
        <item m="1" x="6229"/>
        <item m="1" x="6844"/>
        <item m="1" x="6845"/>
        <item m="1" x="5027"/>
        <item m="1" x="5029"/>
        <item m="1" x="6239"/>
        <item m="1" x="6846"/>
        <item m="1" x="6847"/>
        <item m="1" x="6848"/>
        <item m="1" x="6849"/>
        <item m="1" x="6850"/>
        <item m="1" x="6644"/>
        <item m="1" x="6851"/>
        <item m="1" x="6852"/>
        <item m="1" x="6536"/>
        <item m="1" x="6853"/>
        <item m="1" x="6854"/>
        <item m="1" x="6556"/>
        <item m="1" x="6561"/>
        <item m="1" x="4647"/>
        <item m="1" x="4646"/>
        <item m="1" x="4985"/>
        <item m="1" x="6571"/>
        <item m="1" x="6572"/>
        <item m="1" x="6573"/>
        <item m="1" x="6574"/>
        <item m="1" x="5754"/>
        <item m="1" x="6575"/>
        <item m="1" x="6450"/>
        <item m="1" x="6577"/>
        <item m="1" x="6578"/>
        <item m="1" x="6582"/>
        <item m="1" x="6583"/>
        <item m="1" x="4581"/>
        <item m="1" x="6158"/>
        <item m="1" x="6159"/>
        <item m="1" x="6585"/>
        <item m="1" x="6586"/>
        <item m="1" x="6587"/>
        <item m="1" x="6588"/>
        <item m="1" x="6589"/>
        <item m="1" x="6590"/>
        <item m="1" x="6454"/>
        <item m="1" x="5059"/>
        <item m="1" x="6591"/>
        <item m="1" x="6592"/>
        <item m="1" x="5784"/>
        <item m="1" x="5785"/>
        <item m="1" x="5971"/>
        <item m="1" x="5864"/>
        <item m="1" x="6594"/>
        <item m="1" x="6595"/>
        <item m="1" x="6596"/>
        <item m="1" x="6458"/>
        <item m="1" x="6597"/>
        <item m="1" x="6598"/>
        <item m="1" x="6332"/>
        <item m="1" x="1405"/>
        <item m="1" x="6455"/>
        <item m="1" x="6599"/>
        <item m="1" x="6600"/>
        <item m="1" x="6141"/>
        <item m="1" x="6601"/>
        <item m="1" x="6362"/>
        <item m="1" x="6602"/>
        <item m="1" x="6368"/>
        <item m="1" x="5270"/>
        <item m="1" x="6603"/>
        <item m="1" x="6604"/>
        <item m="1" x="6353"/>
        <item m="1" x="6497"/>
        <item m="1" x="6496"/>
        <item m="1" x="6380"/>
        <item m="1" x="6495"/>
        <item m="1" x="6494"/>
        <item m="1" x="6389"/>
        <item m="1" x="6386"/>
        <item m="1" x="6387"/>
        <item m="1" x="6388"/>
        <item m="1" x="4949"/>
        <item m="1" x="5658"/>
        <item m="1" x="6607"/>
        <item m="1" x="6608"/>
        <item m="1" x="6609"/>
        <item m="1" x="6610"/>
        <item m="1" x="6611"/>
        <item m="1" x="6425"/>
        <item m="1" x="6612"/>
        <item m="1" x="6613"/>
        <item m="1" x="6616"/>
        <item m="1" x="4809"/>
        <item m="1" x="6619"/>
        <item m="1" x="6620"/>
        <item m="1" x="6621"/>
        <item m="1" x="6622"/>
        <item m="1" x="6623"/>
        <item m="1" x="6625"/>
        <item m="1" x="6626"/>
        <item m="1" x="6507"/>
        <item m="1" x="6627"/>
        <item m="1" x="6631"/>
        <item m="1" x="6632"/>
        <item m="1" x="6633"/>
        <item m="1" x="5704"/>
        <item m="1" x="6635"/>
        <item m="1" x="6231"/>
        <item m="1" x="6640"/>
        <item m="1" x="6643"/>
        <item m="1" x="6646"/>
        <item m="1" x="6140"/>
        <item m="1" x="6647"/>
        <item m="1" x="6648"/>
        <item m="1" x="6649"/>
        <item m="1" x="6650"/>
        <item m="1" x="6651"/>
        <item m="1" x="6652"/>
        <item m="1" x="6266"/>
        <item m="1" x="6653"/>
        <item m="1" x="6067"/>
        <item m="1" x="630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1747"/>
        <item m="1" x="6667"/>
        <item m="1" x="6668"/>
        <item m="1" x="6669"/>
        <item m="1" x="6670"/>
        <item m="1" x="6671"/>
        <item m="1" x="6674"/>
        <item m="1" x="6675"/>
        <item m="1" x="6530"/>
        <item m="1" x="6676"/>
        <item m="1" x="6271"/>
        <item m="1" x="6295"/>
        <item m="1" x="6298"/>
        <item m="1" x="6296"/>
        <item m="1" x="6297"/>
        <item m="1" x="6150"/>
        <item m="1" x="6299"/>
        <item m="1" x="6069"/>
        <item m="1" x="6068"/>
        <item m="1" x="6304"/>
        <item m="1" x="6301"/>
        <item m="1" x="6302"/>
        <item m="1" x="6070"/>
        <item m="1" x="6364"/>
        <item m="1" x="6451"/>
        <item m="1" x="6452"/>
        <item m="1" x="6310"/>
        <item m="1" x="6311"/>
        <item m="1" x="6453"/>
        <item m="1" x="5764"/>
        <item m="1" x="6077"/>
        <item m="1" x="6081"/>
        <item m="1" x="6249"/>
        <item m="1" x="6315"/>
        <item m="1" x="6316"/>
        <item m="1" x="6161"/>
        <item m="1" x="6318"/>
        <item m="1" x="6325"/>
        <item m="1" x="6326"/>
        <item m="1" x="6324"/>
        <item m="1" x="6328"/>
        <item m="1" x="5783"/>
        <item m="1" x="6331"/>
        <item m="1" x="5575"/>
        <item m="1" x="5133"/>
        <item m="1" x="6147"/>
        <item m="1" x="5713"/>
        <item m="1" x="6456"/>
        <item m="1" x="6457"/>
        <item m="1" x="6177"/>
        <item m="1" x="6335"/>
        <item m="1" x="6336"/>
        <item m="1" x="4795"/>
        <item m="1" x="6341"/>
        <item m="1" x="6343"/>
        <item m="1" x="6459"/>
        <item m="1" x="6366"/>
        <item m="1" x="6361"/>
        <item m="1" x="6237"/>
        <item m="1" x="6359"/>
        <item m="1" x="6360"/>
        <item m="1" x="6358"/>
        <item m="1" x="4614"/>
        <item m="1" x="6357"/>
        <item m="1" x="6367"/>
        <item m="1" x="6371"/>
        <item m="1" x="6379"/>
        <item m="1" x="6378"/>
        <item m="1" x="6498"/>
        <item m="1" x="6394"/>
        <item m="1" x="6399"/>
        <item m="1" x="6402"/>
        <item m="1" x="6403"/>
        <item m="1" x="5649"/>
        <item m="1" x="5650"/>
        <item m="1" x="6500"/>
        <item m="1" x="6501"/>
        <item m="1" x="6502"/>
        <item m="1" x="6503"/>
        <item m="1" x="6504"/>
        <item m="1" x="5666"/>
        <item m="1" x="4813"/>
        <item m="1" x="4631"/>
        <item m="1" x="6199"/>
        <item m="1" x="4626"/>
        <item m="1" x="4632"/>
        <item m="1" x="4627"/>
        <item m="1" x="4628"/>
        <item m="1" x="4630"/>
        <item m="1" x="6508"/>
        <item m="1" x="6509"/>
        <item m="1" x="6510"/>
        <item m="1" x="6511"/>
        <item m="1" x="6512"/>
        <item m="1" x="6513"/>
        <item m="1" x="6514"/>
        <item m="1" x="4950"/>
        <item m="1" x="4939"/>
        <item m="1" x="6515"/>
        <item m="1" x="6516"/>
        <item m="1" x="6517"/>
        <item m="1" x="6518"/>
        <item m="1" x="6519"/>
        <item m="1" x="4901"/>
        <item m="1" x="4902"/>
        <item m="1" x="6203"/>
        <item m="1" x="6522"/>
        <item m="1" x="5886"/>
        <item m="1" x="4772"/>
        <item m="1" x="5882"/>
        <item m="1" x="5884"/>
        <item m="1" x="6527"/>
        <item m="1" x="6139"/>
        <item m="1" x="6224"/>
        <item m="1" x="6226"/>
        <item m="1" x="6247"/>
        <item m="1" x="4633"/>
        <item m="1" x="4629"/>
        <item m="1" x="6446"/>
        <item m="1" x="6052"/>
        <item m="1" x="6532"/>
        <item m="1" x="6533"/>
        <item m="1" x="6535"/>
        <item m="1" x="5515"/>
        <item m="1" x="6537"/>
        <item m="1" x="4728"/>
        <item m="1" x="6276"/>
        <item m="1" x="6283"/>
        <item m="1" x="6284"/>
        <item m="1" x="6145"/>
        <item m="1" x="6287"/>
        <item m="1" x="6288"/>
        <item m="1" x="6290"/>
        <item m="1" x="6148"/>
        <item m="1" x="6291"/>
        <item m="1" x="6292"/>
        <item m="1" x="5976"/>
        <item m="1" x="6293"/>
        <item m="1" x="6294"/>
        <item m="1" x="6300"/>
        <item m="1" x="6071"/>
        <item m="1" x="6305"/>
        <item m="1" x="6306"/>
        <item m="1" x="6307"/>
        <item m="1" x="6308"/>
        <item m="1" x="6309"/>
        <item m="1" x="6312"/>
        <item m="1" x="6073"/>
        <item m="1" x="6313"/>
        <item m="1" x="6314"/>
        <item m="1" x="6075"/>
        <item m="1" x="6078"/>
        <item m="1" x="6079"/>
        <item m="1" x="6082"/>
        <item m="1" x="6317"/>
        <item m="1" x="6319"/>
        <item m="1" x="6320"/>
        <item m="1" x="5298"/>
        <item m="1" x="6160"/>
        <item m="1" x="6163"/>
        <item m="1" x="6321"/>
        <item m="1" x="6322"/>
        <item m="1" x="6323"/>
        <item m="1" x="6087"/>
        <item m="1" x="4260"/>
        <item m="1" x="6327"/>
        <item m="1" x="5778"/>
        <item m="1" x="5779"/>
        <item m="1" x="5780"/>
        <item m="1" x="5786"/>
        <item m="1" x="6329"/>
        <item m="1" x="6330"/>
        <item m="1" x="5129"/>
        <item m="1" x="5237"/>
        <item m="1" x="6333"/>
        <item m="1" x="6174"/>
        <item m="1" x="6334"/>
        <item m="1" x="6337"/>
        <item m="1" x="6338"/>
        <item m="1" x="6339"/>
        <item m="1" x="6181"/>
        <item m="1" x="6344"/>
        <item m="1" x="6345"/>
        <item m="1" x="6346"/>
        <item m="1" x="6356"/>
        <item m="1" x="6363"/>
        <item m="1" x="6365"/>
        <item m="1" x="5805"/>
        <item m="1" x="6369"/>
        <item m="1" x="6370"/>
        <item m="1" x="6372"/>
        <item m="1" x="6373"/>
        <item m="1" x="6374"/>
        <item m="1" x="6390"/>
        <item m="1" x="6391"/>
        <item m="1" x="6392"/>
        <item m="1" x="6393"/>
        <item m="1" x="6398"/>
        <item m="1" x="5671"/>
        <item m="1" x="6400"/>
        <item m="1" x="6401"/>
        <item m="1" x="5931"/>
        <item m="1" x="6115"/>
        <item m="1" x="6190"/>
        <item m="1" x="6404"/>
        <item m="1" x="6405"/>
        <item m="1" x="6406"/>
        <item m="1" x="4830"/>
        <item m="1" x="6407"/>
        <item m="1" x="4625"/>
        <item m="1" x="6409"/>
        <item m="1" x="6410"/>
        <item m="1" x="6411"/>
        <item m="1" x="6413"/>
        <item m="1" x="4722"/>
        <item m="1" x="4664"/>
        <item m="1" x="4661"/>
        <item m="1" x="6414"/>
        <item m="1" x="4673"/>
        <item m="1" x="6415"/>
        <item m="1" x="6416"/>
        <item m="1" x="6417"/>
        <item m="1" x="5915"/>
        <item m="1" x="6418"/>
        <item m="1" x="6419"/>
        <item m="1" x="6420"/>
        <item m="1" x="6421"/>
        <item m="1" x="6422"/>
        <item m="1" x="6423"/>
        <item m="1" x="6424"/>
        <item m="1" x="6426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4981"/>
        <item m="1" x="6439"/>
        <item m="1" x="6440"/>
        <item m="1" x="6209"/>
        <item m="1" x="6220"/>
        <item m="1" x="6441"/>
        <item m="1" x="6230"/>
        <item m="1" x="6246"/>
        <item m="1" x="5933"/>
        <item m="1" x="6443"/>
        <item m="1" x="6444"/>
        <item m="1" x="6445"/>
        <item m="1" x="6447"/>
        <item m="1" x="5943"/>
        <item m="1" x="6248"/>
        <item m="1" x="6448"/>
        <item m="1" x="5972"/>
        <item m="1" x="5974"/>
        <item m="1" x="6282"/>
        <item m="1" x="5521"/>
        <item m="1" x="6149"/>
        <item m="1" x="422"/>
        <item m="1" x="6058"/>
        <item m="1" x="6059"/>
        <item m="1" x="6065"/>
        <item m="1" x="5987"/>
        <item m="1" x="6151"/>
        <item m="1" x="6072"/>
        <item m="1" x="5759"/>
        <item m="1" x="5988"/>
        <item m="1" x="6152"/>
        <item m="1" x="6153"/>
        <item m="1" x="6154"/>
        <item m="1" x="6155"/>
        <item m="1" x="479"/>
        <item m="1" x="6076"/>
        <item m="1" x="5766"/>
        <item m="1" x="5994"/>
        <item m="1" x="6001"/>
        <item m="1" x="6002"/>
        <item m="1" x="5558"/>
        <item m="1" x="6162"/>
        <item m="1" x="5556"/>
        <item m="1" x="5557"/>
        <item m="1" x="5561"/>
        <item m="1" x="6164"/>
        <item m="1" x="6165"/>
        <item m="1" x="6166"/>
        <item m="1" x="6167"/>
        <item m="1" x="6168"/>
        <item m="1" x="5178"/>
        <item m="1" x="6084"/>
        <item m="1" x="6169"/>
        <item m="1" x="6170"/>
        <item m="1" x="6085"/>
        <item m="1" x="6171"/>
        <item m="1" x="6172"/>
        <item m="1" x="6173"/>
        <item m="1" x="6094"/>
        <item m="1" x="3998"/>
        <item m="1" x="6175"/>
        <item m="1" x="6176"/>
        <item m="1" x="6088"/>
        <item m="1" x="6089"/>
        <item m="1" x="5791"/>
        <item m="1" x="6009"/>
        <item m="1" x="6008"/>
        <item m="1" x="6179"/>
        <item m="1" x="6180"/>
        <item m="1" x="5583"/>
        <item m="1" x="5584"/>
        <item m="1" x="5325"/>
        <item m="1" x="5324"/>
        <item m="1" x="5587"/>
        <item m="1" x="2785"/>
        <item m="1" x="5586"/>
        <item m="1" x="6097"/>
        <item m="1" x="5799"/>
        <item m="1" x="5810"/>
        <item m="1" x="5609"/>
        <item m="1" x="5610"/>
        <item m="1" x="5611"/>
        <item m="1" x="5185"/>
        <item m="1" x="6108"/>
        <item m="1" x="5616"/>
        <item m="1" x="6183"/>
        <item m="1" x="5815"/>
        <item m="1" x="6184"/>
        <item m="1" x="5814"/>
        <item m="1" x="6107"/>
        <item m="1" x="6185"/>
        <item m="1" x="6187"/>
        <item m="1" x="6111"/>
        <item m="1" x="6112"/>
        <item m="1" x="5821"/>
        <item m="1" x="5645"/>
        <item m="1" x="6024"/>
        <item m="1" x="5646"/>
        <item m="1" x="5656"/>
        <item m="1" x="5036"/>
        <item m="1" x="6189"/>
        <item m="1" x="5844"/>
        <item m="1" x="6191"/>
        <item m="1" x="6192"/>
        <item m="1" x="6193"/>
        <item m="1" x="4869"/>
        <item m="1" x="6197"/>
        <item m="1" x="6201"/>
        <item m="1" x="5695"/>
        <item m="1" x="6202"/>
        <item m="1" x="5860"/>
        <item m="1" x="6217"/>
        <item m="1" x="6222"/>
        <item m="1" x="6223"/>
        <item m="1" x="5929"/>
        <item m="1" x="6238"/>
        <item m="1" x="6242"/>
        <item m="1" x="6244"/>
        <item m="1" x="6245"/>
        <item m="1" x="6142"/>
        <item m="1" x="5913"/>
        <item m="1" x="5940"/>
        <item m="1" x="5941"/>
        <item m="1" x="4890"/>
        <item m="1" x="5977"/>
        <item m="1" x="5969"/>
        <item m="1" x="6254"/>
        <item m="1" x="4731"/>
        <item m="1" x="6264"/>
        <item m="1" x="6265"/>
        <item m="1" x="6269"/>
        <item m="1" x="5978"/>
        <item m="1" x="5979"/>
        <item m="1" x="415"/>
        <item m="1" x="5523"/>
        <item m="1" x="5140"/>
        <item m="1" x="5981"/>
        <item m="1" x="5982"/>
        <item m="1" x="416"/>
        <item m="1" x="1925"/>
        <item m="1" x="6060"/>
        <item m="1" x="6061"/>
        <item m="1" x="6062"/>
        <item m="1" x="6063"/>
        <item m="1" x="6064"/>
        <item m="1" x="6066"/>
        <item m="1" x="5536"/>
        <item m="1" x="5917"/>
        <item m="1" x="5761"/>
        <item m="1" x="5760"/>
        <item m="1" x="5990"/>
        <item m="1" x="6074"/>
        <item m="1" x="5992"/>
        <item m="1" x="5995"/>
        <item m="1" x="5996"/>
        <item m="1" x="5997"/>
        <item m="1" x="6003"/>
        <item m="1" x="5770"/>
        <item m="1" x="5772"/>
        <item m="1" x="5773"/>
        <item m="1" x="5771"/>
        <item m="1" x="6083"/>
        <item m="1" x="5781"/>
        <item m="1" x="5782"/>
        <item m="1" x="3340"/>
        <item m="1" x="6086"/>
        <item m="1" x="6090"/>
        <item m="1" x="2794"/>
        <item m="1" x="6091"/>
        <item m="1" x="6092"/>
        <item m="1" x="5582"/>
        <item m="1" x="5326"/>
        <item m="1" x="6095"/>
        <item m="1" x="1934"/>
        <item m="1" x="5795"/>
        <item m="1" x="6013"/>
        <item m="1" x="6096"/>
        <item m="1" x="5800"/>
        <item m="1" x="6098"/>
        <item m="1" x="5802"/>
        <item m="1" x="6099"/>
        <item m="1" x="5801"/>
        <item m="1" x="1927"/>
        <item m="1" x="6015"/>
        <item m="1" x="6016"/>
        <item m="1" x="5808"/>
        <item m="1" x="6100"/>
        <item m="1" x="5615"/>
        <item m="1" x="5816"/>
        <item m="1" x="5817"/>
        <item m="1" x="5820"/>
        <item m="1" x="5629"/>
        <item m="1" x="5818"/>
        <item m="1" x="5819"/>
        <item m="1" x="6109"/>
        <item m="1" x="6110"/>
        <item m="1" x="6023"/>
        <item m="1" x="6113"/>
        <item m="1" x="6025"/>
        <item m="1" x="5827"/>
        <item m="1" x="5832"/>
        <item m="1" x="5653"/>
        <item m="1" x="6027"/>
        <item m="1" x="6116"/>
        <item m="1" x="6117"/>
        <item m="1" x="6118"/>
        <item m="1" x="5664"/>
        <item m="1" x="5667"/>
        <item m="1" x="2699"/>
        <item m="1" x="4357"/>
        <item m="1" x="6119"/>
        <item m="1" x="6034"/>
        <item m="1" x="5215"/>
        <item m="1" x="6120"/>
        <item m="1" x="6121"/>
        <item m="1" x="4721"/>
        <item m="1" x="6122"/>
        <item m="1" x="6123"/>
        <item m="1" x="6037"/>
        <item m="1" x="6124"/>
        <item m="1" x="6125"/>
        <item m="1" x="6126"/>
        <item m="1" x="6127"/>
        <item m="1" x="6128"/>
        <item m="1" x="3202"/>
        <item m="1" x="1219"/>
        <item m="1" x="5238"/>
        <item m="1" x="6134"/>
        <item m="1" x="6135"/>
        <item m="1" x="4634"/>
        <item m="1" x="6137"/>
        <item m="1" x="6138"/>
        <item m="1" x="6143"/>
        <item m="1" x="5968"/>
        <item m="1" x="5441"/>
        <item m="1" x="6056"/>
        <item m="1" x="6146"/>
        <item m="1" x="5983"/>
        <item m="1" x="5984"/>
        <item m="1" x="5985"/>
        <item m="1" x="5986"/>
        <item m="1" x="5756"/>
        <item m="1" x="5762"/>
        <item m="1" x="5989"/>
        <item m="1" x="5991"/>
        <item m="1" x="4682"/>
        <item m="1" x="5544"/>
        <item m="1" x="5553"/>
        <item m="1" x="5993"/>
        <item m="1" x="5998"/>
        <item m="1" x="5999"/>
        <item m="1" x="6000"/>
        <item m="1" x="5568"/>
        <item m="1" x="5570"/>
        <item m="1" x="5454"/>
        <item m="1" x="5569"/>
        <item m="1" x="6004"/>
        <item m="1" x="5729"/>
        <item m="1" x="5728"/>
        <item m="1" x="5565"/>
        <item m="1" x="5566"/>
        <item m="1" x="5573"/>
        <item m="1" x="5307"/>
        <item m="1" x="6005"/>
        <item m="1" x="6006"/>
        <item m="1" x="6007"/>
        <item m="1" x="6010"/>
        <item m="1" x="6011"/>
        <item m="1" x="5792"/>
        <item m="1" x="5588"/>
        <item m="1" x="3986"/>
        <item m="1" x="3985"/>
        <item m="1" x="5589"/>
        <item m="1" x="5595"/>
        <item m="1" x="5596"/>
        <item m="1" x="5334"/>
        <item m="1" x="5336"/>
        <item m="1" x="6014"/>
        <item m="1" x="5804"/>
        <item m="1" x="5809"/>
        <item m="1" x="5807"/>
        <item m="1" x="5608"/>
        <item m="1" x="6017"/>
        <item m="1" x="6018"/>
        <item m="1" x="5614"/>
        <item m="1" x="5813"/>
        <item m="1" x="5822"/>
        <item m="1" x="6019"/>
        <item m="1" x="6020"/>
        <item m="1" x="6021"/>
        <item m="1" x="5823"/>
        <item m="1" x="5824"/>
        <item m="1" x="6022"/>
        <item m="1" x="5647"/>
        <item m="1" x="5655"/>
        <item m="1" x="5654"/>
        <item m="1" x="5842"/>
        <item m="1" x="5841"/>
        <item m="1" x="6028"/>
        <item m="1" x="5201"/>
        <item m="1" x="6030"/>
        <item m="1" x="6031"/>
        <item m="1" x="4861"/>
        <item m="1" x="6035"/>
        <item m="1" x="6036"/>
        <item m="1" x="6038"/>
        <item m="1" x="5223"/>
        <item m="1" x="4622"/>
        <item m="1" x="6039"/>
        <item m="1" x="6040"/>
        <item m="1" x="6041"/>
        <item m="1" x="6042"/>
        <item m="1" x="5910"/>
        <item m="1" x="4786"/>
        <item m="1" x="5519"/>
        <item m="1" x="6044"/>
        <item m="1" x="5850"/>
        <item m="1" x="4684"/>
        <item m="1" x="6045"/>
        <item m="1" x="5693"/>
        <item m="1" x="6046"/>
        <item m="1" x="6047"/>
        <item m="1" x="6049"/>
        <item m="1" x="6050"/>
        <item m="1" x="5928"/>
        <item m="1" x="6051"/>
        <item m="1" x="5250"/>
        <item m="1" x="5934"/>
        <item m="1" x="5942"/>
        <item m="1" x="4810"/>
        <item m="1" x="6053"/>
        <item m="1" x="6054"/>
        <item m="1" x="5965"/>
        <item m="1" x="5970"/>
        <item m="1" x="5973"/>
        <item m="1" x="2259"/>
        <item m="1" x="5749"/>
        <item m="1" x="6057"/>
        <item m="1" x="5522"/>
        <item m="1" x="4072"/>
        <item m="1" x="4297"/>
        <item m="1" x="417"/>
        <item m="1" x="5753"/>
        <item m="1" x="5527"/>
        <item m="1" x="5528"/>
        <item m="1" x="5529"/>
        <item m="1" x="5530"/>
        <item m="1" x="5526"/>
        <item m="1" x="5532"/>
        <item m="1" x="4868"/>
        <item m="1" x="5155"/>
        <item m="1" x="5281"/>
        <item m="1" x="5533"/>
        <item m="1" x="5156"/>
        <item m="1" x="5157"/>
        <item m="1" x="5158"/>
        <item m="1" x="5154"/>
        <item m="1" x="5534"/>
        <item m="1" x="5755"/>
        <item m="1" x="5757"/>
        <item m="1" x="5763"/>
        <item m="1" x="5266"/>
        <item m="1" x="5765"/>
        <item m="1" x="5639"/>
        <item m="1" x="5549"/>
        <item m="1" x="5550"/>
        <item m="1" x="5551"/>
        <item m="1" x="5769"/>
        <item m="1" x="5554"/>
        <item m="1" x="5555"/>
        <item m="1" x="5774"/>
        <item m="1" x="5775"/>
        <item m="1" x="5776"/>
        <item m="1" x="5571"/>
        <item m="1" x="5564"/>
        <item m="1" x="5787"/>
        <item m="1" x="5788"/>
        <item m="1" x="3235"/>
        <item m="1" x="5789"/>
        <item m="1" x="5563"/>
        <item m="1" x="5574"/>
        <item m="1" x="5577"/>
        <item m="1" x="5579"/>
        <item m="1" x="2263"/>
        <item m="1" x="2264"/>
        <item m="1" x="2265"/>
        <item m="1" x="2266"/>
        <item m="1" x="1930"/>
        <item m="1" x="2267"/>
        <item m="1" x="2268"/>
        <item m="1" x="5351"/>
        <item m="1" x="5793"/>
        <item m="1" x="5794"/>
        <item m="1" x="5796"/>
        <item m="1" x="5797"/>
        <item m="1" x="5335"/>
        <item m="1" x="5798"/>
        <item m="1" x="4914"/>
        <item m="1" x="5600"/>
        <item m="1" x="5601"/>
        <item m="1" x="5803"/>
        <item m="1" x="5607"/>
        <item m="1" x="5811"/>
        <item m="1" x="5812"/>
        <item m="1" x="5627"/>
        <item m="1" x="5188"/>
        <item m="1" x="5189"/>
        <item m="1" x="5825"/>
        <item m="1" x="5631"/>
        <item m="1" x="5465"/>
        <item m="1" x="5640"/>
        <item m="1" x="5636"/>
        <item m="1" x="742"/>
        <item m="1" x="5638"/>
        <item m="1" x="5637"/>
        <item m="1" x="5826"/>
        <item m="1" x="5828"/>
        <item m="1" x="5829"/>
        <item m="1" x="5830"/>
        <item m="1" x="5831"/>
        <item m="1" x="5833"/>
        <item m="1" x="5834"/>
        <item m="1" x="5835"/>
        <item m="1" x="5836"/>
        <item m="1" x="5837"/>
        <item m="1" x="5838"/>
        <item m="1" x="5839"/>
        <item m="1" x="5200"/>
        <item m="1" x="5207"/>
        <item m="1" x="5845"/>
        <item m="1" x="5665"/>
        <item m="1" x="5846"/>
        <item m="1" x="5847"/>
        <item m="1" x="5848"/>
        <item m="1" x="5478"/>
        <item m="1" x="5849"/>
        <item m="1" x="5408"/>
        <item m="1" x="5486"/>
        <item m="1" x="5674"/>
        <item m="1" x="4624"/>
        <item m="1" x="5489"/>
        <item m="1" x="4816"/>
        <item m="1" x="5675"/>
        <item m="1" x="5216"/>
        <item m="1" x="5851"/>
        <item m="1" x="5852"/>
        <item m="1" x="5853"/>
        <item m="1" x="5854"/>
        <item m="1" x="5855"/>
        <item m="1" x="5856"/>
        <item m="1" x="5858"/>
        <item m="1" x="5859"/>
        <item m="1" x="5861"/>
        <item m="1" x="5862"/>
        <item m="1" x="5863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3"/>
        <item m="1" x="5885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699"/>
        <item m="1" x="5905"/>
        <item m="1" x="5906"/>
        <item m="1" x="5907"/>
        <item m="1" x="5700"/>
        <item m="1" x="5701"/>
        <item m="1" x="5702"/>
        <item m="1" x="5908"/>
        <item m="1" x="5909"/>
        <item m="1" x="5911"/>
        <item m="1" x="5912"/>
        <item m="1" x="5914"/>
        <item m="1" x="5916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035"/>
        <item m="1" x="4837"/>
        <item m="1" x="5930"/>
        <item m="1" x="5932"/>
        <item m="1" x="5935"/>
        <item m="1" x="5936"/>
        <item m="1" x="5937"/>
        <item m="1" x="5938"/>
        <item m="1" x="5939"/>
        <item m="1" x="462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6"/>
        <item m="1" x="5967"/>
        <item m="1" x="4645"/>
        <item m="1" x="4729"/>
        <item m="1" x="5975"/>
        <item m="1" x="4730"/>
        <item m="1" x="5980"/>
        <item m="1" x="4598"/>
        <item m="1" x="5524"/>
        <item m="1" x="4621"/>
        <item m="1" x="5038"/>
        <item m="1" x="5525"/>
        <item m="1" x="5444"/>
        <item m="1" x="5531"/>
        <item m="1" x="5535"/>
        <item m="1" x="5537"/>
        <item m="1" x="5538"/>
        <item m="1" x="5539"/>
        <item m="1" x="5540"/>
        <item m="1" x="5541"/>
        <item m="1" x="5542"/>
        <item m="1" x="5179"/>
        <item m="1" x="5543"/>
        <item m="1" x="5545"/>
        <item m="1" x="5546"/>
        <item m="1" x="5547"/>
        <item m="1" x="5548"/>
        <item m="1" x="5552"/>
        <item m="1" x="4229"/>
        <item m="1" x="5559"/>
        <item m="1" x="5450"/>
        <item m="1" x="5560"/>
        <item m="1" x="5562"/>
        <item m="1" x="5175"/>
        <item m="1" x="5567"/>
        <item m="1" x="4680"/>
        <item m="1" x="5576"/>
        <item m="1" x="5578"/>
        <item m="1" x="5315"/>
        <item m="1" x="5580"/>
        <item m="1" x="5581"/>
        <item m="1" x="5585"/>
        <item m="1" x="5330"/>
        <item m="1" x="5329"/>
        <item m="1" x="5590"/>
        <item m="1" x="5591"/>
        <item m="1" x="5592"/>
        <item m="1" x="5593"/>
        <item m="1" x="5594"/>
        <item m="1" x="5459"/>
        <item m="1" x="4063"/>
        <item m="1" x="5597"/>
        <item m="1" x="5598"/>
        <item m="1" x="5599"/>
        <item m="1" x="5602"/>
        <item m="1" x="5603"/>
        <item m="1" x="5604"/>
        <item m="1" x="5605"/>
        <item m="1" x="5606"/>
        <item m="1" x="5612"/>
        <item m="1" x="5613"/>
        <item m="1" x="426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8"/>
        <item m="1" x="5041"/>
        <item m="1" x="5630"/>
        <item m="1" x="5632"/>
        <item m="1" x="5633"/>
        <item m="1" x="5634"/>
        <item m="1" x="5635"/>
        <item m="1" x="5641"/>
        <item m="1" x="5642"/>
        <item m="1" x="5464"/>
        <item m="1" x="5643"/>
        <item m="1" x="5644"/>
        <item m="1" x="4918"/>
        <item m="1" x="5657"/>
        <item m="1" x="5466"/>
        <item m="1" x="4658"/>
        <item m="1" x="4654"/>
        <item m="1" x="5659"/>
        <item m="1" x="5660"/>
        <item m="1" x="5661"/>
        <item m="1" x="5662"/>
        <item m="1" x="5663"/>
        <item m="1" x="5380"/>
        <item m="1" x="5378"/>
        <item m="1" x="5379"/>
        <item m="1" x="4862"/>
        <item m="1" x="5668"/>
        <item m="1" x="5669"/>
        <item m="1" x="5670"/>
        <item m="1" x="5673"/>
        <item m="1" x="4882"/>
        <item m="1" x="4659"/>
        <item m="1" x="5676"/>
        <item m="1" x="5677"/>
        <item m="1" x="5411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221"/>
        <item m="1" x="5222"/>
        <item m="1" x="5689"/>
        <item m="1" x="5690"/>
        <item m="1" x="5494"/>
        <item m="1" x="5495"/>
        <item m="1" x="4960"/>
        <item m="1" x="5691"/>
        <item m="1" x="5692"/>
        <item m="1" x="5694"/>
        <item m="1" x="4798"/>
        <item m="1" x="5696"/>
        <item m="1" x="5697"/>
        <item m="1" x="5400"/>
        <item m="1" x="5698"/>
        <item m="1" x="5057"/>
        <item m="1" x="5050"/>
        <item m="1" x="4896"/>
        <item m="1" x="5711"/>
        <item m="1" x="5025"/>
        <item m="1" x="5717"/>
        <item m="1" x="5718"/>
        <item m="1" x="5719"/>
        <item m="1" x="5720"/>
        <item m="1" x="5721"/>
        <item m="1" x="5722"/>
        <item m="1" x="5723"/>
        <item m="1" x="5024"/>
        <item m="1" x="5730"/>
        <item m="1" x="4667"/>
        <item m="1" x="5732"/>
        <item m="1" x="5734"/>
        <item m="1" x="4668"/>
        <item m="1" x="5739"/>
        <item m="1" x="5740"/>
        <item m="1" x="5745"/>
        <item m="1" x="5271"/>
        <item m="1" x="5275"/>
        <item m="1" x="5280"/>
        <item m="1" x="5445"/>
        <item m="1" x="5446"/>
        <item m="1" x="5282"/>
        <item m="1" x="4407"/>
        <item m="1" x="5447"/>
        <item m="1" x="5448"/>
        <item m="1" x="5449"/>
        <item m="1" x="4583"/>
        <item m="1" x="5285"/>
        <item m="1" x="5286"/>
        <item m="1" x="5287"/>
        <item m="1" x="5291"/>
        <item m="1" x="5292"/>
        <item m="1" x="5294"/>
        <item m="1" x="5295"/>
        <item m="1" x="5296"/>
        <item m="1" x="5297"/>
        <item m="1" x="5451"/>
        <item m="1" x="5452"/>
        <item m="1" x="5300"/>
        <item m="1" x="5299"/>
        <item m="1" x="5453"/>
        <item m="1" x="5302"/>
        <item m="1" x="4586"/>
        <item m="1" x="5303"/>
        <item m="1" x="5304"/>
        <item m="1" x="1197"/>
        <item m="1" x="5455"/>
        <item m="1" x="5456"/>
        <item m="1" x="5457"/>
        <item m="1" x="5458"/>
        <item m="1" x="5312"/>
        <item m="1" x="5313"/>
        <item m="1" x="5314"/>
        <item m="1" x="2269"/>
        <item m="1" x="4600"/>
        <item m="1" x="1931"/>
        <item m="1" x="1932"/>
        <item m="1" x="5322"/>
        <item m="1" x="5323"/>
        <item m="1" x="5320"/>
        <item m="1" x="5321"/>
        <item m="1" x="5309"/>
        <item m="1" x="5327"/>
        <item m="1" x="5328"/>
        <item m="1" x="5331"/>
        <item m="1" x="5339"/>
        <item m="1" x="5344"/>
        <item m="1" x="5345"/>
        <item m="1" x="5460"/>
        <item m="1" x="5461"/>
        <item m="1" x="5354"/>
        <item m="1" x="5462"/>
        <item m="1" x="5040"/>
        <item m="1" x="5042"/>
        <item m="1" x="5043"/>
        <item m="1" x="4313"/>
        <item m="1" x="4312"/>
        <item m="1" x="5463"/>
        <item m="1" x="5361"/>
        <item m="1" x="5358"/>
        <item m="1" x="5363"/>
        <item m="1" x="5364"/>
        <item m="1" x="5365"/>
        <item m="1" x="5366"/>
        <item m="1" x="5370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4676"/>
        <item m="1" x="4884"/>
        <item m="1" x="5479"/>
        <item m="1" x="5480"/>
        <item m="1" x="5481"/>
        <item m="1" x="5482"/>
        <item m="1" x="5483"/>
        <item m="1" x="4679"/>
        <item m="1" x="5485"/>
        <item m="1" x="4959"/>
        <item m="1" x="5487"/>
        <item m="1" x="5488"/>
        <item m="1" x="4720"/>
        <item m="1" x="5490"/>
        <item m="1" x="5491"/>
        <item m="1" x="5492"/>
        <item m="1" x="5493"/>
        <item m="1" x="5496"/>
        <item m="1" x="5497"/>
        <item m="1" x="5498"/>
        <item m="1" x="5499"/>
        <item m="1" x="5500"/>
        <item m="1" x="4952"/>
        <item m="1" x="5501"/>
        <item m="1" x="5502"/>
        <item m="1" x="5503"/>
        <item m="1" x="5067"/>
        <item m="1" x="4999"/>
        <item m="1" x="4990"/>
        <item m="1" x="4760"/>
        <item m="1" x="4761"/>
        <item m="1" x="4762"/>
        <item m="1" x="5504"/>
        <item m="1" x="2762"/>
        <item m="1" x="4773"/>
        <item m="1" x="5507"/>
        <item m="1" x="4845"/>
        <item m="1" x="5428"/>
        <item m="1" x="4675"/>
        <item m="1" x="5509"/>
        <item m="1" x="5510"/>
        <item m="1" x="5511"/>
        <item m="1" x="5512"/>
        <item m="1" x="5513"/>
        <item m="1" x="5514"/>
        <item m="1" x="4831"/>
        <item m="1" x="5516"/>
        <item m="1" x="4885"/>
        <item m="1" x="5517"/>
        <item m="1" x="5518"/>
        <item m="1" x="5520"/>
        <item m="1" x="5272"/>
        <item m="1" x="5273"/>
        <item m="1" x="5274"/>
        <item m="1" x="5276"/>
        <item m="1" x="5277"/>
        <item m="1" x="5278"/>
        <item m="1" x="5186"/>
        <item m="1" x="5279"/>
        <item m="1" x="4593"/>
        <item m="1" x="5283"/>
        <item m="1" x="5284"/>
        <item m="1" x="4543"/>
        <item m="1" x="5164"/>
        <item m="1" x="5289"/>
        <item m="1" x="5290"/>
        <item m="1" x="5168"/>
        <item m="1" x="5293"/>
        <item m="1" x="514"/>
        <item m="1" x="4228"/>
        <item m="1" x="4956"/>
        <item m="1" x="5173"/>
        <item m="1" x="5174"/>
        <item m="1" x="5180"/>
        <item m="1" x="5301"/>
        <item m="1" x="4936"/>
        <item m="1" x="4264"/>
        <item m="1" x="5305"/>
        <item m="1" x="5306"/>
        <item m="1" x="5308"/>
        <item m="1" x="5310"/>
        <item m="1" x="5311"/>
        <item m="1" x="5316"/>
        <item m="1" x="1933"/>
        <item m="1" x="5318"/>
        <item m="1" x="5319"/>
        <item m="1" x="4270"/>
        <item m="1" x="5136"/>
        <item m="1" x="4610"/>
        <item m="1" x="4979"/>
        <item m="1" x="5332"/>
        <item m="1" x="5333"/>
        <item m="1" x="5337"/>
        <item m="1" x="5338"/>
        <item m="1" x="5340"/>
        <item m="1" x="5341"/>
        <item m="1" x="5342"/>
        <item m="1" x="5343"/>
        <item m="1" x="5346"/>
        <item m="1" x="5347"/>
        <item m="1" x="5348"/>
        <item m="1" x="5349"/>
        <item m="1" x="5183"/>
        <item m="1" x="5350"/>
        <item m="1" x="5352"/>
        <item m="1" x="5353"/>
        <item m="1" x="5149"/>
        <item m="1" x="5150"/>
        <item m="1" x="5044"/>
        <item m="1" x="5187"/>
        <item m="1" x="5355"/>
        <item m="1" x="5356"/>
        <item m="1" x="5357"/>
        <item m="1" x="5359"/>
        <item m="1" x="5360"/>
        <item m="1" x="5362"/>
        <item m="1" x="5367"/>
        <item m="1" x="5368"/>
        <item m="1" x="5369"/>
        <item m="1" x="5004"/>
        <item m="1" x="5371"/>
        <item m="1" x="5372"/>
        <item m="1" x="5373"/>
        <item m="1" x="5374"/>
        <item m="1" x="5375"/>
        <item m="1" x="5376"/>
        <item m="1" x="5377"/>
        <item m="1" x="4669"/>
        <item m="1" x="4670"/>
        <item m="1" x="5381"/>
        <item m="1" x="5382"/>
        <item m="1" x="5383"/>
        <item m="1" x="5384"/>
        <item m="1" x="4323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4796"/>
        <item m="1" x="4797"/>
        <item m="1" x="5401"/>
        <item m="1" x="1448"/>
        <item m="1" x="4942"/>
        <item m="1" x="4944"/>
        <item m="1" x="4945"/>
        <item m="1" x="5403"/>
        <item m="1" x="5404"/>
        <item m="1" x="5405"/>
        <item m="1" x="5138"/>
        <item m="1" x="5139"/>
        <item m="1" x="5406"/>
        <item m="1" x="4642"/>
        <item m="1" x="5409"/>
        <item m="1" x="5410"/>
        <item m="1" x="5412"/>
        <item m="1" x="5413"/>
        <item m="1" x="5414"/>
        <item m="1" x="5415"/>
        <item m="1" x="5416"/>
        <item m="1" x="5417"/>
        <item m="1" x="5418"/>
        <item m="1" x="5419"/>
        <item m="1" x="4826"/>
        <item m="1" x="5420"/>
        <item m="1" x="5421"/>
        <item m="1" x="5422"/>
        <item m="1" x="5423"/>
        <item m="1" x="5424"/>
        <item m="1" x="5425"/>
        <item m="1" x="5426"/>
        <item m="1" x="5427"/>
        <item m="1" x="5239"/>
        <item m="1" x="4806"/>
        <item m="1" x="5429"/>
        <item m="1" x="5430"/>
        <item m="1" x="5431"/>
        <item m="1" x="5432"/>
        <item m="1" x="5433"/>
        <item m="1" x="5434"/>
        <item m="1" x="5435"/>
        <item m="1" x="5261"/>
        <item m="1" x="5436"/>
        <item m="1" x="5437"/>
        <item m="1" x="4620"/>
        <item m="1" x="4652"/>
        <item m="1" x="4651"/>
        <item m="1" x="5438"/>
        <item m="1" x="5124"/>
        <item m="1" x="4418"/>
        <item m="1" x="5128"/>
        <item m="1" x="4844"/>
        <item m="1" x="4843"/>
        <item m="1" x="5159"/>
        <item m="1" x="5160"/>
        <item m="1" x="4619"/>
        <item m="1" x="5161"/>
        <item m="1" x="5162"/>
        <item m="1" x="5163"/>
        <item m="1" x="5165"/>
        <item m="1" x="5166"/>
        <item m="1" x="5167"/>
        <item m="1" x="774"/>
        <item m="1" x="773"/>
        <item m="1" x="4660"/>
        <item m="1" x="4582"/>
        <item m="1" x="5170"/>
        <item m="1" x="5171"/>
        <item m="1" x="4748"/>
        <item m="1" x="5109"/>
        <item m="1" x="4746"/>
        <item m="1" x="4747"/>
        <item m="1" x="5172"/>
        <item m="1" x="5176"/>
        <item m="1" x="5177"/>
        <item m="1" x="3983"/>
        <item m="1" x="1921"/>
        <item m="1" x="3982"/>
        <item m="1" x="4909"/>
        <item m="1" x="1452"/>
        <item m="1" x="3363"/>
        <item m="1" x="4285"/>
        <item m="1" x="4287"/>
        <item m="1" x="4997"/>
        <item m="1" x="4998"/>
        <item m="1" x="5184"/>
        <item m="1" x="5018"/>
        <item m="1" x="5190"/>
        <item m="1" x="3887"/>
        <item m="1" x="3886"/>
        <item m="1" x="3984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056"/>
        <item m="1" x="5005"/>
        <item m="1" x="5006"/>
        <item m="1" x="5007"/>
        <item m="1" x="4141"/>
        <item m="1" x="5202"/>
        <item m="1" x="5203"/>
        <item m="1" x="5204"/>
        <item m="1" x="5205"/>
        <item m="1" x="5206"/>
        <item m="1" x="5208"/>
        <item m="1" x="5209"/>
        <item m="1" x="5210"/>
        <item m="1" x="4821"/>
        <item m="1" x="5211"/>
        <item m="1" x="5212"/>
        <item m="1" x="5214"/>
        <item m="1" x="4644"/>
        <item m="1" x="4046"/>
        <item m="1" x="5217"/>
        <item m="1" x="5218"/>
        <item m="1" x="5219"/>
        <item m="1" x="5220"/>
        <item m="1" x="5224"/>
        <item m="1" x="5225"/>
        <item m="1" x="5226"/>
        <item m="1" x="5227"/>
        <item m="1" x="5228"/>
        <item m="1" x="5229"/>
        <item m="1" x="5230"/>
        <item m="1" x="5231"/>
        <item m="1" x="4941"/>
        <item m="1" x="5232"/>
        <item m="1" x="5233"/>
        <item m="1" x="5234"/>
        <item m="1" x="4799"/>
        <item m="1" x="5240"/>
        <item m="1" x="4158"/>
        <item m="1" x="5243"/>
        <item m="1" x="5244"/>
        <item m="1" x="4836"/>
        <item m="1" x="5246"/>
        <item m="1" x="5247"/>
        <item m="1" x="5248"/>
        <item m="1" x="5249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2"/>
        <item m="1" x="5263"/>
        <item m="1" x="5268"/>
        <item m="1" x="5269"/>
        <item m="1" x="4414"/>
        <item m="1" x="5058"/>
        <item m="1" x="4617"/>
        <item m="1" x="5060"/>
        <item m="1" x="4640"/>
        <item m="1" x="4638"/>
        <item m="1" x="4639"/>
        <item m="1" x="4635"/>
        <item m="1" x="4636"/>
        <item m="1" x="4637"/>
        <item m="1" x="4618"/>
        <item m="1" x="5061"/>
        <item m="1" x="5062"/>
        <item m="1" x="4544"/>
        <item m="1" x="5063"/>
        <item m="1" x="5064"/>
        <item m="1" x="5065"/>
        <item m="1" x="4665"/>
        <item m="1" x="4677"/>
        <item m="1" x="5066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4718"/>
        <item m="1" x="5101"/>
        <item m="1" x="5102"/>
        <item m="1" x="5103"/>
        <item m="1" x="4580"/>
        <item m="1" x="5104"/>
        <item m="1" x="4578"/>
        <item m="1" x="5105"/>
        <item m="1" x="4576"/>
        <item m="1" x="4733"/>
        <item m="1" x="3980"/>
        <item m="1" x="4739"/>
        <item m="1" x="4717"/>
        <item m="1" x="4740"/>
        <item m="1" x="5108"/>
        <item m="1" x="5110"/>
        <item m="1" x="5111"/>
        <item m="1" x="4745"/>
        <item m="1" x="4753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4785"/>
        <item m="1" x="4784"/>
        <item m="1" x="5121"/>
        <item m="1" x="4234"/>
        <item m="1" x="4235"/>
        <item m="1" x="4236"/>
        <item m="1" x="5122"/>
        <item m="1" x="4819"/>
        <item m="1" x="4824"/>
        <item m="1" x="4827"/>
        <item m="1" x="4835"/>
        <item m="1" x="5125"/>
        <item m="1" x="5126"/>
        <item m="1" x="5127"/>
        <item m="1" x="4092"/>
        <item m="1" x="4245"/>
        <item m="1" x="4478"/>
        <item m="1" x="4102"/>
        <item m="1" x="5130"/>
        <item m="1" x="5131"/>
        <item m="1" x="4907"/>
        <item m="1" x="3381"/>
        <item m="1" x="4908"/>
        <item m="1" x="4915"/>
        <item m="1" x="4912"/>
        <item m="1" x="5134"/>
        <item m="1" x="5135"/>
        <item m="1" x="2786"/>
        <item m="1" x="3981"/>
        <item m="1" x="5137"/>
        <item m="1" x="4929"/>
        <item m="1" x="3979"/>
        <item m="1" x="4958"/>
        <item m="1" x="4963"/>
        <item m="1" x="4964"/>
        <item m="1" x="4937"/>
        <item m="1" x="4943"/>
        <item m="1" x="4955"/>
        <item m="1" x="4510"/>
        <item m="1" x="5141"/>
        <item m="1" x="4986"/>
        <item m="1" x="5142"/>
        <item m="1" x="5143"/>
        <item m="1" x="5144"/>
        <item m="1" x="5003"/>
        <item m="1" x="5002"/>
        <item m="1" x="5000"/>
        <item m="1" x="5001"/>
        <item m="1" x="5145"/>
        <item m="1" x="2789"/>
        <item m="1" x="5146"/>
        <item m="1" x="5017"/>
        <item m="1" x="5011"/>
        <item m="1" x="5023"/>
        <item m="1" x="1617"/>
        <item m="1" x="5147"/>
        <item m="1" x="5019"/>
        <item m="1" x="5148"/>
        <item m="1" x="5039"/>
        <item m="1" x="5046"/>
        <item m="1" x="5047"/>
        <item m="1" x="5048"/>
        <item m="1" x="3885"/>
        <item m="1" x="5151"/>
        <item m="1" x="5054"/>
        <item m="1" x="5152"/>
        <item m="1" x="4406"/>
        <item m="1" x="5055"/>
        <item m="1" x="4409"/>
        <item m="1" x="4408"/>
        <item m="1" x="4164"/>
        <item m="1" x="4641"/>
        <item m="1" x="4643"/>
        <item m="1" x="4663"/>
        <item m="1" x="2155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3988"/>
        <item m="1" x="4712"/>
        <item m="1" x="4713"/>
        <item m="1" x="4714"/>
        <item m="1" x="4715"/>
        <item m="1" x="4716"/>
        <item m="1" x="3233"/>
        <item m="1" x="4067"/>
        <item m="1" x="4726"/>
        <item m="1" x="4042"/>
        <item m="1" x="4225"/>
        <item m="1" x="4585"/>
        <item m="1" x="3978"/>
        <item m="1" x="4490"/>
        <item m="1" x="4741"/>
        <item m="1" x="4608"/>
        <item m="1" x="4744"/>
        <item m="1" x="4749"/>
        <item m="1" x="4750"/>
        <item m="1" x="4764"/>
        <item m="1" x="4765"/>
        <item m="1" x="4405"/>
        <item m="1" x="772"/>
        <item m="1" x="4788"/>
        <item m="1" x="4789"/>
        <item m="1" x="4790"/>
        <item m="1" x="4791"/>
        <item m="1" x="4800"/>
        <item m="1" x="4801"/>
        <item m="1" x="4817"/>
        <item m="1" x="4818"/>
        <item m="1" x="4823"/>
        <item m="1" x="4825"/>
        <item m="1" x="4829"/>
        <item m="1" x="4840"/>
        <item m="1" x="4846"/>
        <item m="1" x="4847"/>
        <item m="1" x="4848"/>
        <item m="1" x="4849"/>
        <item m="1" x="4850"/>
        <item m="1" x="4877"/>
        <item m="1" x="4096"/>
        <item m="1" x="4097"/>
        <item m="1" x="4888"/>
        <item m="1" x="4899"/>
        <item m="1" x="4253"/>
        <item m="1" x="4254"/>
        <item m="1" x="4255"/>
        <item m="1" x="4906"/>
        <item m="1" x="4483"/>
        <item m="1" x="4910"/>
        <item m="1" x="4911"/>
        <item m="1" x="4913"/>
        <item m="1" x="4916"/>
        <item m="1" x="2258"/>
        <item m="1" x="2260"/>
        <item m="1" x="2261"/>
        <item m="1" x="2262"/>
        <item m="1" x="1922"/>
        <item m="1" x="1923"/>
        <item m="1" x="2257"/>
        <item m="1" x="4928"/>
        <item m="1" x="4495"/>
        <item m="1" x="4930"/>
        <item m="1" x="4931"/>
        <item m="1" x="4932"/>
        <item m="1" x="4601"/>
        <item m="1" x="4933"/>
        <item m="1" x="4934"/>
        <item m="1" x="4947"/>
        <item m="1" x="4951"/>
        <item m="1" x="4954"/>
        <item m="1" x="4957"/>
        <item m="1" x="4961"/>
        <item m="1" x="4962"/>
        <item m="1" x="4966"/>
        <item m="1" x="4404"/>
        <item m="1" x="3989"/>
        <item m="1" x="4980"/>
        <item m="1" x="4982"/>
        <item m="1" x="4984"/>
        <item m="1" x="4988"/>
        <item m="1" x="5008"/>
        <item m="1" x="5009"/>
        <item m="1" x="5012"/>
        <item m="1" x="5013"/>
        <item m="1" x="5014"/>
        <item m="1" x="5015"/>
        <item m="1" x="5016"/>
        <item m="1" x="4149"/>
        <item m="1" x="5020"/>
        <item m="1" x="5021"/>
        <item m="1" x="5022"/>
        <item m="1" x="5030"/>
        <item m="1" x="5049"/>
        <item m="1" x="5051"/>
        <item m="1" x="5052"/>
        <item m="1" x="5053"/>
        <item m="1" x="4537"/>
        <item m="1" x="4538"/>
        <item m="1" x="4539"/>
        <item m="1" x="4540"/>
        <item m="1" x="4541"/>
        <item m="1" x="1173"/>
        <item m="1" x="4542"/>
        <item m="1" x="4415"/>
        <item m="1" x="3701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442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7"/>
        <item m="1" x="4579"/>
        <item m="1" x="3930"/>
        <item m="1" x="4584"/>
        <item m="1" x="3730"/>
        <item m="1" x="4587"/>
        <item m="1" x="4588"/>
        <item m="1" x="4589"/>
        <item m="1" x="4590"/>
        <item m="1" x="4591"/>
        <item m="1" x="4460"/>
        <item m="1" x="4464"/>
        <item m="1" x="4470"/>
        <item m="1" x="2790"/>
        <item m="1" x="4467"/>
        <item m="1" x="4468"/>
        <item m="1" x="4466"/>
        <item m="1" x="4592"/>
        <item m="1" x="4594"/>
        <item m="1" x="4595"/>
        <item m="1" x="4596"/>
        <item m="1" x="4476"/>
        <item m="1" x="4477"/>
        <item m="1" x="4475"/>
        <item m="1" x="4474"/>
        <item m="1" x="4095"/>
        <item m="1" x="4480"/>
        <item m="1" x="4249"/>
        <item m="1" x="4256"/>
        <item m="1" x="2193"/>
        <item m="1" x="4484"/>
        <item m="1" x="4485"/>
        <item m="1" x="4486"/>
        <item m="1" x="2253"/>
        <item m="1" x="2254"/>
        <item m="1" x="2255"/>
        <item m="1" x="4492"/>
        <item m="1" x="4491"/>
        <item m="1" x="4493"/>
        <item m="1" x="4602"/>
        <item m="1" x="4603"/>
        <item m="1" x="4604"/>
        <item m="1" x="4605"/>
        <item m="1" x="4606"/>
        <item m="1" x="4607"/>
        <item m="1" x="4609"/>
        <item m="1" x="4505"/>
        <item m="1" x="4504"/>
        <item m="1" x="4611"/>
        <item m="1" x="4506"/>
        <item m="1" x="4612"/>
        <item m="1" x="4613"/>
        <item m="1" x="3387"/>
        <item m="1" x="3388"/>
        <item m="1" x="4511"/>
        <item m="1" x="4512"/>
        <item m="1" x="4289"/>
        <item m="1" x="4288"/>
        <item m="1" x="4514"/>
        <item m="1" x="4517"/>
        <item m="1" x="4296"/>
        <item m="1" x="4521"/>
        <item m="1" x="4520"/>
        <item m="1" x="4523"/>
        <item m="1" x="4527"/>
        <item m="1" x="4403"/>
        <item m="1" x="4615"/>
        <item m="1" x="3884"/>
        <item m="1" x="2787"/>
        <item m="1" x="3977"/>
        <item m="1" x="3976"/>
        <item m="1" x="4616"/>
        <item m="1" x="4532"/>
        <item m="1" x="4402"/>
        <item m="1" x="4401"/>
        <item m="1" x="4410"/>
        <item m="1" x="4411"/>
        <item m="1" x="4412"/>
        <item m="1" x="3997"/>
        <item m="1" x="4003"/>
        <item m="1" x="4413"/>
        <item m="1" x="4416"/>
        <item m="1" x="535"/>
        <item m="1" x="4417"/>
        <item m="1" x="4419"/>
        <item m="1" x="4420"/>
        <item m="1" x="4421"/>
        <item m="1" x="4422"/>
        <item m="1" x="4423"/>
        <item m="1" x="4395"/>
        <item m="1" x="4424"/>
        <item m="1" x="4394"/>
        <item m="1" x="4425"/>
        <item m="1" x="4426"/>
        <item m="1" x="4427"/>
        <item m="1" x="4428"/>
        <item m="1" x="4429"/>
        <item m="1" x="4430"/>
        <item m="1" x="4365"/>
        <item m="1" x="4431"/>
        <item m="1" x="4432"/>
        <item m="1" x="4400"/>
        <item m="1" x="3288"/>
        <item m="1" x="4433"/>
        <item m="1" x="4434"/>
        <item m="1" x="4435"/>
        <item m="1" x="4436"/>
        <item m="1" x="4393"/>
        <item m="1" x="4437"/>
        <item m="1" x="4438"/>
        <item m="1" x="4439"/>
        <item m="1" x="4440"/>
        <item m="1" x="4441"/>
        <item m="1" x="1918"/>
        <item m="1" x="4443"/>
        <item m="1" x="4444"/>
        <item m="1" x="4445"/>
        <item m="1" x="4446"/>
        <item m="1" x="4019"/>
        <item m="1" x="4447"/>
        <item m="1" x="4448"/>
        <item m="1" x="4449"/>
        <item m="1" x="4450"/>
        <item m="1" x="4451"/>
        <item m="1" x="4397"/>
        <item m="1" x="4396"/>
        <item m="1" x="4452"/>
        <item m="1" x="4453"/>
        <item m="1" x="4454"/>
        <item m="1" x="4455"/>
        <item m="1" x="4456"/>
        <item m="1" x="4457"/>
        <item m="1" x="4224"/>
        <item m="1" x="4458"/>
        <item m="1" x="4361"/>
        <item m="1" x="4459"/>
        <item m="1" x="4399"/>
        <item m="1" x="4398"/>
        <item m="1" x="1579"/>
        <item m="1" x="4232"/>
        <item m="1" x="4461"/>
        <item m="1" x="4462"/>
        <item m="1" x="4463"/>
        <item m="1" x="4465"/>
        <item m="1" x="4469"/>
        <item m="1" x="4471"/>
        <item m="1" x="4069"/>
        <item m="1" x="4473"/>
        <item m="1" x="4246"/>
        <item m="1" x="4247"/>
        <item m="1" x="4479"/>
        <item m="1" x="2788"/>
        <item m="1" x="4100"/>
        <item m="1" x="4481"/>
        <item m="1" x="4257"/>
        <item m="1" x="4104"/>
        <item m="1" x="4482"/>
        <item m="1" x="4487"/>
        <item m="1" x="4488"/>
        <item m="1" x="2256"/>
        <item m="1" x="4110"/>
        <item m="1" x="4494"/>
        <item m="1" x="3971"/>
        <item m="1" x="4496"/>
        <item m="1" x="4497"/>
        <item m="1" x="4498"/>
        <item m="1" x="4499"/>
        <item m="1" x="4500"/>
        <item m="1" x="4501"/>
        <item m="1" x="4502"/>
        <item m="1" x="1462"/>
        <item m="1" x="4507"/>
        <item m="1" x="4508"/>
        <item m="1" x="4509"/>
        <item m="1" x="4136"/>
        <item m="1" x="4137"/>
        <item m="1" x="4138"/>
        <item m="1" x="4286"/>
        <item m="1" x="4513"/>
        <item m="1" x="4515"/>
        <item m="1" x="4516"/>
        <item m="1" x="4518"/>
        <item m="1" x="4519"/>
        <item m="1" x="4522"/>
        <item m="1" x="3394"/>
        <item m="1" x="3975"/>
        <item m="1" x="4524"/>
        <item m="1" x="4525"/>
        <item m="1" x="4526"/>
        <item m="1" x="4528"/>
        <item m="1" x="4150"/>
        <item m="1" x="4529"/>
        <item m="1" x="4530"/>
        <item m="1" x="4531"/>
        <item m="1" x="3881"/>
        <item m="1" x="3972"/>
        <item m="1" x="3882"/>
        <item m="1" x="4533"/>
        <item m="1" x="4534"/>
        <item m="1" x="4535"/>
        <item m="1" x="1920"/>
        <item m="1" x="4536"/>
        <item m="1" x="4372"/>
        <item m="1" x="4391"/>
        <item m="1" x="4348"/>
        <item m="1" x="4198"/>
        <item m="1" x="3929"/>
        <item m="1" x="4347"/>
        <item m="1" x="4008"/>
        <item m="1" x="4202"/>
        <item m="1" x="2792"/>
        <item m="1" x="4320"/>
        <item m="1" x="4325"/>
        <item m="1" x="4385"/>
        <item m="1" x="4380"/>
        <item m="1" x="4371"/>
        <item m="1" x="4379"/>
        <item m="1" x="4378"/>
        <item m="1" x="4377"/>
        <item m="1" x="4293"/>
        <item m="1" x="4376"/>
        <item m="1" x="4375"/>
        <item m="1" x="4390"/>
        <item m="1" x="4389"/>
        <item m="1" x="4388"/>
        <item m="1" x="4345"/>
        <item m="1" x="4358"/>
        <item m="1" x="1203"/>
        <item m="1" x="4346"/>
        <item m="1" x="4203"/>
        <item m="1" x="4352"/>
        <item m="1" x="4364"/>
        <item m="1" x="4363"/>
        <item m="1" x="4362"/>
        <item m="1" x="4018"/>
        <item m="1" x="4360"/>
        <item m="1" x="4359"/>
        <item m="1" x="4215"/>
        <item m="1" x="4370"/>
        <item m="1" x="4369"/>
        <item m="1" x="4368"/>
        <item m="1" x="4367"/>
        <item m="1" x="4366"/>
        <item m="1" x="4344"/>
        <item m="1" x="4343"/>
        <item m="1" x="4326"/>
        <item m="1" x="4329"/>
        <item m="1" x="4221"/>
        <item m="1" x="4033"/>
        <item m="1" x="2225"/>
        <item m="1" x="4338"/>
        <item m="1" x="4035"/>
        <item m="1" x="4039"/>
        <item m="1" x="4222"/>
        <item m="1" x="4334"/>
        <item m="1" x="4333"/>
        <item m="1" x="4332"/>
        <item m="1" x="4342"/>
        <item m="1" x="4341"/>
        <item m="1" x="4351"/>
        <item m="1" x="4350"/>
        <item m="1" x="4349"/>
        <item m="1" x="4340"/>
        <item m="1" x="4233"/>
        <item m="1" x="4381"/>
        <item m="1" x="4227"/>
        <item m="1" x="4231"/>
        <item m="1" x="2793"/>
        <item m="1" x="4237"/>
        <item m="1" x="4238"/>
        <item m="1" x="4065"/>
        <item m="1" x="4322"/>
        <item m="1" x="4321"/>
        <item m="1" x="4241"/>
        <item m="1" x="4242"/>
        <item m="1" x="4319"/>
        <item m="1" x="4244"/>
        <item m="1" x="4328"/>
        <item m="1" x="4327"/>
        <item m="1" x="4248"/>
        <item m="1" x="4252"/>
        <item m="1" x="4324"/>
        <item m="1" x="4103"/>
        <item m="1" x="4337"/>
        <item m="1" x="4336"/>
        <item m="1" x="4335"/>
        <item m="1" x="1217"/>
        <item m="1" x="4384"/>
        <item m="1" x="4383"/>
        <item m="1" x="4265"/>
        <item m="1" x="1928"/>
        <item m="1" x="1929"/>
        <item m="1" x="1926"/>
        <item m="1" x="1924"/>
        <item m="1" x="4387"/>
        <item m="1" x="4382"/>
        <item m="1" x="4354"/>
        <item m="1" x="4353"/>
        <item m="1" x="4356"/>
        <item m="1" x="4355"/>
        <item m="1" x="4129"/>
        <item m="1" x="4292"/>
        <item m="1" x="4386"/>
        <item m="1" x="4279"/>
        <item m="1" x="4140"/>
        <item m="1" x="3970"/>
        <item m="1" x="4373"/>
        <item m="1" x="4331"/>
        <item m="1" x="4291"/>
        <item m="1" x="4330"/>
        <item m="1" x="4317"/>
        <item m="1" x="4298"/>
        <item m="1" x="3969"/>
        <item m="1" x="4301"/>
        <item m="1" x="4308"/>
        <item m="1" x="4300"/>
        <item m="1" x="4318"/>
        <item m="1" x="4152"/>
        <item m="1" x="4153"/>
        <item m="1" x="3883"/>
        <item m="1" x="4374"/>
        <item m="1" x="1785"/>
        <item m="1" x="4392"/>
        <item m="1" x="4339"/>
        <item m="1" x="4165"/>
        <item m="1" x="4166"/>
        <item m="1" x="3992"/>
        <item m="1" x="3995"/>
        <item m="1" x="399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9"/>
        <item m="1" x="1566"/>
        <item m="1" x="4010"/>
        <item m="1" x="3931"/>
        <item m="1" x="4200"/>
        <item m="1" x="3941"/>
        <item m="1" x="4068"/>
        <item m="1" x="4201"/>
        <item m="1" x="4204"/>
        <item m="1" x="4017"/>
        <item m="1" x="4016"/>
        <item m="1" x="4205"/>
        <item m="1" x="4206"/>
        <item m="1" x="4207"/>
        <item m="1" x="4208"/>
        <item m="1" x="4209"/>
        <item m="1" x="4210"/>
        <item m="1" x="4211"/>
        <item m="1" x="4212"/>
        <item m="1" x="4015"/>
        <item m="1" x="4213"/>
        <item m="1" x="4011"/>
        <item m="1" x="4214"/>
        <item m="1" x="4012"/>
        <item m="1" x="4216"/>
        <item m="1" x="4217"/>
        <item m="1" x="4218"/>
        <item m="1" x="4219"/>
        <item m="1" x="4013"/>
        <item m="1" x="4014"/>
        <item m="1" x="4220"/>
        <item m="1" x="1665"/>
        <item m="1" x="1662"/>
        <item m="1" x="1661"/>
        <item m="1" x="3932"/>
        <item m="1" x="706"/>
        <item m="1" x="4223"/>
        <item m="1" x="4048"/>
        <item m="1" x="4049"/>
        <item m="1" x="4045"/>
        <item m="1" x="4050"/>
        <item m="1" x="4226"/>
        <item m="1" x="3967"/>
        <item m="1" x="3966"/>
        <item m="1" x="4230"/>
        <item m="1" x="4052"/>
        <item m="1" x="1059"/>
        <item m="1" x="4053"/>
        <item m="1" x="4051"/>
        <item m="1" x="4059"/>
        <item m="1" x="4060"/>
        <item m="1" x="4061"/>
        <item m="1" x="2791"/>
        <item m="1" x="4239"/>
        <item m="1" x="4240"/>
        <item m="1" x="4070"/>
        <item m="1" x="4071"/>
        <item m="1" x="4243"/>
        <item m="1" x="4074"/>
        <item m="1" x="4075"/>
        <item m="1" x="4076"/>
        <item m="1" x="4077"/>
        <item m="1" x="4082"/>
        <item m="1" x="4085"/>
        <item m="1" x="4086"/>
        <item m="1" x="4087"/>
        <item m="1" x="4088"/>
        <item m="1" x="4083"/>
        <item m="1" x="4089"/>
        <item m="1" x="4090"/>
        <item m="1" x="4094"/>
        <item m="1" x="3746"/>
        <item m="1" x="4250"/>
        <item m="1" x="4251"/>
        <item m="1" x="4258"/>
        <item m="1" x="4259"/>
        <item m="1" x="4261"/>
        <item m="1" x="4262"/>
        <item m="1" x="4106"/>
        <item m="1" x="1378"/>
        <item m="1" x="4267"/>
        <item m="1" x="4268"/>
        <item m="1" x="4271"/>
        <item m="1" x="4272"/>
        <item m="1" x="4273"/>
        <item m="1" x="4274"/>
        <item m="1" x="4275"/>
        <item m="1" x="4120"/>
        <item m="1" x="3373"/>
        <item m="1" x="1605"/>
        <item m="1" x="2613"/>
        <item m="1" x="4276"/>
        <item m="1" x="2951"/>
        <item m="1" x="4277"/>
        <item m="1" x="4278"/>
        <item m="1" x="4280"/>
        <item m="1" x="4139"/>
        <item m="1" x="4281"/>
        <item m="1" x="4282"/>
        <item m="1" x="4283"/>
        <item m="1" x="4284"/>
        <item m="1" x="4290"/>
        <item m="1" x="3963"/>
        <item m="1" x="4294"/>
        <item m="1" x="4142"/>
        <item m="1" x="4295"/>
        <item m="1" x="4299"/>
        <item m="1" x="4148"/>
        <item m="1" x="4147"/>
        <item m="1" x="4302"/>
        <item m="1" x="3769"/>
        <item m="1" x="4303"/>
        <item m="1" x="4304"/>
        <item m="1" x="4305"/>
        <item m="1" x="4306"/>
        <item m="1" x="4307"/>
        <item m="1" x="4309"/>
        <item m="1" x="4151"/>
        <item m="1" x="4310"/>
        <item m="1" x="4311"/>
        <item m="1" x="4314"/>
        <item m="1" x="4315"/>
        <item m="1" x="4316"/>
        <item m="1" x="4163"/>
        <item m="1" x="4162"/>
        <item m="1" x="3952"/>
        <item m="1" x="3990"/>
        <item m="1" x="3991"/>
        <item m="1" x="2945"/>
        <item m="1" x="3415"/>
        <item m="1" x="3993"/>
        <item m="1" x="3994"/>
        <item m="1" x="3577"/>
        <item m="1" x="3974"/>
        <item m="1" x="3999"/>
        <item m="1" x="4000"/>
        <item m="1" x="4001"/>
        <item m="1" x="3781"/>
        <item m="1" x="4002"/>
        <item m="1" x="2659"/>
        <item m="1" x="3371"/>
        <item m="1" x="4004"/>
        <item m="1" x="3950"/>
        <item m="1" x="4005"/>
        <item m="1" x="4006"/>
        <item m="1" x="4007"/>
        <item m="1" x="3949"/>
        <item m="1" x="4009"/>
        <item m="1" x="548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3694"/>
        <item m="1" x="4032"/>
        <item m="1" x="3479"/>
        <item m="1" x="4034"/>
        <item m="1" x="4036"/>
        <item m="1" x="3987"/>
        <item m="1" x="4037"/>
        <item m="1" x="1252"/>
        <item m="1" x="3965"/>
        <item m="1" x="3964"/>
        <item m="1" x="4040"/>
        <item m="1" x="4041"/>
        <item m="1" x="4043"/>
        <item m="1" x="4044"/>
        <item m="1" x="3943"/>
        <item m="1" x="4047"/>
        <item m="1" x="3962"/>
        <item m="1" x="3959"/>
        <item m="1" x="4054"/>
        <item m="1" x="4055"/>
        <item m="1" x="4056"/>
        <item m="1" x="3947"/>
        <item m="1" x="4057"/>
        <item m="1" x="4058"/>
        <item m="1" x="2948"/>
        <item m="1" x="4062"/>
        <item m="1" x="3948"/>
        <item m="1" x="2217"/>
        <item m="1" x="4064"/>
        <item m="1" x="771"/>
        <item m="1" x="4066"/>
        <item m="1" x="3341"/>
        <item m="1" x="3343"/>
        <item m="1" x="3958"/>
        <item m="1" x="3973"/>
        <item m="1" x="1586"/>
        <item m="1" x="4073"/>
        <item m="1" x="4078"/>
        <item m="1" x="4079"/>
        <item m="1" x="3743"/>
        <item m="1" x="4080"/>
        <item m="1" x="4081"/>
        <item m="1" x="1507"/>
        <item m="1" x="3561"/>
        <item m="1" x="4091"/>
        <item m="1" x="4093"/>
        <item m="1" x="4098"/>
        <item m="1" x="766"/>
        <item m="1" x="4101"/>
        <item m="1" x="3750"/>
        <item m="1" x="4105"/>
        <item m="1" x="4107"/>
        <item m="1" x="4108"/>
        <item m="1" x="3518"/>
        <item m="1" x="4109"/>
        <item m="1" x="3763"/>
        <item m="1" x="4111"/>
        <item m="1" x="4112"/>
        <item m="1" x="4113"/>
        <item m="1" x="4114"/>
        <item m="1" x="3968"/>
        <item m="1" x="3861"/>
        <item m="1" x="4115"/>
        <item m="1" x="1887"/>
        <item m="1" x="4116"/>
        <item m="1" x="4117"/>
        <item m="1" x="4118"/>
        <item m="1" x="4119"/>
        <item m="1" x="4121"/>
        <item m="1" x="4122"/>
        <item m="1" x="4123"/>
        <item m="1" x="4124"/>
        <item m="1" x="4125"/>
        <item m="1" x="4126"/>
        <item m="1" x="4127"/>
        <item m="1" x="4128"/>
        <item m="1" x="2302"/>
        <item m="1" x="3857"/>
        <item m="1" x="4130"/>
        <item m="1" x="4131"/>
        <item m="1" x="4132"/>
        <item m="1" x="2301"/>
        <item m="1" x="4133"/>
        <item m="1" x="4134"/>
        <item m="1" x="4135"/>
        <item m="1" x="3764"/>
        <item m="1" x="3765"/>
        <item m="1" x="3695"/>
        <item m="1" x="3951"/>
        <item m="1" x="2947"/>
        <item m="1" x="4143"/>
        <item m="1" x="4144"/>
        <item m="1" x="4145"/>
        <item m="1" x="3547"/>
        <item m="1" x="4146"/>
        <item m="1" x="4154"/>
        <item m="1" x="3880"/>
        <item m="1" x="3957"/>
        <item m="1" x="3956"/>
        <item m="1" x="4155"/>
        <item m="1" x="4156"/>
        <item m="1" x="4157"/>
        <item m="1" x="1623"/>
        <item m="1" x="3697"/>
        <item m="1" x="3696"/>
        <item m="1" x="4159"/>
        <item m="1" x="4160"/>
        <item m="1" x="4161"/>
        <item m="1" x="3413"/>
        <item m="1" x="3916"/>
        <item m="1" x="3919"/>
        <item m="1" x="3918"/>
        <item m="1" x="3898"/>
        <item m="1" x="3899"/>
        <item m="1" x="3274"/>
        <item m="1" x="2372"/>
        <item m="1" x="3928"/>
        <item m="1" x="3961"/>
        <item m="1" x="3915"/>
        <item m="1" x="3921"/>
        <item m="1" x="3911"/>
        <item m="1" x="3942"/>
        <item m="1" x="3913"/>
        <item m="1" x="3912"/>
        <item m="1" x="3914"/>
        <item m="1" x="3903"/>
        <item m="1" x="3905"/>
        <item m="1" x="3946"/>
        <item m="1" x="3289"/>
        <item m="1" x="3926"/>
        <item m="1" x="3804"/>
        <item m="1" x="3805"/>
        <item m="1" x="3922"/>
        <item m="1" x="3901"/>
        <item m="1" x="3801"/>
        <item m="1" x="3904"/>
        <item m="1" x="3908"/>
        <item m="1" x="3907"/>
        <item m="1" x="1663"/>
        <item m="1" x="3960"/>
        <item m="1" x="1432"/>
        <item m="1" x="3818"/>
        <item m="1" x="3945"/>
        <item m="1" x="3822"/>
        <item m="1" x="3827"/>
        <item m="1" x="3828"/>
        <item m="1" x="2943"/>
        <item m="1" x="1881"/>
        <item m="1" x="1882"/>
        <item m="1" x="2942"/>
        <item m="1" x="3909"/>
        <item m="1" x="3823"/>
        <item m="1" x="3824"/>
        <item m="1" x="2950"/>
        <item m="1" x="3940"/>
        <item m="1" x="3832"/>
        <item m="1" x="2214"/>
        <item m="1" x="3938"/>
        <item m="1" x="3927"/>
        <item m="1" x="3910"/>
        <item m="1" x="3934"/>
        <item m="1" x="3902"/>
        <item m="1" x="1166"/>
        <item m="1" x="3936"/>
        <item m="1" x="3935"/>
        <item m="1" x="3925"/>
        <item m="1" x="3219"/>
        <item m="1" x="3944"/>
        <item m="1" x="3692"/>
        <item m="1" x="2938"/>
        <item m="1" x="2939"/>
        <item m="1" x="2940"/>
        <item m="1" x="2941"/>
        <item m="1" x="3906"/>
        <item m="1" x="3841"/>
        <item m="1" x="3839"/>
        <item m="1" x="3840"/>
        <item m="1" x="3838"/>
        <item m="1" x="3845"/>
        <item m="1" x="3846"/>
        <item m="1" x="767"/>
        <item m="1" x="3690"/>
        <item m="1" x="3933"/>
        <item m="1" x="2190"/>
        <item m="1" x="3896"/>
        <item m="1" x="3851"/>
        <item m="1" x="3853"/>
        <item m="1" x="1433"/>
        <item m="1" x="3939"/>
        <item m="1" x="3917"/>
        <item m="1" x="3231"/>
        <item m="1" x="3920"/>
        <item m="1" x="3756"/>
        <item m="1" x="3863"/>
        <item m="1" x="3862"/>
        <item m="1" x="3953"/>
        <item m="1" x="1886"/>
        <item m="1" x="3900"/>
        <item m="1" x="3691"/>
        <item m="1" x="2944"/>
        <item m="1" x="1509"/>
        <item m="1" x="3830"/>
        <item m="1" x="2946"/>
        <item m="1" x="3870"/>
        <item m="1" x="3872"/>
        <item m="1" x="3873"/>
        <item m="1" x="3876"/>
        <item m="1" x="3877"/>
        <item m="1" x="3878"/>
        <item m="1" x="2949"/>
        <item m="1" x="3693"/>
        <item m="1" x="3562"/>
        <item m="1" x="3563"/>
        <item m="1" x="3897"/>
        <item m="1" x="3955"/>
        <item m="1" x="3954"/>
        <item m="1" x="3888"/>
        <item m="1" x="3889"/>
        <item m="1" x="3924"/>
        <item m="1" x="3923"/>
        <item m="1" x="3937"/>
        <item m="1" x="3891"/>
        <item m="1" x="3893"/>
        <item m="1" x="3894"/>
        <item m="1" x="3771"/>
        <item m="1" x="3892"/>
        <item m="1" x="3412"/>
        <item m="1" x="3772"/>
        <item m="1" x="3700"/>
        <item m="1" x="3773"/>
        <item m="1" x="3774"/>
        <item m="1" x="3775"/>
        <item m="1" x="3776"/>
        <item m="1" x="3777"/>
        <item m="1" x="3778"/>
        <item m="1" x="3281"/>
        <item m="1" x="3779"/>
        <item m="1" x="3780"/>
        <item m="1" x="3782"/>
        <item m="1" x="3783"/>
        <item m="1" x="3784"/>
        <item m="1" x="3785"/>
        <item m="1" x="3786"/>
        <item m="1" x="3717"/>
        <item m="1" x="3787"/>
        <item m="1" x="3718"/>
        <item m="1" x="3788"/>
        <item m="1" x="3789"/>
        <item m="1" x="3790"/>
        <item m="1" x="3791"/>
        <item m="1" x="3429"/>
        <item m="1" x="32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290"/>
        <item m="1" x="3802"/>
        <item m="1" x="3803"/>
        <item m="1" x="3806"/>
        <item m="1" x="3807"/>
        <item m="1" x="3714"/>
        <item m="1" x="3808"/>
        <item m="1" x="3809"/>
        <item m="1" x="3292"/>
        <item m="1" x="3810"/>
        <item m="1" x="3811"/>
        <item m="1" x="3812"/>
        <item m="1" x="3813"/>
        <item m="1" x="3814"/>
        <item m="1" x="3815"/>
        <item m="1" x="3816"/>
        <item m="1" x="3326"/>
        <item m="1" x="3817"/>
        <item m="1" x="3819"/>
        <item m="1" x="3820"/>
        <item m="1" x="3821"/>
        <item m="1" x="2958"/>
        <item m="1" x="2959"/>
        <item m="1" x="3737"/>
        <item m="1" x="3738"/>
        <item m="1" x="3825"/>
        <item m="1" x="3826"/>
        <item m="1" x="3740"/>
        <item m="1" x="3829"/>
        <item m="1" x="3831"/>
        <item m="1" x="2953"/>
        <item m="1" x="2954"/>
        <item m="1" x="2291"/>
        <item m="1" x="3498"/>
        <item m="1" x="3833"/>
        <item m="1" x="3686"/>
        <item m="1" x="3834"/>
        <item m="1" x="3342"/>
        <item m="1" x="2276"/>
        <item m="1" x="3687"/>
        <item m="1" x="1328"/>
        <item m="1" x="3836"/>
        <item m="1" x="3837"/>
        <item m="1" x="3742"/>
        <item m="1" x="3842"/>
        <item m="1" x="3745"/>
        <item m="1" x="3843"/>
        <item m="1" x="3844"/>
        <item m="1" x="3504"/>
        <item m="1" x="3847"/>
        <item m="1" x="3848"/>
        <item m="1" x="3849"/>
        <item m="1" x="3749"/>
        <item m="1" x="2766"/>
        <item m="1" x="3850"/>
        <item m="1" x="3852"/>
        <item m="1" x="3752"/>
        <item m="1" x="1430"/>
        <item m="1" x="3854"/>
        <item m="1" x="3855"/>
        <item m="1" x="3856"/>
        <item x="99"/>
        <item m="1" x="3364"/>
        <item m="1" x="3689"/>
        <item m="1" x="3220"/>
        <item m="1" x="3221"/>
        <item m="1" x="3222"/>
        <item m="1" x="3858"/>
        <item m="1" x="1446"/>
        <item m="1" x="3859"/>
        <item m="1" x="3860"/>
        <item m="1" x="1885"/>
        <item m="1" x="3374"/>
        <item m="1" x="3375"/>
        <item m="1" x="3864"/>
        <item m="1" x="3865"/>
        <item m="1" x="3866"/>
        <item m="1" x="3382"/>
        <item m="1" x="3867"/>
        <item m="1" x="3760"/>
        <item m="1" x="3868"/>
        <item m="1" x="3688"/>
        <item m="1" x="2964"/>
        <item m="1" x="3869"/>
        <item m="1" x="2968"/>
        <item m="1" x="3871"/>
        <item m="1" x="3767"/>
        <item m="1" x="3874"/>
        <item m="1" x="3768"/>
        <item m="1" x="1324"/>
        <item m="1" x="3875"/>
        <item m="1" x="1329"/>
        <item m="1" x="3879"/>
        <item m="1" x="3403"/>
        <item m="1" x="3890"/>
        <item m="1" x="3685"/>
        <item m="1" x="1622"/>
        <item m="1" x="1799"/>
        <item m="1" x="1800"/>
        <item m="1" x="3895"/>
        <item m="1" x="3698"/>
        <item m="1" x="3699"/>
        <item m="1" x="3702"/>
        <item m="1" x="1125"/>
        <item m="1" x="3418"/>
        <item m="1" x="770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295"/>
        <item m="1" x="3294"/>
        <item m="1" x="3712"/>
        <item m="1" x="3713"/>
        <item m="1" x="3715"/>
        <item m="1" x="3716"/>
        <item m="1" x="3293"/>
        <item m="1" x="3719"/>
        <item m="1" x="3720"/>
        <item m="1" x="3721"/>
        <item m="1" x="3722"/>
        <item m="1" x="3723"/>
        <item m="1" x="3724"/>
        <item m="1" x="3725"/>
        <item m="1" x="3428"/>
        <item m="1" x="3726"/>
        <item m="1" x="3727"/>
        <item m="1" x="3728"/>
        <item m="1" x="1901"/>
        <item m="1" x="3729"/>
        <item m="1" x="1356"/>
        <item m="1" x="3464"/>
        <item m="1" x="1664"/>
        <item m="1" x="3473"/>
        <item m="1" x="1322"/>
        <item m="1" x="3731"/>
        <item m="1" x="3732"/>
        <item m="1" x="3733"/>
        <item m="1" x="455"/>
        <item m="1" x="3734"/>
        <item m="1" x="3735"/>
        <item m="1" x="3736"/>
        <item m="1" x="1280"/>
        <item m="1" x="1281"/>
        <item m="1" x="3739"/>
        <item m="1" x="2960"/>
        <item m="1" x="2961"/>
        <item m="1" x="3480"/>
        <item m="1" x="2127"/>
        <item m="1" x="3487"/>
        <item m="1" x="3485"/>
        <item m="1" x="3488"/>
        <item m="1" x="3489"/>
        <item m="1" x="3490"/>
        <item m="1" x="1296"/>
        <item m="1" x="2644"/>
        <item m="1" x="2971"/>
        <item m="1" x="3344"/>
        <item m="1" x="3741"/>
        <item m="1" x="3670"/>
        <item m="1" x="3744"/>
        <item m="1" x="3351"/>
        <item m="1" x="3352"/>
        <item m="1" x="746"/>
        <item m="1" x="3678"/>
        <item m="1" x="3747"/>
        <item m="1" x="3748"/>
        <item m="1" x="3675"/>
        <item m="1" x="3673"/>
        <item m="1" x="3672"/>
        <item m="1" x="3682"/>
        <item m="1" x="3674"/>
        <item m="1" x="3677"/>
        <item m="1" x="3676"/>
        <item m="1" x="3681"/>
        <item m="1" x="3680"/>
        <item m="1" x="3512"/>
        <item m="1" x="3513"/>
        <item m="1" x="3751"/>
        <item m="1" x="3519"/>
        <item m="1" x="3521"/>
        <item m="1" x="3753"/>
        <item m="1" x="3754"/>
        <item m="1" x="3669"/>
        <item m="1" x="3223"/>
        <item m="1" x="3755"/>
        <item m="1" x="3683"/>
        <item m="1" x="3229"/>
        <item m="1" x="3531"/>
        <item m="1" x="3757"/>
        <item m="1" x="3758"/>
        <item m="1" x="3759"/>
        <item m="1" x="2614"/>
        <item m="1" x="2615"/>
        <item m="1" x="3761"/>
        <item m="1" x="3762"/>
        <item m="1" x="1120"/>
        <item m="1" x="2963"/>
        <item m="1" x="3766"/>
        <item m="1" x="3549"/>
        <item m="1" x="3550"/>
        <item m="1" x="3551"/>
        <item m="1" x="3554"/>
        <item m="1" x="3555"/>
        <item m="1" x="3671"/>
        <item m="1" x="3684"/>
        <item m="1" x="3402"/>
        <item m="1" x="3401"/>
        <item m="1" x="3770"/>
        <item m="1" x="3566"/>
        <item m="1" x="1621"/>
        <item m="1" x="3576"/>
        <item m="1" x="3575"/>
        <item m="1" x="3569"/>
        <item m="1" x="3570"/>
        <item m="1" x="1332"/>
        <item m="1" x="3571"/>
        <item m="1" x="2426"/>
        <item m="1" x="3606"/>
        <item m="1" x="3596"/>
        <item m="1" x="3649"/>
        <item m="1" x="3423"/>
        <item m="1" x="3422"/>
        <item m="1" x="3581"/>
        <item m="1" x="3419"/>
        <item m="1" x="3420"/>
        <item m="1" x="3421"/>
        <item m="1" x="3417"/>
        <item m="1" x="3662"/>
        <item m="1" x="3590"/>
        <item m="1" x="3657"/>
        <item m="1" x="3595"/>
        <item m="1" x="3426"/>
        <item m="1" x="3607"/>
        <item m="1" x="3279"/>
        <item m="1" x="3668"/>
        <item m="1" x="3438"/>
        <item m="1" x="3594"/>
        <item m="1" x="3593"/>
        <item m="1" x="3592"/>
        <item m="1" x="3591"/>
        <item m="1" x="3584"/>
        <item m="1" x="3439"/>
        <item m="1" x="3580"/>
        <item m="1" x="3579"/>
        <item m="1" x="3578"/>
        <item m="1" x="3440"/>
        <item m="1" x="3437"/>
        <item m="1" x="3436"/>
        <item m="1" x="3600"/>
        <item m="1" x="3618"/>
        <item m="1" x="3621"/>
        <item m="1" x="3630"/>
        <item m="1" x="3433"/>
        <item m="1" x="3627"/>
        <item m="1" x="3435"/>
        <item m="1" x="3434"/>
        <item m="1" x="3640"/>
        <item m="1" x="3639"/>
        <item m="1" x="3638"/>
        <item m="1" x="3637"/>
        <item m="1" x="3636"/>
        <item m="1" x="3635"/>
        <item m="1" x="3661"/>
        <item m="1" x="3663"/>
        <item m="1" x="3430"/>
        <item m="1" x="3667"/>
        <item m="1" x="3666"/>
        <item m="1" x="3665"/>
        <item m="1" x="3431"/>
        <item m="1" x="3650"/>
        <item m="1" x="3647"/>
        <item m="1" x="3646"/>
        <item m="1" x="3432"/>
        <item m="1" x="3645"/>
        <item m="1" x="3628"/>
        <item m="1" x="3629"/>
        <item m="1" x="3620"/>
        <item m="1" x="3619"/>
        <item m="1" x="3623"/>
        <item m="1" x="3475"/>
        <item m="1" x="3465"/>
        <item m="1" x="3470"/>
        <item m="1" x="776"/>
        <item m="1" x="3474"/>
        <item m="1" x="3599"/>
        <item m="1" x="1341"/>
        <item m="1" x="2425"/>
        <item m="1" x="3634"/>
        <item m="1" x="3345"/>
        <item m="1" x="3656"/>
        <item m="1" x="3481"/>
        <item m="1" x="3588"/>
        <item m="1" x="3483"/>
        <item m="1" x="765"/>
        <item m="1" x="1284"/>
        <item m="1" x="3615"/>
        <item m="1" x="3497"/>
        <item m="1" x="3495"/>
        <item m="1" x="3496"/>
        <item m="1" x="3597"/>
        <item m="1" x="1318"/>
        <item m="1" x="1330"/>
        <item m="1" x="3652"/>
        <item m="1" x="3651"/>
        <item m="1" x="3586"/>
        <item m="1" x="3585"/>
        <item m="1" x="3660"/>
        <item m="1" x="3654"/>
        <item m="1" x="3610"/>
        <item m="1" x="3643"/>
        <item m="1" x="1393"/>
        <item m="1" x="3655"/>
        <item m="1" x="3502"/>
        <item m="1" x="3503"/>
        <item m="1" x="3603"/>
        <item m="1" x="3505"/>
        <item m="1" x="3507"/>
        <item m="1" x="1399"/>
        <item m="1" x="3602"/>
        <item m="1" x="3601"/>
        <item m="1" x="2180"/>
        <item m="1" x="3604"/>
        <item m="1" x="3608"/>
        <item m="1" x="3609"/>
        <item m="1" x="3648"/>
        <item m="1" x="3616"/>
        <item m="1" x="3510"/>
        <item m="1" x="3658"/>
        <item m="1" x="3617"/>
        <item m="1" x="1420"/>
        <item m="1" x="3514"/>
        <item m="1" x="3515"/>
        <item m="1" x="3517"/>
        <item m="1" x="3520"/>
        <item m="1" x="1435"/>
        <item m="1" x="542"/>
        <item m="1" x="3524"/>
        <item m="1" x="3589"/>
        <item m="1" x="1445"/>
        <item m="1" x="3632"/>
        <item m="1" x="3626"/>
        <item m="1" x="3653"/>
        <item m="1" x="1444"/>
        <item m="1" x="1729"/>
        <item m="1" x="2275"/>
        <item m="1" x="543"/>
        <item m="1" x="544"/>
        <item m="1" x="545"/>
        <item m="1" x="3529"/>
        <item m="1" x="3230"/>
        <item m="1" x="3664"/>
        <item m="1" x="3228"/>
        <item m="1" x="2660"/>
        <item m="1" x="3641"/>
        <item m="1" x="2431"/>
        <item m="1" x="3614"/>
        <item m="1" x="2966"/>
        <item m="1" x="3631"/>
        <item m="1" x="3536"/>
        <item m="1" x="3598"/>
        <item m="1" x="3383"/>
        <item m="1" x="3385"/>
        <item m="1" x="3540"/>
        <item m="1" x="3508"/>
        <item m="1" x="3541"/>
        <item m="1" x="3633"/>
        <item m="1" x="3542"/>
        <item m="1" x="3543"/>
        <item m="1" x="3587"/>
        <item m="1" x="3625"/>
        <item m="1" x="3624"/>
        <item m="1" x="3611"/>
        <item m="1" x="3582"/>
        <item m="1" x="3553"/>
        <item m="1" x="3546"/>
        <item m="1" x="3548"/>
        <item m="1" x="3642"/>
        <item m="1" x="3395"/>
        <item m="1" x="3559"/>
        <item m="1" x="3556"/>
        <item m="1" x="3644"/>
        <item m="1" x="3583"/>
        <item m="1" x="3399"/>
        <item m="1" x="3613"/>
        <item m="1" x="3612"/>
        <item m="1" x="3573"/>
        <item m="1" x="3567"/>
        <item m="1" x="3574"/>
        <item m="1" x="3659"/>
        <item m="1" x="3568"/>
        <item m="1" x="3622"/>
        <item m="1" x="3414"/>
        <item m="1" x="2903"/>
        <item m="1" x="3268"/>
        <item m="1" x="3416"/>
        <item m="1" x="3424"/>
        <item m="1" x="1565"/>
        <item m="1" x="1563"/>
        <item m="1" x="1564"/>
        <item m="1" x="3425"/>
        <item m="1" x="1884"/>
        <item m="1" x="1889"/>
        <item m="1" x="3427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6"/>
        <item m="1" x="3467"/>
        <item m="1" x="3323"/>
        <item m="1" x="3325"/>
        <item m="1" x="3468"/>
        <item m="1" x="3469"/>
        <item m="1" x="524"/>
        <item m="1" x="2430"/>
        <item m="1" x="3471"/>
        <item m="1" x="3396"/>
        <item m="1" x="3472"/>
        <item m="1" x="3476"/>
        <item m="1" x="3477"/>
        <item m="1" x="3478"/>
        <item m="1" x="511"/>
        <item m="1" x="2962"/>
        <item m="1" x="3482"/>
        <item m="1" x="3484"/>
        <item m="1" x="497"/>
        <item m="1" x="950"/>
        <item m="1" x="949"/>
        <item m="1" x="2969"/>
        <item m="1" x="3486"/>
        <item m="1" x="3337"/>
        <item m="1" x="464"/>
        <item m="1" x="462"/>
        <item m="1" x="465"/>
        <item m="1" x="2952"/>
        <item m="1" x="3491"/>
        <item m="1" x="3492"/>
        <item m="1" x="2955"/>
        <item m="1" x="1295"/>
        <item m="1" x="3493"/>
        <item m="1" x="3494"/>
        <item m="1" x="2956"/>
        <item m="1" x="2359"/>
        <item m="1" x="1353"/>
        <item m="1" x="1354"/>
        <item m="1" x="1345"/>
        <item m="1" x="1350"/>
        <item m="1" x="1351"/>
        <item m="1" x="1352"/>
        <item m="1" x="1342"/>
        <item m="1" x="1357"/>
        <item m="1" x="1358"/>
        <item m="1" x="1355"/>
        <item m="1" x="2665"/>
        <item m="1" x="1323"/>
        <item m="1" x="1327"/>
        <item m="1" x="1325"/>
        <item m="1" x="1326"/>
        <item m="1" x="1331"/>
        <item m="1" x="1333"/>
        <item m="1" x="1334"/>
        <item m="1" x="2957"/>
        <item m="1" x="3499"/>
        <item m="1" x="3500"/>
        <item m="1" x="3501"/>
        <item m="1" x="3506"/>
        <item m="1" x="1398"/>
        <item m="1" x="2398"/>
        <item m="1" x="2283"/>
        <item m="1" x="3509"/>
        <item m="1" x="3511"/>
        <item m="1" x="1419"/>
        <item m="1" x="2661"/>
        <item m="1" x="2991"/>
        <item m="1" x="2251"/>
        <item m="1" x="2252"/>
        <item m="1" x="3516"/>
        <item m="1" x="3362"/>
        <item m="1" x="3522"/>
        <item m="1" x="3523"/>
        <item m="1" x="1434"/>
        <item m="1" x="2970"/>
        <item m="1" x="3525"/>
        <item m="1" x="3526"/>
        <item m="1" x="3527"/>
        <item m="1" x="3528"/>
        <item m="1" x="3530"/>
        <item m="1" x="2807"/>
        <item m="1" x="3372"/>
        <item m="1" x="3532"/>
        <item m="1" x="3533"/>
        <item m="1" x="3534"/>
        <item m="1" x="3535"/>
        <item m="1" x="3224"/>
        <item m="1" x="3225"/>
        <item m="1" x="3226"/>
        <item m="1" x="3537"/>
        <item m="1" x="3538"/>
        <item m="1" x="3380"/>
        <item m="1" x="2662"/>
        <item m="1" x="3539"/>
        <item m="1" x="2967"/>
        <item m="1" x="2965"/>
        <item m="1" x="3391"/>
        <item m="1" x="3392"/>
        <item m="1" x="3393"/>
        <item m="1" x="3544"/>
        <item m="1" x="3545"/>
        <item m="1" x="3002"/>
        <item m="1" x="3552"/>
        <item m="1" x="3557"/>
        <item m="1" x="3558"/>
        <item m="1" x="3560"/>
        <item m="1" x="3397"/>
        <item m="1" x="609"/>
        <item m="1" x="1782"/>
        <item m="1" x="3398"/>
        <item m="1" x="3400"/>
        <item m="1" x="3564"/>
        <item m="1" x="3408"/>
        <item m="1" x="3565"/>
        <item m="1" x="3572"/>
        <item m="1" x="1321"/>
        <item m="1" x="3265"/>
        <item m="1" x="630"/>
        <item m="1" x="3266"/>
        <item m="1" x="3267"/>
        <item m="1" x="3269"/>
        <item m="1" x="3180"/>
        <item m="1" x="3270"/>
        <item m="1" x="3271"/>
        <item m="1" x="3272"/>
        <item m="1" x="3275"/>
        <item m="1" x="3276"/>
        <item m="1" x="3277"/>
        <item m="1" x="3278"/>
        <item m="1" x="3280"/>
        <item m="1" x="3282"/>
        <item m="1" x="3283"/>
        <item m="1" x="2827"/>
        <item m="1" x="3284"/>
        <item m="1" x="3285"/>
        <item m="1" x="3286"/>
        <item m="1" x="3287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177"/>
        <item m="1" x="3316"/>
        <item m="1" x="3317"/>
        <item m="1" x="3318"/>
        <item m="1" x="3319"/>
        <item m="1" x="3320"/>
        <item m="1" x="3321"/>
        <item m="1" x="3322"/>
        <item m="1" x="3163"/>
        <item m="1" x="3324"/>
        <item m="1" x="3167"/>
        <item m="1" x="3168"/>
        <item m="1" x="3169"/>
        <item m="1" x="3327"/>
        <item m="1" x="3328"/>
        <item m="1" x="2429"/>
        <item m="1" x="3329"/>
        <item m="1" x="3330"/>
        <item m="1" x="3331"/>
        <item m="1" x="3332"/>
        <item m="1" x="2989"/>
        <item m="1" x="3333"/>
        <item m="1" x="3334"/>
        <item m="1" x="3335"/>
        <item m="1" x="3336"/>
        <item m="1" x="2990"/>
        <item m="1" x="3172"/>
        <item m="1" x="2819"/>
        <item m="1" x="1279"/>
        <item m="1" x="2428"/>
        <item m="1" x="2984"/>
        <item m="1" x="3338"/>
        <item m="1" x="3339"/>
        <item m="1" x="2427"/>
        <item m="1" x="2976"/>
        <item m="1" x="2977"/>
        <item m="1" x="2978"/>
        <item m="1" x="2979"/>
        <item m="1" x="2980"/>
        <item m="1" x="3179"/>
        <item m="1" x="2795"/>
        <item m="1" x="2981"/>
        <item m="1" x="3190"/>
        <item m="1" x="3191"/>
        <item m="1" x="3192"/>
        <item m="1" x="3193"/>
        <item m="1" x="3346"/>
        <item m="1" x="3347"/>
        <item m="1" x="2664"/>
        <item m="1" x="2975"/>
        <item m="1" x="3348"/>
        <item m="1" x="3208"/>
        <item m="1" x="3349"/>
        <item m="1" x="3350"/>
        <item m="1" x="3353"/>
        <item m="1" x="3354"/>
        <item m="1" x="3355"/>
        <item m="1" x="3356"/>
        <item m="1" x="3199"/>
        <item m="1" x="3201"/>
        <item m="1" x="3357"/>
        <item m="1" x="3358"/>
        <item m="1" x="3359"/>
        <item m="1" x="3360"/>
        <item m="1" x="3361"/>
        <item m="1" x="3204"/>
        <item m="1" x="3210"/>
        <item m="1" x="3209"/>
        <item m="1" x="3212"/>
        <item m="1" x="3213"/>
        <item m="1" x="3214"/>
        <item m="1" x="3215"/>
        <item m="1" x="3365"/>
        <item m="1" x="3366"/>
        <item m="1" x="3367"/>
        <item m="1" x="3368"/>
        <item m="1" x="2051"/>
        <item m="1" x="3369"/>
        <item m="1" x="3370"/>
        <item m="1" x="3376"/>
        <item m="1" x="3377"/>
        <item m="1" x="3378"/>
        <item m="1" x="3379"/>
        <item m="1" x="3227"/>
        <item m="1" x="3384"/>
        <item m="1" x="3386"/>
        <item m="1" x="3389"/>
        <item m="1" x="3236"/>
        <item m="1" x="3390"/>
        <item m="1" x="1940"/>
        <item m="1" x="3248"/>
        <item m="1" x="3001"/>
        <item m="1" x="3249"/>
        <item m="1" x="3250"/>
        <item m="1" x="3404"/>
        <item m="1" x="1257"/>
        <item m="1" x="3405"/>
        <item m="1" x="610"/>
        <item m="1" x="607"/>
        <item m="1" x="2129"/>
        <item m="1" x="2073"/>
        <item m="1" x="3406"/>
        <item m="1" x="1784"/>
        <item m="1" x="3407"/>
        <item m="1" x="3409"/>
        <item m="1" x="2453"/>
        <item m="1" x="3410"/>
        <item m="1" x="3411"/>
        <item m="1" x="3263"/>
        <item m="1" x="3264"/>
        <item m="1" x="3255"/>
        <item m="1" x="3256"/>
        <item m="1" x="2388"/>
        <item m="1" x="2983"/>
        <item m="1" x="3114"/>
        <item m="1" x="3115"/>
        <item m="1" x="3116"/>
        <item m="1" x="3016"/>
        <item m="1" x="3117"/>
        <item m="1" x="3003"/>
        <item m="1" x="743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1205"/>
        <item m="1" x="2686"/>
        <item m="1" x="2292"/>
        <item m="1" x="3134"/>
        <item m="1" x="3135"/>
        <item m="1" x="692"/>
        <item m="1" x="1980"/>
        <item m="1" x="2810"/>
        <item m="1" x="3136"/>
        <item m="1" x="2806"/>
        <item m="1" x="663"/>
        <item m="1" x="3137"/>
        <item m="1" x="2829"/>
        <item m="1" x="3138"/>
        <item m="1" x="3139"/>
        <item m="1" x="2648"/>
        <item m="1" x="3140"/>
        <item m="1" x="2690"/>
        <item m="1" x="3141"/>
        <item m="1" x="3142"/>
        <item m="1" x="3143"/>
        <item m="1" x="3144"/>
        <item m="1" x="3145"/>
        <item m="1" x="2832"/>
        <item m="1" x="3146"/>
        <item m="1" x="1320"/>
        <item m="1" x="3147"/>
        <item m="1" x="3148"/>
        <item m="1" x="3149"/>
        <item m="1" x="3150"/>
        <item m="1" x="3151"/>
        <item m="1" x="3152"/>
        <item m="1" x="3153"/>
        <item m="1" x="2858"/>
        <item m="1" x="3154"/>
        <item m="1" x="3155"/>
        <item m="1" x="3156"/>
        <item m="1" x="3007"/>
        <item m="1" x="3157"/>
        <item m="1" x="1211"/>
        <item m="1" x="3009"/>
        <item m="1" x="3008"/>
        <item m="1" x="3158"/>
        <item m="1" x="3159"/>
        <item m="1" x="3160"/>
        <item m="1" x="2467"/>
        <item m="1" x="2466"/>
        <item m="1" x="3012"/>
        <item m="1" x="3011"/>
        <item m="1" x="3161"/>
        <item m="1" x="2663"/>
        <item m="1" x="3162"/>
        <item m="1" x="2797"/>
        <item m="1" x="1256"/>
        <item m="1" x="3013"/>
        <item m="1" x="3014"/>
        <item m="1" x="3164"/>
        <item m="1" x="3165"/>
        <item m="1" x="3166"/>
        <item m="1" x="1263"/>
        <item m="1" x="3170"/>
        <item m="1" x="3171"/>
        <item m="1" x="1447"/>
        <item m="1" x="2808"/>
        <item m="1" x="3173"/>
        <item m="1" x="1254"/>
        <item m="1" x="1580"/>
        <item m="1" x="1581"/>
        <item m="1" x="2982"/>
        <item m="1" x="3174"/>
        <item m="1" x="3175"/>
        <item m="1" x="3176"/>
        <item m="1" x="3178"/>
        <item m="1" x="1486"/>
        <item m="1" x="463"/>
        <item m="1" x="3181"/>
        <item m="1" x="3182"/>
        <item m="1" x="3183"/>
        <item m="1" x="3184"/>
        <item m="1" x="3185"/>
        <item m="1" x="1441"/>
        <item m="1" x="2988"/>
        <item m="1" x="2986"/>
        <item m="1" x="2987"/>
        <item m="1" x="3186"/>
        <item m="1" x="3187"/>
        <item m="1" x="1314"/>
        <item m="1" x="2818"/>
        <item m="1" x="2298"/>
        <item m="1" x="3188"/>
        <item m="1" x="1360"/>
        <item m="1" x="1346"/>
        <item m="1" x="3189"/>
        <item m="1" x="3194"/>
        <item m="1" x="3195"/>
        <item m="1" x="2798"/>
        <item m="1" x="2973"/>
        <item m="1" x="2972"/>
        <item m="1" x="3196"/>
        <item m="1" x="2432"/>
        <item m="1" x="3197"/>
        <item m="1" x="3198"/>
        <item m="1" x="496"/>
        <item m="1" x="2169"/>
        <item m="1" x="3200"/>
        <item m="1" x="2176"/>
        <item m="1" x="3203"/>
        <item m="1" x="3205"/>
        <item m="1" x="3206"/>
        <item m="1" x="2678"/>
        <item m="1" x="2809"/>
        <item m="1" x="3207"/>
        <item m="1" x="1431"/>
        <item m="1" x="3211"/>
        <item m="1" x="2085"/>
        <item m="1" x="3216"/>
        <item m="1" x="1464"/>
        <item m="1" x="1469"/>
        <item m="1" x="3217"/>
        <item m="1" x="3218"/>
        <item m="1" x="694"/>
        <item m="1" x="3232"/>
        <item m="1" x="2273"/>
        <item m="1" x="745"/>
        <item m="1" x="2140"/>
        <item m="1" x="3234"/>
        <item m="1" x="2681"/>
        <item m="1" x="2992"/>
        <item m="1" x="3237"/>
        <item m="1" x="2993"/>
        <item m="1" x="2994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780"/>
        <item m="1" x="3251"/>
        <item m="1" x="3252"/>
        <item m="1" x="3253"/>
        <item m="1" x="2995"/>
        <item m="1" x="804"/>
        <item m="1" x="602"/>
        <item m="1" x="2128"/>
        <item m="1" x="2814"/>
        <item x="253"/>
        <item m="1" x="2815"/>
        <item m="1" x="1783"/>
        <item m="1" x="2813"/>
        <item m="1" x="2811"/>
        <item m="1" x="2812"/>
        <item m="1" x="3254"/>
        <item m="1" x="2374"/>
        <item m="1" x="2997"/>
        <item m="1" x="2998"/>
        <item m="1" x="3257"/>
        <item m="1" x="3258"/>
        <item m="1" x="3259"/>
        <item m="1" x="3260"/>
        <item m="1" x="3261"/>
        <item m="1" x="3262"/>
        <item m="1" x="627"/>
        <item m="1" x="2669"/>
        <item m="1" x="2974"/>
        <item m="1" x="2617"/>
        <item m="1" x="2800"/>
        <item m="1" x="488"/>
        <item m="1" x="2801"/>
        <item m="1" x="2802"/>
        <item m="1" x="2803"/>
        <item m="1" x="1895"/>
        <item m="1" x="2804"/>
        <item m="1" x="1896"/>
        <item m="1" x="2449"/>
        <item m="1" x="1897"/>
        <item m="1" x="2985"/>
        <item m="1" x="1898"/>
        <item m="1" x="546"/>
        <item m="1" x="769"/>
        <item m="1" x="2996"/>
        <item m="1" x="2817"/>
        <item m="1" x="2999"/>
        <item m="1" x="3000"/>
        <item m="1" x="2822"/>
        <item m="1" x="2821"/>
        <item m="1" x="2826"/>
        <item m="1" x="1450"/>
        <item m="1" x="1442"/>
        <item m="1" x="1471"/>
        <item m="1" x="1438"/>
        <item m="1" x="1449"/>
        <item m="1" x="525"/>
        <item m="1" x="3004"/>
        <item m="1" x="3005"/>
        <item m="1" x="3006"/>
        <item m="1" x="2616"/>
        <item m="1" x="2833"/>
        <item m="1" x="3010"/>
        <item m="1" x="761"/>
        <item m="1" x="2834"/>
        <item m="1" x="3015"/>
        <item m="1" x="2306"/>
        <item m="1" x="3017"/>
        <item m="1" x="3018"/>
        <item m="1" x="3019"/>
        <item m="1" x="3020"/>
        <item m="1" x="3021"/>
        <item m="1" x="3022"/>
        <item m="1" x="3023"/>
        <item m="1" x="693"/>
        <item m="1" x="3024"/>
        <item m="1" x="3025"/>
        <item m="1" x="3026"/>
        <item m="1" x="2439"/>
        <item m="1" x="3027"/>
        <item m="1" x="3028"/>
        <item m="1" x="3029"/>
        <item m="1" x="2331"/>
        <item m="1" x="2799"/>
        <item m="1" x="3030"/>
        <item m="1" x="3031"/>
        <item m="1" x="3032"/>
        <item m="1" x="3033"/>
        <item m="1" x="1122"/>
        <item m="1" x="3034"/>
        <item m="1" x="3035"/>
        <item m="1" x="3036"/>
        <item m="1" x="3037"/>
        <item m="1" x="2445"/>
        <item m="1" x="3038"/>
        <item m="1" x="3039"/>
        <item m="1" x="1538"/>
        <item m="1" x="3040"/>
        <item m="1" x="2805"/>
        <item m="1" x="2447"/>
        <item m="1" x="2209"/>
        <item m="1" x="2448"/>
        <item m="1" x="2671"/>
        <item m="1" x="2672"/>
        <item m="1" x="2675"/>
        <item m="1" x="2676"/>
        <item m="1" x="2677"/>
        <item m="1" x="2679"/>
        <item m="1" x="2680"/>
        <item m="1" x="2682"/>
        <item m="1" x="2683"/>
        <item m="1" x="2684"/>
        <item m="1" x="2700"/>
        <item m="1" x="3041"/>
        <item m="1" x="3042"/>
        <item m="1" x="3043"/>
        <item m="1" x="2270"/>
        <item m="1" x="3044"/>
        <item m="1" x="3045"/>
        <item m="1" x="3046"/>
        <item m="1" x="3047"/>
        <item m="1" x="2081"/>
        <item m="1" x="3048"/>
        <item m="1" x="3049"/>
        <item m="1" x="3050"/>
        <item m="1" x="1071"/>
        <item m="1" x="3051"/>
        <item m="1" x="570"/>
        <item m="1" x="3052"/>
        <item m="1" x="3053"/>
        <item m="1" x="3054"/>
        <item m="1" x="3055"/>
        <item m="1" x="2889"/>
        <item m="1" x="3056"/>
        <item m="1" x="3057"/>
        <item m="1" x="3058"/>
        <item m="1" x="2816"/>
        <item m="1" x="3059"/>
        <item m="1" x="966"/>
        <item m="1" x="1786"/>
        <item m="1" x="2835"/>
        <item m="1" x="3060"/>
        <item m="1" x="3061"/>
        <item m="1" x="3062"/>
        <item m="1" x="3063"/>
        <item m="1" x="2673"/>
        <item m="1" x="3064"/>
        <item m="1" x="2820"/>
        <item m="1" x="2823"/>
        <item m="1" x="2688"/>
        <item m="1" x="2825"/>
        <item m="1" x="1364"/>
        <item m="1" x="1253"/>
        <item m="1" x="2828"/>
        <item m="1" x="3065"/>
        <item m="1" x="3066"/>
        <item m="1" x="1319"/>
        <item m="1" x="1971"/>
        <item m="1" x="3067"/>
        <item m="1" x="3068"/>
        <item m="1" x="3069"/>
        <item m="1" x="3070"/>
        <item m="1" x="2177"/>
        <item m="1" x="3071"/>
        <item m="1" x="3072"/>
        <item m="1" x="2174"/>
        <item m="1" x="3073"/>
        <item m="1" x="3074"/>
        <item m="1" x="3075"/>
        <item m="1" x="664"/>
        <item m="1" x="2395"/>
        <item m="1" x="1455"/>
        <item m="1" x="3076"/>
        <item m="1" x="2186"/>
        <item m="1" x="2188"/>
        <item m="1" x="3077"/>
        <item m="1" x="2191"/>
        <item m="1" x="2195"/>
        <item m="1" x="2194"/>
        <item m="1" x="2192"/>
        <item m="1" x="2618"/>
        <item m="1" x="3078"/>
        <item m="1" x="3079"/>
        <item m="1" x="3080"/>
        <item m="1" x="3081"/>
        <item m="1" x="2831"/>
        <item m="1" x="2830"/>
        <item m="1" x="3082"/>
        <item m="1" x="3083"/>
        <item m="1" x="3084"/>
        <item m="1" x="3085"/>
        <item m="1" x="3086"/>
        <item m="1" x="3087"/>
        <item m="1" x="3088"/>
        <item m="1" x="3089"/>
        <item m="1" x="1601"/>
        <item m="1" x="3090"/>
        <item m="1" x="3091"/>
        <item m="1" x="3092"/>
        <item m="1" x="3093"/>
        <item m="1" x="2881"/>
        <item m="1" x="3094"/>
        <item m="1" x="3095"/>
        <item m="1" x="3096"/>
        <item m="1" x="3097"/>
        <item m="1" x="1977"/>
        <item m="1" x="3098"/>
        <item m="1" x="3099"/>
        <item m="1" x="3100"/>
        <item m="1" x="3101"/>
        <item m="1" x="1367"/>
        <item m="1" x="1377"/>
        <item m="1" x="3102"/>
        <item m="1" x="3103"/>
        <item m="1" x="3104"/>
        <item m="1" x="3105"/>
        <item m="1" x="3106"/>
        <item m="1" x="3107"/>
        <item m="1" x="3108"/>
        <item m="1" x="2197"/>
        <item m="1" x="3109"/>
        <item m="1" x="2923"/>
        <item m="1" x="3110"/>
        <item m="1" x="3111"/>
        <item m="1" x="3112"/>
        <item m="1" x="2915"/>
        <item m="1" x="3113"/>
        <item m="1" x="2215"/>
        <item m="1" x="2657"/>
        <item m="1" x="947"/>
        <item m="1" x="2824"/>
        <item m="1" x="2836"/>
        <item m="1" x="2837"/>
        <item m="1" x="2330"/>
        <item m="1" x="2838"/>
        <item m="1" x="2839"/>
        <item m="1" x="2666"/>
        <item m="1" x="2667"/>
        <item m="1" x="2840"/>
        <item m="1" x="2841"/>
        <item m="1" x="2668"/>
        <item m="1" x="2842"/>
        <item m="1" x="489"/>
        <item m="1" x="1659"/>
        <item m="1" x="2843"/>
        <item m="1" x="2844"/>
        <item m="1" x="1348"/>
        <item m="1" x="2845"/>
        <item m="1" x="2846"/>
        <item m="1" x="2847"/>
        <item m="1" x="2848"/>
        <item m="1" x="2849"/>
        <item m="1" x="2323"/>
        <item m="1" x="2850"/>
        <item m="1" x="2851"/>
        <item m="1" x="2852"/>
        <item m="1" x="2853"/>
        <item m="1" x="2454"/>
        <item m="1" x="2443"/>
        <item m="1" x="2854"/>
        <item m="1" x="2855"/>
        <item m="1" x="2856"/>
        <item m="1" x="2670"/>
        <item m="1" x="1159"/>
        <item m="1" x="2450"/>
        <item m="1" x="2857"/>
        <item m="1" x="2696"/>
        <item m="1" x="2859"/>
        <item m="1" x="2860"/>
        <item m="1" x="2861"/>
        <item m="1" x="2862"/>
        <item m="1" x="2863"/>
        <item m="1" x="2864"/>
        <item m="1" x="2865"/>
        <item m="1" x="2866"/>
        <item m="1" x="2451"/>
        <item m="1" x="2452"/>
        <item m="1" x="534"/>
        <item m="1" x="2674"/>
        <item m="1" x="2867"/>
        <item m="1" x="2685"/>
        <item m="1" x="571"/>
        <item m="1" x="2868"/>
        <item m="1" x="2457"/>
        <item m="1" x="2460"/>
        <item m="1" x="2869"/>
        <item m="1" x="2334"/>
        <item m="1" x="2870"/>
        <item m="1" x="2871"/>
        <item m="1" x="1143"/>
        <item m="1" x="2872"/>
        <item m="1" x="2873"/>
        <item m="1" x="2874"/>
        <item m="1" x="2356"/>
        <item m="1" x="2875"/>
        <item m="1" x="2876"/>
        <item m="1" x="2877"/>
        <item m="1" x="2104"/>
        <item m="1" x="2105"/>
        <item m="1" x="2463"/>
        <item m="1" x="2878"/>
        <item m="1" x="1620"/>
        <item m="1" x="2879"/>
        <item m="1" x="2880"/>
        <item m="1" x="1387"/>
        <item m="1" x="2882"/>
        <item m="1" x="2883"/>
        <item m="1" x="2687"/>
        <item m="1" x="2884"/>
        <item m="1" x="2885"/>
        <item m="1" x="1375"/>
        <item m="1" x="1376"/>
        <item m="1" x="2886"/>
        <item m="1" x="2887"/>
        <item m="1" x="2888"/>
        <item m="1" x="2890"/>
        <item m="1" x="2689"/>
        <item m="1" x="2891"/>
        <item m="1" x="2892"/>
        <item m="1" x="2893"/>
        <item m="1" x="2691"/>
        <item m="1" x="2894"/>
        <item m="1" x="2895"/>
        <item m="1" x="2897"/>
        <item m="1" x="2898"/>
        <item m="1" x="2899"/>
        <item m="1" x="2900"/>
        <item m="1" x="2901"/>
        <item m="1" x="2902"/>
        <item m="1" x="2904"/>
        <item m="1" x="2905"/>
        <item m="1" x="2906"/>
        <item m="1" x="705"/>
        <item m="1" x="1312"/>
        <item m="1" x="2907"/>
        <item m="1" x="1550"/>
        <item m="1" x="2908"/>
        <item m="1" x="2910"/>
        <item m="1" x="2911"/>
        <item m="1" x="2912"/>
        <item m="1" x="2913"/>
        <item m="1" x="2405"/>
        <item m="1" x="2914"/>
        <item m="1" x="2916"/>
        <item m="1" x="2917"/>
        <item m="1" x="2918"/>
        <item m="1" x="2694"/>
        <item m="1" x="2697"/>
        <item m="1" x="2919"/>
        <item m="1" x="2920"/>
        <item m="1" x="2692"/>
        <item m="1" x="2921"/>
        <item m="1" x="2922"/>
        <item m="1" x="2693"/>
        <item m="1" x="2777"/>
        <item m="1" x="2695"/>
        <item m="1" x="2698"/>
        <item m="1" x="2924"/>
        <item m="1" x="2622"/>
        <item m="1" x="2925"/>
        <item m="1" x="2926"/>
        <item m="1" x="2927"/>
        <item m="1" x="2928"/>
        <item m="1" x="2929"/>
        <item m="1" x="2930"/>
        <item m="1" x="2931"/>
        <item m="1" x="2932"/>
        <item m="1" x="1510"/>
        <item m="1" x="2933"/>
        <item m="1" x="2934"/>
        <item m="1" x="2702"/>
        <item m="1" x="2935"/>
        <item m="1" x="2936"/>
        <item m="1" x="2937"/>
        <item m="1" x="2782"/>
        <item m="1" x="2658"/>
        <item m="1" x="2701"/>
        <item m="1" x="2433"/>
        <item m="1" x="2434"/>
        <item m="1" x="2435"/>
        <item m="1" x="2436"/>
        <item m="1" x="2437"/>
        <item m="1" x="2438"/>
        <item m="1" x="2476"/>
        <item m="1" x="2477"/>
        <item m="1" x="2478"/>
        <item m="1" x="2623"/>
        <item m="1" x="2311"/>
        <item m="1" x="248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936"/>
        <item m="1" x="2440"/>
        <item m="1" x="2319"/>
        <item m="1" x="2725"/>
        <item m="1" x="2512"/>
        <item m="1" x="2441"/>
        <item m="1" x="768"/>
        <item m="1" x="498"/>
        <item m="1" x="2442"/>
        <item m="1" x="2514"/>
        <item m="1" x="2515"/>
        <item m="1" x="2520"/>
        <item m="1" x="2446"/>
        <item m="1" x="2444"/>
        <item m="1" x="2054"/>
        <item m="1" x="2726"/>
        <item m="1" x="2727"/>
        <item m="1" x="2728"/>
        <item m="1" x="2729"/>
        <item m="1" x="2730"/>
        <item m="1" x="2731"/>
        <item m="1" x="2732"/>
        <item m="1" x="2626"/>
        <item m="1" x="2627"/>
        <item m="1" x="2733"/>
        <item m="1" x="2734"/>
        <item m="1" x="2735"/>
        <item m="1" x="1163"/>
        <item m="1" x="2455"/>
        <item m="1" x="2456"/>
        <item m="1" x="2077"/>
        <item m="1" x="2736"/>
        <item m="1" x="2737"/>
        <item m="1" x="2505"/>
        <item m="1" x="2458"/>
        <item m="1" x="2506"/>
        <item m="1" x="1133"/>
        <item m="1" x="2459"/>
        <item m="1" x="2738"/>
        <item m="1" x="2739"/>
        <item m="1" x="2461"/>
        <item m="1" x="2525"/>
        <item m="1" x="2462"/>
        <item m="1" x="2527"/>
        <item m="1" x="2528"/>
        <item m="1" x="2344"/>
        <item m="1" x="2350"/>
        <item m="1" x="2740"/>
        <item m="1" x="2338"/>
        <item m="1" x="2339"/>
        <item m="1" x="2345"/>
        <item m="1" x="2346"/>
        <item m="1" x="2347"/>
        <item m="1" x="2348"/>
        <item m="1" x="2349"/>
        <item m="1" x="2250"/>
        <item m="1" x="2351"/>
        <item m="1" x="2352"/>
        <item m="1" x="2353"/>
        <item m="1" x="2337"/>
        <item m="1" x="2340"/>
        <item m="1" x="2619"/>
        <item m="1" x="2539"/>
        <item m="1" x="629"/>
        <item m="1" x="2464"/>
        <item m="1" x="2327"/>
        <item m="1" x="2542"/>
        <item m="1" x="2541"/>
        <item m="1" x="2741"/>
        <item m="1" x="2742"/>
        <item m="1" x="2743"/>
        <item m="1" x="2744"/>
        <item m="1" x="2745"/>
        <item m="1" x="2746"/>
        <item m="1" x="2747"/>
        <item m="1" x="1384"/>
        <item m="1" x="2748"/>
        <item m="1" x="2749"/>
        <item m="1" x="2750"/>
        <item m="1" x="1385"/>
        <item m="1" x="2165"/>
        <item m="1" x="2166"/>
        <item m="1" x="2751"/>
        <item m="1" x="2752"/>
        <item m="1" x="2753"/>
        <item m="1" x="2754"/>
        <item m="1" x="2755"/>
        <item m="1" x="2756"/>
        <item m="1" x="2620"/>
        <item m="1" x="2635"/>
        <item m="1" x="2757"/>
        <item m="1" x="2758"/>
        <item m="1" x="2633"/>
        <item m="1" x="1269"/>
        <item m="1" x="2759"/>
        <item m="1" x="2760"/>
        <item m="1" x="2761"/>
        <item m="1" x="2634"/>
        <item m="1" x="2465"/>
        <item m="1" x="2763"/>
        <item m="1" x="2189"/>
        <item m="1" x="2764"/>
        <item m="1" x="2765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8"/>
        <item m="1" x="2779"/>
        <item m="1" x="2780"/>
        <item m="1" x="2781"/>
        <item m="1" x="2468"/>
        <item m="1" x="673"/>
        <item m="1" x="2621"/>
        <item m="1" x="2307"/>
        <item m="1" x="2469"/>
        <item m="1" x="2470"/>
        <item m="1" x="2471"/>
        <item m="1" x="2472"/>
        <item m="1" x="2473"/>
        <item m="1" x="2474"/>
        <item m="1" x="2475"/>
        <item m="1" x="2481"/>
        <item m="1" x="2312"/>
        <item m="1" x="2313"/>
        <item m="1" x="2484"/>
        <item m="1" x="1288"/>
        <item m="1" x="1289"/>
        <item m="1" x="1290"/>
        <item m="1" x="1291"/>
        <item m="1" x="1292"/>
        <item m="1" x="1293"/>
        <item m="1" x="1294"/>
        <item m="1" x="2485"/>
        <item m="1" x="2624"/>
        <item m="1" x="490"/>
        <item m="1" x="1660"/>
        <item m="1" x="2511"/>
        <item m="1" x="1261"/>
        <item m="1" x="2513"/>
        <item m="1" x="2516"/>
        <item m="1" x="2517"/>
        <item m="1" x="2625"/>
        <item m="1" x="2329"/>
        <item m="1" x="2492"/>
        <item m="1" x="2493"/>
        <item m="1" x="527"/>
        <item m="1" x="2494"/>
        <item m="1" x="2503"/>
        <item m="1" x="2500"/>
        <item m="1" x="2501"/>
        <item m="1" x="2502"/>
        <item m="1" x="2078"/>
        <item m="1" x="2504"/>
        <item m="1" x="2507"/>
        <item m="1" x="2508"/>
        <item m="1" x="2509"/>
        <item m="1" x="2523"/>
        <item m="1" x="2526"/>
        <item m="1" x="2529"/>
        <item m="1" x="2530"/>
        <item m="1" x="2531"/>
        <item m="1" x="2532"/>
        <item m="1" x="2343"/>
        <item m="1" x="2536"/>
        <item m="1" x="2103"/>
        <item m="1" x="2628"/>
        <item m="1" x="2540"/>
        <item m="1" x="1859"/>
        <item m="1" x="2545"/>
        <item m="1" x="2543"/>
        <item m="1" x="2544"/>
        <item m="1" x="2423"/>
        <item m="1" x="2546"/>
        <item m="1" x="2629"/>
        <item m="1" x="1383"/>
        <item m="1" x="2547"/>
        <item m="1" x="2630"/>
        <item m="1" x="2631"/>
        <item m="1" x="2632"/>
        <item m="1" x="2368"/>
        <item m="1" x="1845"/>
        <item m="1" x="2285"/>
        <item m="1" x="2636"/>
        <item m="1" x="1349"/>
        <item m="1" x="2637"/>
        <item m="1" x="2638"/>
        <item m="1" x="2389"/>
        <item m="1" x="2639"/>
        <item m="1" x="2640"/>
        <item m="1" x="2641"/>
        <item m="1" x="2642"/>
        <item m="1" x="2643"/>
        <item m="1" x="1379"/>
        <item m="1" x="1380"/>
        <item m="1" x="1403"/>
        <item m="1" x="2645"/>
        <item m="1" x="2646"/>
        <item m="1" x="2647"/>
        <item m="1" x="2574"/>
        <item m="1" x="2649"/>
        <item m="1" x="2650"/>
        <item m="1" x="2651"/>
        <item m="1" x="2652"/>
        <item m="1" x="2653"/>
        <item m="1" x="2654"/>
        <item m="1" x="2422"/>
        <item m="1" x="2655"/>
        <item m="1" x="2656"/>
        <item x="17"/>
        <item m="1" x="2479"/>
        <item m="1" x="2480"/>
        <item m="1" x="2483"/>
        <item m="1" x="2178"/>
        <item m="1" x="2486"/>
        <item x="59"/>
        <item m="1" x="2227"/>
        <item m="1" x="2228"/>
        <item m="1" x="1164"/>
        <item m="1" x="2487"/>
        <item m="1" x="2488"/>
        <item m="1" x="2489"/>
        <item m="1" x="2490"/>
        <item m="1" x="2491"/>
        <item m="1" x="2495"/>
        <item m="1" x="2496"/>
        <item m="1" x="2497"/>
        <item m="1" x="1597"/>
        <item m="1" x="2498"/>
        <item m="1" x="2079"/>
        <item m="1" x="2499"/>
        <item m="1" x="2510"/>
        <item m="1" x="2230"/>
        <item m="1" x="2518"/>
        <item m="1" x="2519"/>
        <item m="1" x="2521"/>
        <item m="1" x="2522"/>
        <item m="1" x="2524"/>
        <item m="1" x="1535"/>
        <item m="1" x="2533"/>
        <item m="1" x="2534"/>
        <item m="1" x="2535"/>
        <item m="1" x="2059"/>
        <item m="1" x="2102"/>
        <item m="1" x="2101"/>
        <item m="1" x="2537"/>
        <item m="1" x="806"/>
        <item m="1" x="2538"/>
        <item m="1" x="2141"/>
        <item m="1" x="2362"/>
        <item m="1" x="2548"/>
        <item m="1" x="2549"/>
        <item m="1" x="2550"/>
        <item m="1" x="2551"/>
        <item m="1" x="2552"/>
        <item m="1" x="2553"/>
        <item m="1" x="2554"/>
        <item m="1" x="2378"/>
        <item m="1" x="2555"/>
        <item m="1" x="2556"/>
        <item m="1" x="2557"/>
        <item m="1" x="2558"/>
        <item m="1" x="2559"/>
        <item m="1" x="1537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424"/>
        <item m="1" x="2575"/>
        <item m="1" x="2576"/>
        <item m="1" x="2577"/>
        <item m="1" x="2578"/>
        <item m="1" x="2579"/>
        <item m="1" x="1083"/>
        <item m="1" x="2580"/>
        <item m="1" x="2581"/>
        <item m="1" x="2582"/>
        <item m="1" x="2583"/>
        <item m="1" x="2238"/>
        <item m="1" x="2584"/>
        <item m="1" x="2585"/>
        <item m="1" x="1421"/>
        <item m="1" x="1459"/>
        <item m="1" x="2086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392"/>
        <item m="1" x="2607"/>
        <item m="1" x="2608"/>
        <item m="1" x="976"/>
        <item m="1" x="1439"/>
        <item m="1" x="1457"/>
        <item m="1" x="1481"/>
        <item m="1" x="1514"/>
        <item m="1" x="1382"/>
        <item x="380"/>
        <item m="1" x="2609"/>
        <item m="1" x="2610"/>
        <item m="1" x="2611"/>
        <item m="1" x="2612"/>
        <item m="1" x="1165"/>
        <item m="1" x="2219"/>
        <item m="1" x="2009"/>
        <item m="1" x="2308"/>
        <item m="1" x="2075"/>
        <item m="1" x="2309"/>
        <item m="1" x="2310"/>
        <item x="14"/>
        <item m="1" x="2013"/>
        <item m="1" x="435"/>
        <item m="1" x="2220"/>
        <item m="1" x="2221"/>
        <item m="1" x="2019"/>
        <item m="1" x="2023"/>
        <item m="1" x="2314"/>
        <item m="1" x="1079"/>
        <item m="1" x="2315"/>
        <item m="1" x="2316"/>
        <item m="1" x="2032"/>
        <item m="1" x="2317"/>
        <item m="1" x="944"/>
        <item x="58"/>
        <item m="1" x="2318"/>
        <item m="1" x="2229"/>
        <item m="1" x="2226"/>
        <item m="1" x="1850"/>
        <item m="1" x="2043"/>
        <item m="1" x="2044"/>
        <item m="1" x="1676"/>
        <item m="1" x="2320"/>
        <item x="78"/>
        <item m="1" x="2218"/>
        <item x="96"/>
        <item m="1" x="2321"/>
        <item m="1" x="2322"/>
        <item m="1" x="2324"/>
        <item m="1" x="2231"/>
        <item m="1" x="2232"/>
        <item m="1" x="2233"/>
        <item m="1" x="2234"/>
        <item m="1" x="2052"/>
        <item m="1" x="1728"/>
        <item m="1" x="2056"/>
        <item m="1" x="2053"/>
        <item m="1" x="2325"/>
        <item m="1" x="2326"/>
        <item m="1" x="1903"/>
        <item m="1" x="2328"/>
        <item m="1" x="1437"/>
        <item m="1" x="1858"/>
        <item m="1" x="2240"/>
        <item m="1" x="1857"/>
        <item m="1" x="2062"/>
        <item m="1" x="2242"/>
        <item m="1" x="2071"/>
        <item m="1" x="1589"/>
        <item m="1" x="1590"/>
        <item m="1" x="2072"/>
        <item m="1" x="1335"/>
        <item x="311"/>
        <item x="162"/>
        <item m="1" x="1218"/>
        <item m="1" x="2332"/>
        <item m="1" x="1909"/>
        <item m="1" x="1678"/>
        <item m="1" x="2271"/>
        <item m="1" x="2087"/>
        <item m="1" x="2069"/>
        <item x="179"/>
        <item m="1" x="1935"/>
        <item m="1" x="564"/>
        <item m="1" x="2092"/>
        <item m="1" x="2090"/>
        <item m="1" x="2091"/>
        <item m="1" x="2094"/>
        <item m="1" x="2333"/>
        <item m="1" x="1142"/>
        <item m="1" x="1760"/>
        <item m="1" x="2335"/>
        <item m="1" x="2336"/>
        <item m="1" x="2341"/>
        <item m="1" x="2342"/>
        <item m="1" x="2354"/>
        <item m="1" x="2355"/>
        <item m="1" x="1274"/>
        <item m="1" x="1779"/>
        <item m="1" x="2106"/>
        <item m="1" x="2107"/>
        <item m="1" x="2110"/>
        <item m="1" x="2111"/>
        <item x="262"/>
        <item m="1" x="2125"/>
        <item m="1" x="2123"/>
        <item m="1" x="2357"/>
        <item m="1" x="2124"/>
        <item m="1" x="2121"/>
        <item m="1" x="2358"/>
        <item m="1" x="1547"/>
        <item m="1" x="1548"/>
        <item m="1" x="1539"/>
        <item m="1" x="1540"/>
        <item m="1" x="1541"/>
        <item m="1" x="2360"/>
        <item m="1" x="2361"/>
        <item m="1" x="2144"/>
        <item m="1" x="1693"/>
        <item m="1" x="2363"/>
        <item m="1" x="2364"/>
        <item m="1" x="2365"/>
        <item m="1" x="2366"/>
        <item m="1" x="2367"/>
        <item m="1" x="2369"/>
        <item m="1" x="2370"/>
        <item m="1" x="2371"/>
        <item m="1" x="1494"/>
        <item m="1" x="2373"/>
        <item m="1" x="2281"/>
        <item m="1" x="1344"/>
        <item m="1" x="1545"/>
        <item m="1" x="1546"/>
        <item m="1" x="1549"/>
        <item m="1" x="2375"/>
        <item m="1" x="2376"/>
        <item m="1" x="1551"/>
        <item m="1" x="2377"/>
        <item m="1" x="2379"/>
        <item m="1" x="1208"/>
        <item m="1" x="2380"/>
        <item m="1" x="2381"/>
        <item m="1" x="2382"/>
        <item m="1" x="2384"/>
        <item m="1" x="2385"/>
        <item m="1" x="1853"/>
        <item m="1" x="2386"/>
        <item m="1" x="2387"/>
        <item m="1" x="2390"/>
        <item m="1" x="1369"/>
        <item m="1" x="2391"/>
        <item m="1" x="2393"/>
        <item m="1" x="1472"/>
        <item m="1" x="2394"/>
        <item m="1" x="1478"/>
        <item m="1" x="1458"/>
        <item m="1" x="2396"/>
        <item m="1" x="1456"/>
        <item m="1" x="1860"/>
        <item m="1" x="2179"/>
        <item m="1" x="2397"/>
        <item m="1" x="1731"/>
        <item m="1" x="2399"/>
        <item m="1" x="1482"/>
        <item m="1" x="2400"/>
        <item m="1" x="2401"/>
        <item m="1" x="2402"/>
        <item m="1" x="1523"/>
        <item x="364"/>
        <item m="1" x="1466"/>
        <item m="1" x="1465"/>
        <item m="1" x="2403"/>
        <item m="1" x="2404"/>
        <item m="1" x="1260"/>
        <item m="1" x="2297"/>
        <item m="1" x="2406"/>
        <item m="1" x="1848"/>
        <item m="1" x="2407"/>
        <item m="1" x="1400"/>
        <item m="1" x="2408"/>
        <item m="1" x="2409"/>
        <item m="1" x="2410"/>
        <item m="1" x="2411"/>
        <item m="1" x="2412"/>
        <item m="1" x="2413"/>
        <item m="1" x="2414"/>
        <item m="1" x="2415"/>
        <item m="1" x="1381"/>
        <item m="1" x="2416"/>
        <item m="1" x="2417"/>
        <item m="1" x="2418"/>
        <item m="1" x="2419"/>
        <item m="1" x="2420"/>
        <item m="1" x="1374"/>
        <item m="1" x="2421"/>
        <item x="394"/>
        <item m="1" x="1343"/>
        <item m="1" x="2002"/>
        <item m="1" x="1847"/>
        <item m="1" x="1846"/>
        <item x="15"/>
        <item m="1" x="783"/>
        <item m="1" x="2012"/>
        <item m="1" x="1875"/>
        <item m="1" x="2014"/>
        <item m="1" x="2015"/>
        <item x="31"/>
        <item m="1" x="2222"/>
        <item m="1" x="2022"/>
        <item m="1" x="2021"/>
        <item m="1" x="2223"/>
        <item m="1" x="461"/>
        <item m="1" x="2031"/>
        <item m="1" x="2028"/>
        <item m="1" x="2033"/>
        <item m="1" x="2224"/>
        <item m="1" x="2036"/>
        <item m="1" x="2038"/>
        <item m="1" x="1956"/>
        <item m="1" x="1262"/>
        <item m="1" x="2042"/>
        <item m="1" x="2045"/>
        <item m="1" x="1052"/>
        <item m="1" x="1033"/>
        <item x="87"/>
        <item m="1" x="510"/>
        <item m="1" x="2048"/>
        <item m="1" x="2049"/>
        <item m="1" x="2046"/>
        <item m="1" x="2047"/>
        <item m="1" x="1282"/>
        <item m="1" x="2050"/>
        <item m="1" x="1894"/>
        <item m="1" x="2055"/>
        <item m="1" x="1893"/>
        <item m="1" x="2235"/>
        <item m="1" x="2236"/>
        <item m="1" x="2057"/>
        <item m="1" x="2060"/>
        <item m="1" x="2237"/>
        <item m="1" x="2239"/>
        <item m="1" x="2063"/>
        <item m="1" x="2241"/>
        <item m="1" x="2243"/>
        <item m="1" x="1912"/>
        <item m="1" x="1913"/>
        <item m="1" x="1914"/>
        <item m="1" x="1915"/>
        <item m="1" x="1065"/>
        <item m="1" x="2244"/>
        <item m="1" x="2245"/>
        <item m="1" x="2246"/>
        <item m="1" x="2247"/>
        <item m="1" x="1062"/>
        <item m="1" x="1063"/>
        <item m="1" x="2068"/>
        <item m="1" x="2070"/>
        <item m="1" x="2248"/>
        <item x="157"/>
        <item m="1" x="2249"/>
        <item m="1" x="2074"/>
        <item x="160"/>
        <item m="1" x="2272"/>
        <item m="1" x="803"/>
        <item m="1" x="2080"/>
        <item m="1" x="2082"/>
        <item x="165"/>
        <item m="1" x="2084"/>
        <item x="178"/>
        <item m="1" x="1937"/>
        <item m="1" x="2274"/>
        <item m="1" x="2089"/>
        <item m="1" x="2096"/>
        <item m="1" x="2097"/>
        <item m="1" x="2112"/>
        <item m="1" x="1787"/>
        <item m="1" x="2113"/>
        <item m="1" x="2118"/>
        <item m="1" x="2109"/>
        <item x="230"/>
        <item m="1" x="1777"/>
        <item m="1" x="1780"/>
        <item m="1" x="1781"/>
        <item m="1" x="2132"/>
        <item m="1" x="2133"/>
        <item m="1" x="2122"/>
        <item m="1" x="2120"/>
        <item x="279"/>
        <item m="1" x="2135"/>
        <item m="1" x="2136"/>
        <item m="1" x="2137"/>
        <item m="1" x="2138"/>
        <item m="1" x="2139"/>
        <item m="1" x="645"/>
        <item m="1" x="2142"/>
        <item m="1" x="2150"/>
        <item m="1" x="2153"/>
        <item m="1" x="2277"/>
        <item m="1" x="2146"/>
        <item m="1" x="2278"/>
        <item m="1" x="2279"/>
        <item m="1" x="2280"/>
        <item m="1" x="2282"/>
        <item m="1" x="2171"/>
        <item m="1" x="2284"/>
        <item m="1" x="1313"/>
        <item m="1" x="2286"/>
        <item m="1" x="2287"/>
        <item m="1" x="2288"/>
        <item m="1" x="2157"/>
        <item m="1" x="2289"/>
        <item m="1" x="2158"/>
        <item m="1" x="2159"/>
        <item m="1" x="2290"/>
        <item m="1" x="1362"/>
        <item m="1" x="2293"/>
        <item m="1" x="2294"/>
        <item m="1" x="1361"/>
        <item m="1" x="2295"/>
        <item m="1" x="2296"/>
        <item m="1" x="1337"/>
        <item m="1" x="1340"/>
        <item m="1" x="1336"/>
        <item m="1" x="1338"/>
        <item m="1" x="1339"/>
        <item m="1" x="2196"/>
        <item m="1" x="1984"/>
        <item m="1" x="2205"/>
        <item m="1" x="2299"/>
        <item m="1" x="2206"/>
        <item m="1" x="2203"/>
        <item m="1" x="1999"/>
        <item m="1" x="1990"/>
        <item m="1" x="2200"/>
        <item m="1" x="2207"/>
        <item m="1" x="2300"/>
        <item m="1" x="2303"/>
        <item m="1" x="2212"/>
        <item m="1" x="2304"/>
        <item m="1" x="2216"/>
        <item m="1" x="2305"/>
        <item m="1" x="2010"/>
        <item m="1" x="2011"/>
        <item m="1" x="1090"/>
        <item m="1" x="1089"/>
        <item m="1" x="2016"/>
        <item m="1" x="2017"/>
        <item m="1" x="2018"/>
        <item m="1" x="2020"/>
        <item x="152"/>
        <item m="1" x="2024"/>
        <item m="1" x="2025"/>
        <item m="1" x="2026"/>
        <item m="1" x="2027"/>
        <item m="1" x="458"/>
        <item m="1" x="2029"/>
        <item m="1" x="2030"/>
        <item m="1" x="2034"/>
        <item m="1" x="2035"/>
        <item m="1" x="2037"/>
        <item x="70"/>
        <item x="71"/>
        <item m="1" x="2039"/>
        <item m="1" x="2040"/>
        <item m="1" x="2041"/>
        <item m="1" x="1891"/>
        <item m="1" x="2058"/>
        <item m="1" x="2061"/>
        <item m="1" x="2064"/>
        <item m="1" x="2065"/>
        <item m="1" x="2066"/>
        <item m="1" x="2067"/>
        <item m="1" x="1917"/>
        <item m="1" x="2076"/>
        <item m="1" x="2083"/>
        <item m="1" x="2088"/>
        <item m="1" x="2093"/>
        <item m="1" x="579"/>
        <item m="1" x="2095"/>
        <item m="1" x="1938"/>
        <item m="1" x="1939"/>
        <item m="1" x="1936"/>
        <item m="1" x="1902"/>
        <item m="1" x="2098"/>
        <item m="1" x="2099"/>
        <item m="1" x="2100"/>
        <item m="1" x="2108"/>
        <item m="1" x="1943"/>
        <item m="1" x="2114"/>
        <item m="1" x="2115"/>
        <item m="1" x="1944"/>
        <item m="1" x="2116"/>
        <item m="1" x="2117"/>
        <item m="1" x="1942"/>
        <item m="1" x="2119"/>
        <item m="1" x="2126"/>
        <item m="1" x="1278"/>
        <item m="1" x="1277"/>
        <item m="1" x="2130"/>
        <item m="1" x="2131"/>
        <item m="1" x="2134"/>
        <item m="1" x="1719"/>
        <item m="1" x="2143"/>
        <item m="1" x="2145"/>
        <item m="1" x="1953"/>
        <item m="1" x="2147"/>
        <item m="1" x="2148"/>
        <item m="1" x="2149"/>
        <item m="1" x="2151"/>
        <item m="1" x="2152"/>
        <item m="1" x="1402"/>
        <item x="153"/>
        <item m="1" x="2156"/>
        <item m="1" x="1965"/>
        <item m="1" x="2160"/>
        <item m="1" x="2161"/>
        <item m="1" x="1258"/>
        <item m="1" x="2162"/>
        <item m="1" x="2163"/>
        <item m="1" x="2164"/>
        <item m="1" x="1997"/>
        <item m="1" x="1359"/>
        <item m="1" x="1974"/>
        <item m="1" x="2167"/>
        <item m="1" x="2168"/>
        <item m="1" x="1390"/>
        <item m="1" x="1474"/>
        <item m="1" x="1475"/>
        <item m="1" x="2170"/>
        <item m="1" x="1454"/>
        <item x="352"/>
        <item m="1" x="2172"/>
        <item m="1" x="1443"/>
        <item x="354"/>
        <item m="1" x="1440"/>
        <item m="1" x="2173"/>
        <item m="1" x="2175"/>
        <item m="1" x="2181"/>
        <item m="1" x="2182"/>
        <item m="1" x="2183"/>
        <item m="1" x="2187"/>
        <item m="1" x="834"/>
        <item m="1" x="1981"/>
        <item m="1" x="2198"/>
        <item m="1" x="2199"/>
        <item m="1" x="1996"/>
        <item m="1" x="1985"/>
        <item m="1" x="2201"/>
        <item m="1" x="2202"/>
        <item m="1" x="2204"/>
        <item m="1" x="1544"/>
        <item m="1" x="1655"/>
        <item m="1" x="2001"/>
        <item m="1" x="2208"/>
        <item m="1" x="2210"/>
        <item m="1" x="2211"/>
        <item m="1" x="2213"/>
        <item x="4"/>
        <item m="1" x="1872"/>
        <item m="1" x="1873"/>
        <item m="1" x="1874"/>
        <item x="282"/>
        <item x="11"/>
        <item m="1" x="1704"/>
        <item m="1" x="1705"/>
        <item x="38"/>
        <item m="1" x="785"/>
        <item m="1" x="1712"/>
        <item m="1" x="1876"/>
        <item m="1" x="1877"/>
        <item x="55"/>
        <item m="1" x="1688"/>
        <item m="1" x="1073"/>
        <item x="60"/>
        <item m="1" x="1878"/>
        <item m="1" x="1879"/>
        <item m="1" x="1674"/>
        <item m="1" x="1880"/>
        <item m="1" x="1684"/>
        <item x="82"/>
        <item x="79"/>
        <item m="1" x="1883"/>
        <item x="88"/>
        <item m="1" x="1888"/>
        <item m="1" x="1890"/>
        <item m="1" x="1892"/>
        <item m="1" x="1899"/>
        <item m="1" x="1900"/>
        <item m="1" x="1603"/>
        <item m="1" x="1604"/>
        <item x="130"/>
        <item x="129"/>
        <item m="1" x="1904"/>
        <item m="1" x="1905"/>
        <item m="1" x="1906"/>
        <item m="1" x="1907"/>
        <item m="1" x="792"/>
        <item m="1" x="1908"/>
        <item m="1" x="1910"/>
        <item m="1" x="1064"/>
        <item m="1" x="1911"/>
        <item m="1" x="1916"/>
        <item m="1" x="1713"/>
        <item m="1" x="1099"/>
        <item x="154"/>
        <item m="1" x="1714"/>
        <item m="1" x="1715"/>
        <item x="155"/>
        <item m="1" x="1919"/>
        <item m="1" x="1724"/>
        <item x="191"/>
        <item m="1" x="1686"/>
        <item m="1" x="551"/>
        <item m="1" x="1130"/>
        <item m="1" x="1131"/>
        <item m="1" x="1737"/>
        <item m="1" x="1941"/>
        <item m="1" x="1736"/>
        <item m="1" x="1765"/>
        <item m="1" x="1755"/>
        <item m="1" x="1756"/>
        <item m="1" x="1754"/>
        <item m="1" x="1757"/>
        <item m="1" x="1758"/>
        <item m="1" x="1759"/>
        <item m="1" x="1144"/>
        <item m="1" x="1866"/>
        <item m="1" x="801"/>
        <item m="1" x="802"/>
        <item m="1" x="805"/>
        <item m="1" x="1778"/>
        <item m="1" x="965"/>
        <item m="1" x="1797"/>
        <item m="1" x="1798"/>
        <item m="1" x="1788"/>
        <item m="1" x="1796"/>
        <item m="1" x="1945"/>
        <item m="1" x="1137"/>
        <item m="1" x="1138"/>
        <item m="1" x="1946"/>
        <item m="1" x="1753"/>
        <item m="1" x="1947"/>
        <item m="1" x="1948"/>
        <item m="1" x="1743"/>
        <item m="1" x="1134"/>
        <item m="1" x="1139"/>
        <item m="1" x="646"/>
        <item m="1" x="1752"/>
        <item m="1" x="1748"/>
        <item m="1" x="1949"/>
        <item m="1" x="1950"/>
        <item m="1" x="1951"/>
        <item m="1" x="1952"/>
        <item m="1" x="1954"/>
        <item m="1" x="1955"/>
        <item m="1" x="1957"/>
        <item m="1" x="1958"/>
        <item m="1" x="1959"/>
        <item m="1" x="1960"/>
        <item m="1" x="1961"/>
        <item m="1" x="1461"/>
        <item m="1" x="826"/>
        <item m="1" x="1962"/>
        <item m="1" x="1963"/>
        <item m="1" x="1964"/>
        <item m="1" x="1966"/>
        <item m="1" x="1967"/>
        <item m="1" x="1968"/>
        <item m="1" x="1969"/>
        <item m="1" x="1970"/>
        <item m="1" x="1972"/>
        <item m="1" x="1973"/>
        <item m="1" x="1975"/>
        <item m="1" x="1976"/>
        <item m="1" x="1483"/>
        <item m="1" x="1484"/>
        <item m="1" x="1473"/>
        <item m="1" x="1864"/>
        <item x="316"/>
        <item m="1" x="1767"/>
        <item m="1" x="1865"/>
        <item m="1" x="1467"/>
        <item m="1" x="1496"/>
        <item m="1" x="1978"/>
        <item m="1" x="1979"/>
        <item m="1" x="1982"/>
        <item m="1" x="1983"/>
        <item m="1" x="1986"/>
        <item m="1" x="1987"/>
        <item m="1" x="1988"/>
        <item m="1" x="1989"/>
        <item m="1" x="1991"/>
        <item m="1" x="1992"/>
        <item m="1" x="1993"/>
        <item m="1" x="1994"/>
        <item m="1" x="1995"/>
        <item m="1" x="1998"/>
        <item m="1" x="2000"/>
        <item m="1" x="1259"/>
        <item m="1" x="2003"/>
        <item m="1" x="2004"/>
        <item m="1" x="2005"/>
        <item m="1" x="2006"/>
        <item m="1" x="2007"/>
        <item x="400"/>
        <item m="1" x="2008"/>
        <item m="1" x="951"/>
        <item x="166"/>
        <item m="1" x="1034"/>
        <item m="1" x="1802"/>
        <item m="1" x="1803"/>
        <item m="1" x="1804"/>
        <item m="1" x="1805"/>
        <item m="1" x="1806"/>
        <item m="1" x="1162"/>
        <item m="1" x="1807"/>
        <item m="1" x="1808"/>
        <item m="1" x="1809"/>
        <item m="1" x="1810"/>
        <item m="1" x="1811"/>
        <item m="1" x="946"/>
        <item m="1" x="1812"/>
        <item m="1" x="786"/>
        <item m="1" x="1813"/>
        <item x="151"/>
        <item m="1" x="1212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654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658"/>
        <item m="1" x="1844"/>
        <item m="1" x="1776"/>
        <item m="1" x="1577"/>
        <item m="1" x="1667"/>
        <item m="1" x="1849"/>
        <item x="403"/>
        <item x="410"/>
        <item x="89"/>
        <item m="1" x="1673"/>
        <item x="85"/>
        <item m="1" x="1677"/>
        <item m="1" x="1680"/>
        <item m="1" x="1682"/>
        <item x="83"/>
        <item m="1" x="1286"/>
        <item m="1" x="945"/>
        <item m="1" x="1690"/>
        <item m="1" x="1080"/>
        <item m="1" x="1851"/>
        <item m="1" x="1852"/>
        <item m="1" x="992"/>
        <item m="1" x="1363"/>
        <item m="1" x="922"/>
        <item m="1" x="1086"/>
        <item m="1" x="1388"/>
        <item m="1" x="1087"/>
        <item m="1" x="1701"/>
        <item m="1" x="1696"/>
        <item m="1" x="1699"/>
        <item m="1" x="1700"/>
        <item x="260"/>
        <item x="399"/>
        <item m="1" x="1854"/>
        <item m="1" x="1855"/>
        <item m="1" x="1098"/>
        <item m="1" x="1097"/>
        <item m="1" x="1710"/>
        <item m="1" x="528"/>
        <item m="1" x="1709"/>
        <item m="1" x="1716"/>
        <item m="1" x="1436"/>
        <item m="1" x="1723"/>
        <item m="1" x="1594"/>
        <item m="1" x="1722"/>
        <item m="1" x="1485"/>
        <item m="1" x="1856"/>
        <item m="1" x="1476"/>
        <item m="1" x="1479"/>
        <item x="112"/>
        <item m="1" x="1730"/>
        <item x="110"/>
        <item m="1" x="1602"/>
        <item m="1" x="1488"/>
        <item m="1" x="1489"/>
        <item m="1" x="1861"/>
        <item m="1" x="1862"/>
        <item m="1" x="1863"/>
        <item m="1" x="1735"/>
        <item m="1" x="1116"/>
        <item m="1" x="1501"/>
        <item m="1" x="1500"/>
        <item x="186"/>
        <item m="1" x="1738"/>
        <item m="1" x="1744"/>
        <item m="1" x="1745"/>
        <item m="1" x="1746"/>
        <item m="1" x="1023"/>
        <item m="1" x="1521"/>
        <item m="1" x="1024"/>
        <item m="1" x="1764"/>
        <item m="1" x="1867"/>
        <item m="1" x="1543"/>
        <item x="276"/>
        <item m="1" x="1775"/>
        <item m="1" x="1868"/>
        <item m="1" x="1869"/>
        <item m="1" x="1870"/>
        <item m="1" x="1619"/>
        <item m="1" x="1558"/>
        <item x="111"/>
        <item m="1" x="1801"/>
        <item m="1" x="1624"/>
        <item m="1" x="1871"/>
        <item m="1" x="1792"/>
        <item m="1" x="740"/>
        <item m="1" x="952"/>
        <item m="1" x="1160"/>
        <item m="1" x="1124"/>
        <item m="1" x="1627"/>
        <item m="1" x="1628"/>
        <item m="1" x="1179"/>
        <item m="1" x="1181"/>
        <item m="1" x="1180"/>
        <item m="1" x="1178"/>
        <item m="1" x="1177"/>
        <item m="1" x="1169"/>
        <item m="1" x="1175"/>
        <item m="1" x="1167"/>
        <item m="1" x="1176"/>
        <item m="1" x="1170"/>
        <item m="1" x="1172"/>
        <item m="1" x="1174"/>
        <item m="1" x="1189"/>
        <item m="1" x="1194"/>
        <item m="1" x="1185"/>
        <item m="1" x="1191"/>
        <item m="1" x="1188"/>
        <item m="1" x="1196"/>
        <item m="1" x="1190"/>
        <item m="1" x="1192"/>
        <item m="1" x="1198"/>
        <item m="1" x="1199"/>
        <item m="1" x="1182"/>
        <item m="1" x="1195"/>
        <item m="1" x="1183"/>
        <item m="1" x="1184"/>
        <item m="1" x="1200"/>
        <item m="1" x="1193"/>
        <item m="1" x="1187"/>
        <item m="1" x="1234"/>
        <item x="143"/>
        <item m="1" x="1204"/>
        <item m="1" x="1629"/>
        <item m="1" x="1630"/>
        <item m="1" x="1631"/>
        <item m="1" x="1207"/>
        <item m="1" x="1632"/>
        <item m="1" x="1633"/>
        <item m="1" x="1634"/>
        <item m="1" x="1216"/>
        <item x="9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576"/>
        <item m="1" x="1645"/>
        <item m="1" x="1646"/>
        <item m="1" x="1647"/>
        <item m="1" x="1648"/>
        <item m="1" x="1649"/>
        <item m="1" x="1650"/>
        <item m="1" x="1651"/>
        <item m="1" x="1652"/>
        <item x="21"/>
        <item m="1" x="1653"/>
        <item m="1" x="1656"/>
        <item m="1" x="1657"/>
        <item m="1" x="1251"/>
        <item x="73"/>
        <item m="1" x="1666"/>
        <item x="72"/>
        <item m="1" x="1255"/>
        <item m="1" x="1668"/>
        <item m="1" x="1669"/>
        <item m="1" x="704"/>
        <item m="1" x="1606"/>
        <item m="1" x="1670"/>
        <item m="1" x="1671"/>
        <item m="1" x="1672"/>
        <item m="1" x="735"/>
        <item m="1" x="1675"/>
        <item m="1" x="1266"/>
        <item x="137"/>
        <item m="1" x="1679"/>
        <item m="1" x="1681"/>
        <item x="80"/>
        <item x="81"/>
        <item m="1" x="1683"/>
        <item m="1" x="1685"/>
        <item m="1" x="934"/>
        <item m="1" x="1687"/>
        <item m="1" x="1287"/>
        <item m="1" x="1077"/>
        <item m="1" x="1689"/>
        <item m="1" x="1078"/>
        <item m="1" x="1311"/>
        <item m="1" x="1691"/>
        <item m="1" x="1347"/>
        <item m="1" x="923"/>
        <item x="53"/>
        <item m="1" x="924"/>
        <item m="1" x="925"/>
        <item m="1" x="1370"/>
        <item m="1" x="1692"/>
        <item x="40"/>
        <item m="1" x="1694"/>
        <item m="1" x="1389"/>
        <item m="1" x="1091"/>
        <item x="404"/>
        <item m="1" x="1695"/>
        <item m="1" x="1697"/>
        <item m="1" x="1698"/>
        <item x="25"/>
        <item x="26"/>
        <item x="27"/>
        <item m="1" x="1702"/>
        <item m="1" x="1703"/>
        <item m="1" x="1706"/>
        <item x="13"/>
        <item m="1" x="1707"/>
        <item m="1" x="1404"/>
        <item m="1" x="1407"/>
        <item x="378"/>
        <item m="1" x="732"/>
        <item m="1" x="1416"/>
        <item m="1" x="1408"/>
        <item m="1" x="1708"/>
        <item m="1" x="1711"/>
        <item x="156"/>
        <item m="1" x="1100"/>
        <item m="1" x="1717"/>
        <item m="1" x="1718"/>
        <item m="1" x="1720"/>
        <item m="1" x="1721"/>
        <item m="1" x="1101"/>
        <item m="1" x="1725"/>
        <item m="1" x="1451"/>
        <item m="1" x="1726"/>
        <item m="1" x="1727"/>
        <item m="1" x="1468"/>
        <item x="115"/>
        <item x="127"/>
        <item x="128"/>
        <item x="119"/>
        <item x="113"/>
        <item m="1" x="860"/>
        <item m="1" x="859"/>
        <item m="1" x="1477"/>
        <item m="1" x="1480"/>
        <item m="1" x="1491"/>
        <item m="1" x="1490"/>
        <item m="1" x="1732"/>
        <item m="1" x="1733"/>
        <item m="1" x="1493"/>
        <item m="1" x="1734"/>
        <item m="1" x="1123"/>
        <item m="1" x="1121"/>
        <item m="1" x="1129"/>
        <item m="1" x="1505"/>
        <item x="188"/>
        <item m="1" x="1739"/>
        <item x="159"/>
        <item m="1" x="1740"/>
        <item m="1" x="1741"/>
        <item m="1" x="1742"/>
        <item m="1" x="1141"/>
        <item m="1" x="1749"/>
        <item m="1" x="1750"/>
        <item m="1" x="1453"/>
        <item m="1" x="1751"/>
        <item m="1" x="968"/>
        <item m="1" x="1611"/>
        <item m="1" x="1612"/>
        <item m="1" x="1761"/>
        <item m="1" x="1762"/>
        <item m="1" x="1763"/>
        <item m="1" x="1766"/>
        <item m="1" x="1768"/>
        <item m="1" x="1769"/>
        <item m="1" x="800"/>
        <item m="1" x="1770"/>
        <item m="1" x="1771"/>
        <item m="1" x="1772"/>
        <item m="1" x="1773"/>
        <item m="1" x="1774"/>
        <item m="1" x="1618"/>
        <item x="261"/>
        <item m="1" x="1789"/>
        <item x="65"/>
        <item m="1" x="1790"/>
        <item m="1" x="1791"/>
        <item m="1" x="1793"/>
        <item m="1" x="1794"/>
        <item m="1" x="1795"/>
        <item m="1" x="619"/>
        <item x="30"/>
        <item m="1" x="954"/>
        <item m="1" x="1559"/>
        <item m="1" x="1560"/>
        <item m="1" x="1561"/>
        <item m="1" x="1562"/>
        <item m="1" x="1038"/>
        <item m="1" x="787"/>
        <item m="1" x="797"/>
        <item x="64"/>
        <item x="66"/>
        <item m="1" x="1567"/>
        <item x="358"/>
        <item m="1" x="1213"/>
        <item m="1" x="1214"/>
        <item m="1" x="1215"/>
        <item m="1" x="1250"/>
        <item m="1" x="1568"/>
        <item m="1" x="1569"/>
        <item m="1" x="1570"/>
        <item m="1" x="1247"/>
        <item m="1" x="1571"/>
        <item m="1" x="1572"/>
        <item m="1" x="1573"/>
        <item m="1" x="1223"/>
        <item m="1" x="1246"/>
        <item m="1" x="1228"/>
        <item m="1" x="1245"/>
        <item m="1" x="1243"/>
        <item m="1" x="1244"/>
        <item m="1" x="1229"/>
        <item m="1" x="1574"/>
        <item m="1" x="1575"/>
        <item m="1" x="1224"/>
        <item m="1" x="1236"/>
        <item m="1" x="1237"/>
        <item m="1" x="1233"/>
        <item m="1" x="1235"/>
        <item m="1" x="1230"/>
        <item m="1" x="1231"/>
        <item m="1" x="1232"/>
        <item m="1" x="1238"/>
        <item x="337"/>
        <item x="379"/>
        <item m="1" x="1578"/>
        <item x="280"/>
        <item x="6"/>
        <item m="1" x="988"/>
        <item m="1" x="1267"/>
        <item m="1" x="591"/>
        <item m="1" x="1270"/>
        <item m="1" x="1271"/>
        <item m="1" x="1582"/>
        <item m="1" x="1285"/>
        <item m="1" x="1076"/>
        <item x="52"/>
        <item m="1" x="1075"/>
        <item m="1" x="1297"/>
        <item m="1" x="1298"/>
        <item m="1" x="1299"/>
        <item m="1" x="1300"/>
        <item m="1" x="1301"/>
        <item m="1" x="1302"/>
        <item m="1" x="1310"/>
        <item m="1" x="1309"/>
        <item m="1" x="1306"/>
        <item m="1" x="1307"/>
        <item m="1" x="1308"/>
        <item m="1" x="1126"/>
        <item m="1" x="1304"/>
        <item m="1" x="1305"/>
        <item m="1" x="840"/>
        <item m="1" x="926"/>
        <item m="1" x="927"/>
        <item m="1" x="1583"/>
        <item m="1" x="1584"/>
        <item m="1" x="1585"/>
        <item x="42"/>
        <item m="1" x="1386"/>
        <item x="300"/>
        <item m="1" x="1587"/>
        <item x="24"/>
        <item x="3"/>
        <item m="1" x="1410"/>
        <item m="1" x="1588"/>
        <item m="1" x="1427"/>
        <item x="140"/>
        <item m="1" x="1591"/>
        <item m="1" x="1429"/>
        <item m="1" x="1592"/>
        <item m="1" x="1593"/>
        <item x="168"/>
        <item m="1" x="1595"/>
        <item m="1" x="1596"/>
        <item m="1" x="1598"/>
        <item m="1" x="1599"/>
        <item m="1" x="1600"/>
        <item x="114"/>
        <item m="1" x="1607"/>
        <item m="1" x="1118"/>
        <item m="1" x="1497"/>
        <item m="1" x="1498"/>
        <item m="1" x="557"/>
        <item m="1" x="1506"/>
        <item m="1" x="1608"/>
        <item x="177"/>
        <item m="1" x="1511"/>
        <item m="1" x="1609"/>
        <item m="1" x="1520"/>
        <item m="1" x="1610"/>
        <item m="1" x="1522"/>
        <item m="1" x="1524"/>
        <item m="1" x="1525"/>
        <item m="1" x="1613"/>
        <item m="1" x="1614"/>
        <item m="1" x="1615"/>
        <item m="1" x="1616"/>
        <item m="1" x="798"/>
        <item m="1" x="799"/>
        <item m="1" x="1536"/>
        <item m="1" x="1542"/>
        <item m="1" x="1153"/>
        <item m="1" x="1154"/>
        <item m="1" x="1148"/>
        <item m="1" x="1149"/>
        <item m="1" x="1150"/>
        <item m="1" x="1151"/>
        <item m="1" x="1625"/>
        <item x="265"/>
        <item m="1" x="616"/>
        <item m="1" x="1626"/>
        <item m="1" x="1006"/>
        <item m="1" x="1158"/>
        <item m="1" x="1161"/>
        <item m="1" x="1201"/>
        <item x="144"/>
        <item m="1" x="1202"/>
        <item m="1" x="1206"/>
        <item m="1" x="1209"/>
        <item m="1" x="1210"/>
        <item m="1" x="1220"/>
        <item m="1" x="1051"/>
        <item m="1" x="1221"/>
        <item m="1" x="1222"/>
        <item x="308"/>
        <item x="306"/>
        <item x="307"/>
        <item m="1" x="1050"/>
        <item m="1" x="1225"/>
        <item m="1" x="1226"/>
        <item m="1" x="1227"/>
        <item m="1" x="1239"/>
        <item m="1" x="1240"/>
        <item m="1" x="1241"/>
        <item m="1" x="1242"/>
        <item m="1" x="1248"/>
        <item m="1" x="1249"/>
        <item x="407"/>
        <item m="1" x="1264"/>
        <item m="1" x="1265"/>
        <item x="200"/>
        <item m="1" x="864"/>
        <item m="1" x="526"/>
        <item m="1" x="1069"/>
        <item m="1" x="1268"/>
        <item m="1" x="1272"/>
        <item m="1" x="1273"/>
        <item m="1" x="1275"/>
        <item m="1" x="1276"/>
        <item m="1" x="516"/>
        <item m="1" x="517"/>
        <item m="1" x="1283"/>
        <item m="1" x="1074"/>
        <item m="1" x="1081"/>
        <item m="1" x="1082"/>
        <item m="1" x="1303"/>
        <item m="1" x="1315"/>
        <item m="1" x="1316"/>
        <item m="1" x="1317"/>
        <item x="132"/>
        <item x="69"/>
        <item m="1" x="1084"/>
        <item x="389"/>
        <item m="1" x="1085"/>
        <item m="1" x="1365"/>
        <item m="1" x="1366"/>
        <item m="1" x="1368"/>
        <item m="1" x="784"/>
        <item m="1" x="1371"/>
        <item m="1" x="1372"/>
        <item m="1" x="1373"/>
        <item m="1" x="940"/>
        <item m="1" x="1391"/>
        <item m="1" x="1392"/>
        <item m="1" x="1394"/>
        <item m="1" x="1395"/>
        <item m="1" x="1396"/>
        <item m="1" x="1397"/>
        <item x="75"/>
        <item m="1" x="1401"/>
        <item m="1" x="702"/>
        <item m="1" x="1406"/>
        <item m="1" x="1411"/>
        <item m="1" x="1412"/>
        <item m="1" x="1413"/>
        <item m="1" x="1414"/>
        <item m="1" x="1415"/>
        <item m="1" x="1417"/>
        <item m="1" x="1418"/>
        <item m="1" x="1422"/>
        <item m="1" x="1423"/>
        <item m="1" x="1424"/>
        <item m="1" x="1425"/>
        <item m="1" x="1426"/>
        <item m="1" x="1428"/>
        <item m="1" x="875"/>
        <item m="1" x="862"/>
        <item m="1" x="861"/>
        <item m="1" x="713"/>
        <item m="1" x="520"/>
        <item m="1" x="1470"/>
        <item m="1" x="711"/>
        <item m="1" x="1487"/>
        <item m="1" x="971"/>
        <item m="1" x="1022"/>
        <item m="1" x="1495"/>
        <item m="1" x="1119"/>
        <item m="1" x="1502"/>
        <item m="1" x="1503"/>
        <item m="1" x="1504"/>
        <item m="1" x="1132"/>
        <item m="1" x="959"/>
        <item m="1" x="1508"/>
        <item m="1" x="1127"/>
        <item x="45"/>
        <item m="1" x="583"/>
        <item m="1" x="1512"/>
        <item m="1" x="1513"/>
        <item m="1" x="1515"/>
        <item m="1" x="1516"/>
        <item m="1" x="1517"/>
        <item m="1" x="636"/>
        <item m="1" x="1518"/>
        <item m="1" x="1519"/>
        <item x="37"/>
        <item m="1" x="858"/>
        <item x="277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521"/>
        <item m="1" x="816"/>
        <item m="1" x="1552"/>
        <item m="1" x="1553"/>
        <item m="1" x="1554"/>
        <item m="1" x="1555"/>
        <item m="1" x="1556"/>
        <item m="1" x="1557"/>
        <item m="1" x="1035"/>
        <item m="1" x="1036"/>
        <item m="1" x="1037"/>
        <item m="1" x="789"/>
        <item m="1" x="1039"/>
        <item m="1" x="1040"/>
        <item m="1" x="953"/>
        <item m="1" x="1041"/>
        <item m="1" x="1042"/>
        <item m="1" x="1043"/>
        <item m="1" x="1044"/>
        <item m="1" x="993"/>
        <item m="1" x="1045"/>
        <item m="1" x="1046"/>
        <item m="1" x="1047"/>
        <item m="1" x="1048"/>
        <item m="1" x="1049"/>
        <item x="90"/>
        <item x="91"/>
        <item m="1" x="494"/>
        <item m="1" x="1053"/>
        <item m="1" x="1054"/>
        <item m="1" x="955"/>
        <item x="138"/>
        <item m="1" x="956"/>
        <item m="1" x="957"/>
        <item m="1" x="1055"/>
        <item m="1" x="865"/>
        <item m="1" x="1056"/>
        <item m="1" x="1057"/>
        <item m="1" x="1058"/>
        <item m="1" x="1060"/>
        <item m="1" x="506"/>
        <item m="1" x="1061"/>
        <item m="1" x="1066"/>
        <item m="1" x="1067"/>
        <item m="1" x="1068"/>
        <item m="1" x="969"/>
        <item m="1" x="794"/>
        <item m="1" x="1070"/>
        <item m="1" x="1072"/>
        <item m="1" x="654"/>
        <item m="1" x="653"/>
        <item m="1" x="1010"/>
        <item x="194"/>
        <item x="195"/>
        <item x="196"/>
        <item x="197"/>
        <item m="1" x="686"/>
        <item m="1" x="420"/>
        <item m="1" x="418"/>
        <item m="1" x="683"/>
        <item m="1" x="937"/>
        <item m="1" x="1026"/>
        <item m="1" x="1027"/>
        <item m="1" x="1028"/>
        <item m="1" x="1029"/>
        <item m="1" x="1007"/>
        <item x="19"/>
        <item m="1" x="931"/>
        <item m="1" x="778"/>
        <item m="1" x="423"/>
        <item m="1" x="1088"/>
        <item m="1" x="932"/>
        <item m="1" x="933"/>
        <item m="1" x="726"/>
        <item x="5"/>
        <item x="2"/>
        <item x="1"/>
        <item m="1" x="1093"/>
        <item m="1" x="1094"/>
        <item m="1" x="1095"/>
        <item m="1" x="1096"/>
        <item x="148"/>
        <item m="1" x="880"/>
        <item x="147"/>
        <item x="169"/>
        <item m="1" x="547"/>
        <item x="167"/>
        <item x="117"/>
        <item x="118"/>
        <item m="1" x="714"/>
        <item m="1" x="1102"/>
        <item m="1" x="1103"/>
        <item m="1" x="1104"/>
        <item m="1" x="1105"/>
        <item m="1" x="1106"/>
        <item m="1" x="696"/>
        <item x="104"/>
        <item x="105"/>
        <item x="106"/>
        <item x="288"/>
        <item m="1" x="1107"/>
        <item m="1" x="857"/>
        <item m="1" x="1108"/>
        <item m="1" x="855"/>
        <item m="1" x="1109"/>
        <item m="1" x="856"/>
        <item m="1" x="1110"/>
        <item m="1" x="876"/>
        <item m="1" x="1111"/>
        <item m="1" x="1112"/>
        <item m="1" x="1113"/>
        <item m="1" x="972"/>
        <item m="1" x="1114"/>
        <item m="1" x="727"/>
        <item m="1" x="1115"/>
        <item m="1" x="1032"/>
        <item m="1" x="1117"/>
        <item m="1" x="572"/>
        <item m="1" x="555"/>
        <item m="1" x="1128"/>
        <item m="1" x="986"/>
        <item m="1" x="1135"/>
        <item m="1" x="1136"/>
        <item m="1" x="1140"/>
        <item x="372"/>
        <item x="368"/>
        <item m="1" x="1145"/>
        <item m="1" x="1146"/>
        <item m="1" x="1147"/>
        <item m="1" x="1152"/>
        <item x="235"/>
        <item x="236"/>
        <item x="237"/>
        <item m="1" x="963"/>
        <item m="1" x="964"/>
        <item m="1" x="606"/>
        <item m="1" x="881"/>
        <item m="1" x="907"/>
        <item m="1" x="1155"/>
        <item m="1" x="1156"/>
        <item m="1" x="1157"/>
        <item m="1" x="419"/>
        <item m="1" x="507"/>
        <item x="16"/>
        <item x="22"/>
        <item m="1" x="928"/>
        <item x="283"/>
        <item x="93"/>
        <item m="1" x="929"/>
        <item m="1" x="744"/>
        <item m="1" x="930"/>
        <item x="41"/>
        <item x="43"/>
        <item x="44"/>
        <item x="46"/>
        <item x="47"/>
        <item m="1" x="440"/>
        <item m="1" x="441"/>
        <item m="1" x="451"/>
        <item m="1" x="788"/>
        <item m="1" x="935"/>
        <item m="1" x="456"/>
        <item m="1" x="938"/>
        <item m="1" x="939"/>
        <item x="335"/>
        <item m="1" x="941"/>
        <item m="1" x="942"/>
        <item m="1" x="943"/>
        <item m="1" x="948"/>
        <item m="1" x="504"/>
        <item m="1" x="505"/>
        <item x="383"/>
        <item m="1" x="518"/>
        <item x="92"/>
        <item x="136"/>
        <item m="1" x="793"/>
        <item x="142"/>
        <item m="1" x="866"/>
        <item m="1" x="867"/>
        <item m="1" x="529"/>
        <item m="1" x="533"/>
        <item m="1" x="958"/>
        <item m="1" x="536"/>
        <item x="161"/>
        <item m="1" x="854"/>
        <item m="1" x="853"/>
        <item m="1" x="863"/>
        <item m="1" x="549"/>
        <item m="1" x="550"/>
        <item m="1" x="569"/>
        <item m="1" x="553"/>
        <item x="183"/>
        <item m="1" x="552"/>
        <item m="1" x="554"/>
        <item m="1" x="960"/>
        <item x="189"/>
        <item x="190"/>
        <item m="1" x="567"/>
        <item m="1" x="582"/>
        <item m="1" x="589"/>
        <item m="1" x="595"/>
        <item m="1" x="596"/>
        <item m="1" x="604"/>
        <item m="1" x="796"/>
        <item m="1" x="608"/>
        <item x="238"/>
        <item x="239"/>
        <item x="240"/>
        <item x="241"/>
        <item x="242"/>
        <item x="243"/>
        <item x="244"/>
        <item x="245"/>
        <item x="233"/>
        <item x="234"/>
        <item x="231"/>
        <item x="232"/>
        <item m="1" x="961"/>
        <item m="1" x="962"/>
        <item m="1" x="615"/>
        <item m="1" x="967"/>
        <item m="1" x="640"/>
        <item x="271"/>
        <item x="272"/>
        <item x="273"/>
        <item m="1" x="970"/>
        <item m="1" x="973"/>
        <item m="1" x="974"/>
        <item m="1" x="975"/>
        <item x="289"/>
        <item m="1" x="977"/>
        <item m="1" x="886"/>
        <item m="1" x="978"/>
        <item m="1" x="979"/>
        <item m="1" x="980"/>
        <item m="1" x="981"/>
        <item m="1" x="982"/>
        <item m="1" x="885"/>
        <item m="1" x="983"/>
        <item m="1" x="984"/>
        <item x="310"/>
        <item x="305"/>
        <item m="1" x="985"/>
        <item m="1" x="987"/>
        <item m="1" x="989"/>
        <item m="1" x="818"/>
        <item m="1" x="990"/>
        <item m="1" x="991"/>
        <item m="1" x="994"/>
        <item m="1" x="995"/>
        <item m="1" x="996"/>
        <item m="1" x="682"/>
        <item m="1" x="997"/>
        <item m="1" x="998"/>
        <item m="1" x="999"/>
        <item m="1" x="1000"/>
        <item m="1" x="1001"/>
        <item m="1" x="1002"/>
        <item m="1" x="677"/>
        <item m="1" x="1003"/>
        <item m="1" x="1004"/>
        <item m="1" x="833"/>
        <item x="365"/>
        <item x="381"/>
        <item m="1" x="1005"/>
        <item m="1" x="1008"/>
        <item m="1" x="1009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870"/>
        <item m="1" x="1020"/>
        <item m="1" x="1021"/>
        <item m="1" x="1025"/>
        <item m="1" x="1030"/>
        <item m="1" x="779"/>
        <item m="1" x="1031"/>
        <item m="1" x="847"/>
        <item x="0"/>
        <item m="1" x="782"/>
        <item m="1" x="424"/>
        <item m="1" x="425"/>
        <item m="1" x="429"/>
        <item m="1" x="443"/>
        <item m="1" x="453"/>
        <item x="49"/>
        <item m="1" x="460"/>
        <item m="1" x="469"/>
        <item m="1" x="848"/>
        <item m="1" x="849"/>
        <item m="1" x="850"/>
        <item m="1" x="851"/>
        <item m="1" x="503"/>
        <item m="1" x="790"/>
        <item x="67"/>
        <item x="68"/>
        <item m="1" x="791"/>
        <item m="1" x="852"/>
        <item m="1" x="493"/>
        <item m="1" x="512"/>
        <item m="1" x="509"/>
        <item m="1" x="500"/>
        <item m="1" x="501"/>
        <item m="1" x="502"/>
        <item x="76"/>
        <item x="135"/>
        <item m="1" x="868"/>
        <item m="1" x="522"/>
        <item m="1" x="869"/>
        <item x="141"/>
        <item m="1" x="530"/>
        <item m="1" x="537"/>
        <item m="1" x="538"/>
        <item m="1" x="541"/>
        <item m="1" x="539"/>
        <item m="1" x="871"/>
        <item m="1" x="872"/>
        <item m="1" x="873"/>
        <item m="1" x="874"/>
        <item m="1" x="877"/>
        <item m="1" x="574"/>
        <item m="1" x="573"/>
        <item x="180"/>
        <item x="181"/>
        <item m="1" x="560"/>
        <item m="1" x="563"/>
        <item m="1" x="562"/>
        <item m="1" x="568"/>
        <item m="1" x="578"/>
        <item m="1" x="584"/>
        <item m="1" x="585"/>
        <item m="1" x="587"/>
        <item m="1" x="588"/>
        <item m="1" x="878"/>
        <item x="192"/>
        <item m="1" x="597"/>
        <item m="1" x="598"/>
        <item m="1" x="599"/>
        <item m="1" x="600"/>
        <item m="1" x="601"/>
        <item m="1" x="795"/>
        <item x="207"/>
        <item m="1" x="879"/>
        <item m="1" x="611"/>
        <item m="1" x="612"/>
        <item m="1" x="620"/>
        <item x="264"/>
        <item m="1" x="621"/>
        <item m="1" x="622"/>
        <item m="1" x="613"/>
        <item m="1" x="614"/>
        <item m="1" x="623"/>
        <item m="1" x="624"/>
        <item m="1" x="628"/>
        <item m="1" x="635"/>
        <item m="1" x="638"/>
        <item m="1" x="639"/>
        <item m="1" x="650"/>
        <item x="285"/>
        <item x="286"/>
        <item x="287"/>
        <item m="1" x="882"/>
        <item m="1" x="883"/>
        <item m="1" x="809"/>
        <item m="1" x="884"/>
        <item m="1" x="811"/>
        <item x="385"/>
        <item m="1" x="810"/>
        <item x="298"/>
        <item m="1" x="814"/>
        <item x="315"/>
        <item m="1" x="887"/>
        <item m="1" x="888"/>
        <item m="1" x="710"/>
        <item m="1" x="889"/>
        <item m="1" x="890"/>
        <item m="1" x="891"/>
        <item m="1" x="712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x="339"/>
        <item m="1" x="906"/>
        <item m="1" x="701"/>
        <item x="412"/>
        <item m="1" x="703"/>
        <item x="324"/>
        <item x="325"/>
        <item m="1" x="908"/>
        <item m="1" x="738"/>
        <item x="384"/>
        <item m="1" x="909"/>
        <item x="388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x="395"/>
        <item x="396"/>
        <item m="1" x="781"/>
        <item x="20"/>
        <item m="1" x="433"/>
        <item m="1" x="438"/>
        <item m="1" x="439"/>
        <item m="1" x="430"/>
        <item m="1" x="431"/>
        <item m="1" x="432"/>
        <item m="1" x="449"/>
        <item m="1" x="450"/>
        <item m="1" x="444"/>
        <item m="1" x="452"/>
        <item m="1" x="454"/>
        <item m="1" x="467"/>
        <item m="1" x="459"/>
        <item x="63"/>
        <item m="1" x="478"/>
        <item x="77"/>
        <item m="1" x="515"/>
        <item x="382"/>
        <item m="1" x="519"/>
        <item x="95"/>
        <item m="1" x="532"/>
        <item x="134"/>
        <item x="149"/>
        <item x="150"/>
        <item m="1" x="540"/>
        <item x="164"/>
        <item x="163"/>
        <item x="170"/>
        <item x="139"/>
        <item m="1" x="577"/>
        <item x="182"/>
        <item m="1" x="561"/>
        <item m="1" x="580"/>
        <item m="1" x="581"/>
        <item m="1" x="590"/>
        <item m="1" x="586"/>
        <item m="1" x="592"/>
        <item x="199"/>
        <item m="1" x="594"/>
        <item x="204"/>
        <item m="1" x="632"/>
        <item x="254"/>
        <item m="1" x="617"/>
        <item m="1" x="626"/>
        <item x="266"/>
        <item m="1" x="644"/>
        <item m="1" x="647"/>
        <item m="1" x="649"/>
        <item m="1" x="643"/>
        <item m="1" x="634"/>
        <item m="1" x="651"/>
        <item m="1" x="807"/>
        <item m="1" x="808"/>
        <item m="1" x="812"/>
        <item m="1" x="813"/>
        <item x="309"/>
        <item m="1" x="815"/>
        <item m="1" x="817"/>
        <item m="1" x="819"/>
        <item m="1" x="820"/>
        <item m="1" x="821"/>
        <item m="1" x="822"/>
        <item m="1" x="823"/>
        <item m="1" x="824"/>
        <item m="1" x="825"/>
        <item m="1" x="675"/>
        <item m="1" x="827"/>
        <item m="1" x="828"/>
        <item m="1" x="829"/>
        <item m="1" x="830"/>
        <item m="1" x="831"/>
        <item x="338"/>
        <item m="1" x="832"/>
        <item x="366"/>
        <item x="369"/>
        <item m="1" x="835"/>
        <item m="1" x="747"/>
        <item m="1" x="836"/>
        <item m="1" x="837"/>
        <item m="1" x="838"/>
        <item m="1" x="839"/>
        <item m="1" x="841"/>
        <item x="229"/>
        <item m="1" x="842"/>
        <item x="33"/>
        <item m="1" x="843"/>
        <item m="1" x="844"/>
        <item m="1" x="762"/>
        <item m="1" x="845"/>
        <item m="1" x="846"/>
        <item x="405"/>
        <item x="411"/>
        <item m="1" x="421"/>
        <item x="12"/>
        <item m="1" x="426"/>
        <item m="1" x="427"/>
        <item m="1" x="428"/>
        <item m="1" x="434"/>
        <item m="1" x="436"/>
        <item m="1" x="437"/>
        <item x="34"/>
        <item x="32"/>
        <item m="1" x="442"/>
        <item m="1" x="445"/>
        <item m="1" x="446"/>
        <item m="1" x="447"/>
        <item m="1" x="448"/>
        <item x="48"/>
        <item m="1" x="457"/>
        <item m="1" x="466"/>
        <item m="1" x="468"/>
        <item m="1" x="470"/>
        <item m="1" x="471"/>
        <item m="1" x="472"/>
        <item m="1" x="473"/>
        <item x="213"/>
        <item x="214"/>
        <item m="1" x="474"/>
        <item m="1" x="475"/>
        <item m="1" x="476"/>
        <item m="1" x="477"/>
        <item x="61"/>
        <item m="1" x="480"/>
        <item m="1" x="481"/>
        <item m="1" x="482"/>
        <item m="1" x="483"/>
        <item m="1" x="484"/>
        <item m="1" x="485"/>
        <item m="1" x="486"/>
        <item m="1" x="487"/>
        <item m="1" x="491"/>
        <item m="1" x="492"/>
        <item m="1" x="495"/>
        <item x="74"/>
        <item m="1" x="499"/>
        <item x="84"/>
        <item m="1" x="508"/>
        <item m="1" x="513"/>
        <item x="98"/>
        <item x="97"/>
        <item x="124"/>
        <item m="1" x="523"/>
        <item x="145"/>
        <item m="1" x="531"/>
        <item x="146"/>
        <item x="158"/>
        <item x="125"/>
        <item x="126"/>
        <item x="133"/>
        <item m="1" x="556"/>
        <item m="1" x="558"/>
        <item m="1" x="559"/>
        <item m="1" x="565"/>
        <item m="1" x="566"/>
        <item m="1" x="575"/>
        <item m="1" x="576"/>
        <item m="1" x="593"/>
        <item x="201"/>
        <item x="202"/>
        <item x="203"/>
        <item x="206"/>
        <item m="1" x="603"/>
        <item x="198"/>
        <item m="1" x="605"/>
        <item x="205"/>
        <item x="392"/>
        <item m="1" x="618"/>
        <item m="1" x="625"/>
        <item x="225"/>
        <item m="1" x="631"/>
        <item x="226"/>
        <item x="210"/>
        <item x="211"/>
        <item x="212"/>
        <item x="215"/>
        <item x="216"/>
        <item x="217"/>
        <item x="218"/>
        <item x="120"/>
        <item x="219"/>
        <item m="1" x="633"/>
        <item x="247"/>
        <item x="248"/>
        <item x="249"/>
        <item x="250"/>
        <item x="251"/>
        <item x="252"/>
        <item x="227"/>
        <item x="228"/>
        <item m="1" x="637"/>
        <item m="1" x="641"/>
        <item m="1" x="642"/>
        <item m="1" x="648"/>
        <item m="1" x="652"/>
        <item m="1" x="655"/>
        <item m="1" x="656"/>
        <item m="1" x="657"/>
        <item m="1" x="658"/>
        <item m="1" x="659"/>
        <item m="1" x="660"/>
        <item m="1" x="661"/>
        <item m="1" x="662"/>
        <item m="1" x="665"/>
        <item x="397"/>
        <item m="1" x="666"/>
        <item m="1" x="667"/>
        <item m="1" x="668"/>
        <item m="1" x="669"/>
        <item m="1" x="670"/>
        <item m="1" x="671"/>
        <item m="1" x="672"/>
        <item m="1" x="674"/>
        <item m="1" x="676"/>
        <item m="1" x="678"/>
        <item m="1" x="679"/>
        <item x="123"/>
        <item m="1" x="680"/>
        <item m="1" x="681"/>
        <item x="344"/>
        <item m="1" x="684"/>
        <item m="1" x="685"/>
        <item m="1" x="687"/>
        <item m="1" x="688"/>
        <item m="1" x="689"/>
        <item m="1" x="690"/>
        <item m="1" x="691"/>
        <item m="1" x="695"/>
        <item m="1" x="697"/>
        <item m="1" x="698"/>
        <item m="1" x="699"/>
        <item m="1" x="700"/>
        <item m="1" x="707"/>
        <item m="1" x="708"/>
        <item m="1" x="709"/>
        <item m="1" x="715"/>
        <item m="1" x="716"/>
        <item x="348"/>
        <item m="1" x="718"/>
        <item m="1" x="719"/>
        <item m="1" x="720"/>
        <item m="1" x="721"/>
        <item m="1" x="722"/>
        <item m="1" x="723"/>
        <item m="1" x="724"/>
        <item m="1" x="725"/>
        <item x="323"/>
        <item m="1" x="728"/>
        <item m="1" x="729"/>
        <item m="1" x="730"/>
        <item x="327"/>
        <item m="1" x="731"/>
        <item m="1" x="733"/>
        <item x="343"/>
        <item x="362"/>
        <item x="367"/>
        <item m="1" x="734"/>
        <item m="1" x="736"/>
        <item m="1" x="737"/>
        <item x="373"/>
        <item m="1" x="739"/>
        <item x="377"/>
        <item m="1" x="741"/>
        <item m="1" x="748"/>
        <item x="390"/>
        <item x="391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4"/>
        <item x="402"/>
        <item m="1" x="775"/>
        <item m="1" x="777"/>
        <item x="409"/>
        <item x="413"/>
        <item x="7"/>
        <item x="8"/>
        <item x="9"/>
        <item x="10"/>
        <item x="18"/>
        <item x="23"/>
        <item x="28"/>
        <item x="29"/>
        <item x="35"/>
        <item x="36"/>
        <item x="39"/>
        <item x="50"/>
        <item x="51"/>
        <item x="54"/>
        <item x="56"/>
        <item x="57"/>
        <item x="62"/>
        <item x="86"/>
        <item x="100"/>
        <item x="101"/>
        <item x="102"/>
        <item x="103"/>
        <item x="107"/>
        <item x="108"/>
        <item x="109"/>
        <item x="116"/>
        <item x="121"/>
        <item x="122"/>
        <item x="131"/>
        <item x="171"/>
        <item x="172"/>
        <item x="173"/>
        <item x="174"/>
        <item x="175"/>
        <item x="176"/>
        <item x="184"/>
        <item x="185"/>
        <item x="187"/>
        <item x="193"/>
        <item x="208"/>
        <item x="209"/>
        <item x="220"/>
        <item x="221"/>
        <item x="222"/>
        <item x="223"/>
        <item x="224"/>
        <item x="246"/>
        <item x="255"/>
        <item x="256"/>
        <item x="257"/>
        <item x="258"/>
        <item x="259"/>
        <item x="263"/>
        <item x="267"/>
        <item x="268"/>
        <item x="269"/>
        <item x="270"/>
        <item x="274"/>
        <item x="275"/>
        <item x="278"/>
        <item x="281"/>
        <item x="284"/>
        <item x="290"/>
        <item x="291"/>
        <item x="292"/>
        <item x="293"/>
        <item x="294"/>
        <item x="295"/>
        <item x="296"/>
        <item x="297"/>
        <item x="299"/>
        <item x="301"/>
        <item x="302"/>
        <item x="303"/>
        <item x="304"/>
        <item x="312"/>
        <item x="313"/>
        <item x="314"/>
        <item x="317"/>
        <item x="318"/>
        <item x="319"/>
        <item x="320"/>
        <item x="321"/>
        <item x="322"/>
        <item x="326"/>
        <item x="328"/>
        <item x="329"/>
        <item x="330"/>
        <item x="331"/>
        <item x="332"/>
        <item x="333"/>
        <item x="334"/>
        <item x="336"/>
        <item x="340"/>
        <item x="341"/>
        <item x="342"/>
        <item x="345"/>
        <item x="346"/>
        <item x="347"/>
        <item x="349"/>
        <item x="350"/>
        <item x="351"/>
        <item x="353"/>
        <item x="355"/>
        <item x="356"/>
        <item x="357"/>
        <item x="359"/>
        <item x="360"/>
        <item x="361"/>
        <item x="363"/>
        <item x="370"/>
        <item x="371"/>
        <item x="374"/>
        <item x="375"/>
        <item x="376"/>
        <item x="386"/>
        <item x="387"/>
        <item x="393"/>
        <item x="398"/>
        <item x="401"/>
        <item x="406"/>
        <item x="40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6"/>
        <item m="1" x="1613"/>
        <item m="1" x="936"/>
        <item m="1" x="1342"/>
        <item m="1" x="1897"/>
        <item m="1" x="2376"/>
        <item m="1" x="3192"/>
        <item m="1" x="1868"/>
        <item x="177"/>
        <item x="276"/>
        <item m="1" x="5718"/>
        <item x="3"/>
        <item x="274"/>
        <item x="162"/>
        <item x="260"/>
        <item x="132"/>
        <item m="1" x="640"/>
        <item m="1" x="6537"/>
        <item m="1" x="891"/>
        <item x="170"/>
        <item m="1" x="1589"/>
        <item m="1" x="852"/>
        <item x="347"/>
        <item x="250"/>
        <item m="1" x="1363"/>
        <item m="1" x="1709"/>
        <item x="214"/>
        <item m="1" x="1788"/>
        <item x="429"/>
        <item m="1" x="853"/>
        <item m="1" x="1484"/>
        <item m="1" x="811"/>
        <item m="1" x="2324"/>
        <item m="1" x="2788"/>
        <item m="1" x="5129"/>
        <item x="424"/>
        <item m="1" x="786"/>
        <item x="435"/>
        <item x="144"/>
        <item m="1" x="7055"/>
        <item x="246"/>
        <item m="1" x="6058"/>
        <item h="1" x="87"/>
        <item m="1" x="860"/>
        <item x="240"/>
        <item x="8"/>
        <item m="1" x="546"/>
        <item m="1" x="516"/>
        <item m="1" x="2202"/>
        <item x="189"/>
        <item m="1" x="2911"/>
        <item m="1" x="1359"/>
        <item m="1" x="5320"/>
        <item m="1" x="1094"/>
        <item x="135"/>
        <item x="305"/>
        <item m="1" x="1110"/>
        <item x="204"/>
        <item m="1" x="1844"/>
        <item m="1" x="576"/>
        <item m="1" x="7293"/>
        <item m="1" x="713"/>
        <item m="1" x="4198"/>
        <item m="1" x="1828"/>
        <item m="1" x="3064"/>
        <item m="1" x="2692"/>
        <item m="1" x="4326"/>
        <item x="33"/>
        <item m="1" x="1103"/>
        <item m="1" x="1849"/>
        <item x="256"/>
        <item m="1" x="770"/>
        <item m="1" x="2812"/>
        <item m="1" x="805"/>
        <item m="1" x="3180"/>
        <item x="142"/>
        <item m="1" x="1916"/>
        <item x="203"/>
        <item x="65"/>
        <item m="1" x="785"/>
        <item x="403"/>
        <item h="1" m="1" x="958"/>
        <item h="1" m="1" x="1785"/>
        <item x="307"/>
        <item h="1" m="1" x="848"/>
        <item h="1" x="278"/>
        <item h="1" m="1" x="476"/>
        <item h="1" x="10"/>
        <item h="1" x="217"/>
        <item h="1" m="1" x="1578"/>
        <item h="1" m="1" x="2995"/>
        <item h="1" x="327"/>
        <item h="1" m="1" x="858"/>
        <item h="1" x="11"/>
        <item h="1" m="1" x="2029"/>
        <item h="1" m="1" x="1466"/>
        <item h="1" m="1" x="847"/>
        <item h="1" m="1" x="2580"/>
        <item h="1" m="1" x="1070"/>
        <item h="1" m="1" x="5606"/>
        <item h="1" m="1" x="2322"/>
        <item h="1" x="220"/>
        <item h="1" m="1" x="1716"/>
        <item h="1" m="1" x="1711"/>
        <item h="1" m="1" x="2543"/>
        <item h="1" m="1" x="2358"/>
        <item h="1" m="1" x="3270"/>
        <item h="1" x="197"/>
        <item h="1" x="271"/>
        <item h="1" m="1" x="3126"/>
        <item h="1" x="423"/>
        <item h="1" m="1" x="5374"/>
        <item h="1" m="1" x="469"/>
        <item h="1" x="71"/>
        <item h="1" x="16"/>
        <item h="1" m="1" x="496"/>
        <item h="1" x="255"/>
        <item h="1" x="422"/>
        <item h="1" m="1" x="2150"/>
        <item h="1" m="1" x="1846"/>
        <item h="1" x="194"/>
        <item h="1" x="175"/>
        <item h="1" x="249"/>
        <item h="1" x="27"/>
        <item h="1" m="1" x="1982"/>
        <item h="1" x="218"/>
        <item h="1" m="1" x="2665"/>
        <item h="1" m="1" x="5522"/>
        <item h="1" x="215"/>
        <item h="1" m="1" x="563"/>
        <item h="1" m="1" x="613"/>
        <item h="1" m="1" x="3485"/>
        <item h="1" m="1" x="2343"/>
        <item h="1" m="1" x="950"/>
        <item h="1" x="300"/>
        <item h="1" x="291"/>
        <item h="1" m="1" x="3654"/>
        <item h="1" m="1" x="3520"/>
        <item h="1" m="1" x="3688"/>
        <item h="1" x="225"/>
        <item h="1" x="88"/>
        <item h="1" x="399"/>
        <item h="1" m="1" x="4686"/>
        <item h="1" x="261"/>
        <item h="1" m="1" x="3354"/>
        <item h="1" x="147"/>
        <item h="1" m="1" x="5728"/>
        <item h="1" m="1" x="3184"/>
        <item h="1" m="1" x="1097"/>
        <item h="1" m="1" x="5002"/>
        <item h="1" m="1" x="2232"/>
        <item h="1" m="1" x="5187"/>
        <item h="1" m="1" x="436"/>
        <item h="1" m="1" x="4314"/>
        <item h="1" m="1" x="3911"/>
        <item h="1" m="1" x="5396"/>
        <item h="1" m="1" x="4197"/>
        <item h="1" m="1" x="6326"/>
        <item h="1" m="1" x="2696"/>
        <item h="1" m="1" x="559"/>
        <item h="1" m="1" x="7863"/>
        <item h="1" m="1" x="1872"/>
        <item h="1" m="1" x="1105"/>
        <item h="1" m="1" x="3173"/>
        <item h="1" m="1" x="921"/>
        <item h="1" m="1" x="2634"/>
        <item h="1" m="1" x="7002"/>
        <item h="1" m="1" x="2146"/>
        <item h="1" m="1" x="4017"/>
        <item h="1" m="1" x="5186"/>
        <item h="1" x="266"/>
        <item h="1" m="1" x="6016"/>
        <item h="1" x="124"/>
        <item h="1" m="1" x="3433"/>
        <item h="1" m="1" x="924"/>
        <item h="1" m="1" x="2965"/>
        <item h="1" m="1" x="1942"/>
        <item h="1" m="1" x="7703"/>
        <item h="1" m="1" x="3481"/>
        <item h="1" m="1" x="6987"/>
        <item h="1" m="1" x="1043"/>
        <item h="1" m="1" x="7817"/>
        <item h="1" m="1" x="3876"/>
        <item h="1" m="1" x="3245"/>
        <item h="1" x="12"/>
        <item h="1" m="1" x="7674"/>
        <item h="1" m="1" x="2320"/>
        <item h="1" m="1" x="5010"/>
        <item h="1" m="1" x="3325"/>
        <item h="1" m="1" x="1074"/>
        <item h="1" m="1" x="2566"/>
        <item h="1" m="1" x="2237"/>
        <item h="1" m="1" x="7428"/>
        <item h="1" m="1" x="1717"/>
        <item h="1" m="1" x="5194"/>
        <item h="1" m="1" x="5584"/>
        <item h="1" m="1" x="3038"/>
        <item h="1" x="67"/>
        <item h="1" m="1" x="3287"/>
        <item h="1" m="1" x="6012"/>
        <item h="1" m="1" x="5364"/>
        <item h="1" m="1" x="6866"/>
        <item h="1" m="1" x="2133"/>
        <item h="1" m="1" x="4870"/>
        <item h="1" m="1" x="7765"/>
        <item h="1" m="1" x="838"/>
        <item h="1" m="1" x="4317"/>
        <item h="1" m="1" x="3664"/>
        <item h="1" x="154"/>
        <item h="1" m="1" x="5183"/>
        <item h="1" m="1" x="2424"/>
        <item h="1" m="1" x="7385"/>
        <item h="1" m="1" x="5120"/>
        <item h="1" m="1" x="4397"/>
        <item h="1" m="1" x="7937"/>
        <item h="1" x="168"/>
        <item h="1" m="1" x="7623"/>
        <item h="1" m="1" x="2586"/>
        <item h="1" m="1" x="611"/>
        <item h="1" m="1" x="5000"/>
        <item h="1" x="69"/>
        <item h="1" m="1" x="6692"/>
        <item h="1" m="1" x="5515"/>
        <item h="1" m="1" x="2701"/>
        <item h="1" m="1" x="5355"/>
        <item h="1" m="1" x="3179"/>
        <item h="1" m="1" x="5960"/>
        <item h="1" m="1" x="4772"/>
        <item h="1" m="1" x="1079"/>
        <item h="1" m="1" x="1367"/>
        <item h="1" m="1" x="1875"/>
        <item h="1" m="1" x="3883"/>
        <item h="1" m="1" x="6027"/>
        <item h="1" m="1" x="6996"/>
        <item h="1" m="1" x="7290"/>
        <item h="1" m="1" x="957"/>
        <item h="1" m="1" x="7452"/>
        <item h="1" m="1" x="2790"/>
        <item h="1" m="1" x="2874"/>
        <item h="1" m="1" x="2844"/>
        <item h="1" m="1" x="5673"/>
        <item h="1" m="1" x="1554"/>
        <item h="1" m="1" x="6070"/>
        <item h="1" m="1" x="4181"/>
        <item h="1" m="1" x="752"/>
        <item h="1" m="1" x="2314"/>
        <item h="1" m="1" x="5368"/>
        <item h="1" m="1" x="495"/>
        <item h="1" m="1" x="6013"/>
        <item h="1" m="1" x="2653"/>
        <item h="1" m="1" x="1010"/>
        <item h="1" m="1" x="4855"/>
        <item h="1" m="1" x="5560"/>
        <item h="1" m="1" x="1990"/>
        <item h="1" m="1" x="2010"/>
        <item h="1" m="1" x="5166"/>
        <item h="1" m="1" x="5505"/>
        <item h="1" m="1" x="7250"/>
        <item h="1" m="1" x="7872"/>
        <item h="1" m="1" x="5944"/>
        <item h="1" m="1" x="3533"/>
        <item h="1" m="1" x="5586"/>
        <item h="1" m="1" x="1358"/>
        <item h="1" m="1" x="7613"/>
        <item h="1" m="1" x="3428"/>
        <item h="1" m="1" x="5535"/>
        <item h="1" m="1" x="4914"/>
        <item h="1" m="1" x="3161"/>
        <item h="1" m="1" x="3760"/>
        <item h="1" x="64"/>
        <item h="1" m="1" x="1370"/>
        <item h="1" m="1" x="2550"/>
        <item h="1" m="1" x="5531"/>
        <item h="1" m="1" x="6757"/>
        <item h="1" m="1" x="2639"/>
        <item h="1" m="1" x="6696"/>
        <item h="1" m="1" x="7622"/>
        <item h="1" m="1" x="3787"/>
        <item h="1" m="1" x="2872"/>
        <item h="1" m="1" x="7743"/>
        <item h="1" m="1" x="7750"/>
        <item h="1" m="1" x="5358"/>
        <item h="1" x="7"/>
        <item h="1" m="1" x="5369"/>
        <item h="1" m="1" x="4070"/>
        <item h="1" m="1" x="1989"/>
        <item h="1" m="1" x="2724"/>
        <item h="1" m="1" x="5334"/>
        <item h="1" m="1" x="5849"/>
        <item h="1" m="1" x="3940"/>
        <item h="1" m="1" x="2327"/>
        <item h="1" m="1" x="3753"/>
        <item h="1" m="1" x="7927"/>
        <item h="1" m="1" x="5520"/>
        <item h="1" m="1" x="4987"/>
        <item h="1" m="1" x="3944"/>
        <item h="1" m="1" x="2393"/>
        <item h="1" m="1" x="635"/>
        <item h="1" m="1" x="5632"/>
        <item h="1" m="1" x="4787"/>
        <item h="1" m="1" x="5737"/>
        <item h="1" m="1" x="5174"/>
        <item h="1" m="1" x="6780"/>
        <item h="1" m="1" x="3177"/>
        <item h="1" m="1" x="2855"/>
        <item h="1" m="1" x="525"/>
        <item h="1" m="1" x="1039"/>
        <item h="1" m="1" x="520"/>
        <item h="1" m="1" x="4781"/>
        <item h="1" m="1" x="3755"/>
        <item h="1" m="1" x="7501"/>
        <item h="1" m="1" x="3272"/>
        <item h="1" m="1" x="7616"/>
        <item h="1" m="1" x="1658"/>
        <item h="1" m="1" x="3669"/>
        <item h="1" m="1" x="2690"/>
        <item h="1" m="1" x="5742"/>
        <item h="1" m="1" x="3870"/>
        <item h="1" m="1" x="7614"/>
        <item h="1" m="1" x="804"/>
        <item h="1" m="1" x="5500"/>
        <item h="1" m="1" x="7609"/>
        <item h="1" m="1" x="3271"/>
        <item h="1" m="1" x="7286"/>
        <item h="1" m="1" x="6905"/>
        <item h="1" m="1" x="5850"/>
        <item h="1" m="1" x="2389"/>
        <item h="1" m="1" x="1980"/>
        <item h="1" m="1" x="2392"/>
        <item h="1" m="1" x="6689"/>
        <item h="1" m="1" x="3243"/>
        <item h="1" m="1" x="2328"/>
        <item h="1" m="1" x="6598"/>
        <item h="1" m="1" x="5749"/>
        <item h="1" m="1" x="4668"/>
        <item h="1" m="1" x="7463"/>
        <item h="1" m="1" x="7904"/>
        <item h="1" m="1" x="5645"/>
        <item h="1" m="1" x="7318"/>
        <item h="1" m="1" x="7749"/>
        <item h="1" m="1" x="6929"/>
        <item h="1" m="1" x="511"/>
        <item h="1" m="1" x="4669"/>
        <item h="1" m="1" x="946"/>
        <item h="1" m="1" x="3758"/>
        <item h="1" m="1" x="544"/>
        <item h="1" m="1" x="7840"/>
        <item h="1" m="1" x="2398"/>
        <item h="1" m="1" x="3130"/>
        <item h="1" m="1" x="2992"/>
        <item h="1" m="1" x="7059"/>
        <item h="1" m="1" x="3537"/>
        <item h="1" m="1" x="7441"/>
        <item h="1" m="1" x="680"/>
        <item h="1" m="1" x="7550"/>
        <item h="1" m="1" x="7209"/>
        <item h="1" x="85"/>
        <item h="1" m="1" x="558"/>
        <item h="1" m="1" x="6624"/>
        <item h="1" m="1" x="7048"/>
        <item h="1" m="1" x="2993"/>
        <item h="1" m="1" x="6375"/>
        <item h="1" m="1" x="6517"/>
        <item h="1" m="1" x="4788"/>
        <item h="1" m="1" x="6704"/>
        <item h="1" m="1" x="3045"/>
        <item h="1" m="1" x="6968"/>
        <item h="1" m="1" x="6963"/>
        <item h="1" m="1" x="5135"/>
        <item h="1" m="1" x="4261"/>
        <item h="1" m="1" x="4195"/>
        <item h="1" m="1" x="1860"/>
        <item h="1" m="1" x="6452"/>
        <item h="1" m="1" x="5503"/>
        <item h="1" m="1" x="2909"/>
        <item h="1" m="1" x="1941"/>
        <item h="1" m="1" x="2410"/>
        <item h="1" m="1" x="6454"/>
        <item h="1" m="1" x="4421"/>
        <item h="1" m="1" x="3502"/>
        <item h="1" m="1" x="6875"/>
        <item h="1" m="1" x="7742"/>
        <item h="1" m="1" x="7106"/>
        <item h="1" m="1" x="6907"/>
        <item h="1" m="1" x="3757"/>
        <item h="1" m="1" x="6589"/>
        <item h="1" m="1" x="3809"/>
        <item h="1" m="1" x="7846"/>
        <item h="1" m="1" x="7571"/>
        <item h="1" m="1" x="7307"/>
        <item h="1" m="1" x="6352"/>
        <item h="1" m="1" x="5471"/>
        <item h="1" m="1" x="4193"/>
        <item h="1" m="1" x="3903"/>
        <item h="1" m="1" x="5107"/>
        <item h="1" m="1" x="7725"/>
        <item h="1" m="1" x="6947"/>
        <item h="1" m="1" x="6948"/>
        <item h="1" m="1" x="6381"/>
        <item h="1" m="1" x="5943"/>
        <item h="1" m="1" x="806"/>
        <item h="1" m="1" x="2109"/>
        <item h="1" m="1" x="5323"/>
        <item h="1" m="1" x="6539"/>
        <item h="1" m="1" x="6908"/>
        <item h="1" m="1" x="1124"/>
        <item h="1" m="1" x="5528"/>
        <item h="1" m="1" x="7845"/>
        <item h="1" m="1" x="5004"/>
        <item h="1" m="1" x="6331"/>
        <item h="1" m="1" x="7641"/>
        <item h="1" m="1" x="7760"/>
        <item h="1" m="1" x="7540"/>
        <item h="1" m="1" x="7784"/>
        <item h="1" m="1" x="7539"/>
        <item h="1" m="1" x="5462"/>
        <item h="1" m="1" x="7746"/>
        <item h="1" m="1" x="7914"/>
        <item h="1" m="1" x="2364"/>
        <item h="1" m="1" x="6694"/>
        <item h="1" m="1" x="7794"/>
        <item h="1" m="1" x="6026"/>
        <item h="1" m="1" x="5295"/>
        <item h="1" m="1" x="5168"/>
        <item h="1" m="1" x="2594"/>
        <item h="1" m="1" x="7438"/>
        <item h="1" m="1" x="2116"/>
        <item h="1" m="1" x="5721"/>
        <item h="1" m="1" x="3729"/>
        <item h="1" m="1" x="5921"/>
        <item h="1" x="248"/>
        <item h="1" m="1" x="7706"/>
        <item h="1" m="1" x="5768"/>
        <item h="1" m="1" x="5781"/>
        <item h="1" m="1" x="5770"/>
        <item h="1" m="1" x="486"/>
        <item h="1" m="1" x="6639"/>
        <item h="1" m="1" x="2783"/>
        <item h="1" m="1" x="7772"/>
        <item h="1" m="1" x="6295"/>
        <item h="1" m="1" x="7269"/>
        <item h="1" m="1" x="5855"/>
        <item h="1" m="1" x="6202"/>
        <item h="1" m="1" x="7985"/>
        <item h="1" m="1" x="1747"/>
        <item h="1" m="1" x="7955"/>
        <item h="1" m="1" x="6360"/>
        <item h="1" m="1" x="6355"/>
        <item h="1" m="1" x="7532"/>
        <item h="1" m="1" x="5370"/>
        <item h="1" m="1" x="4242"/>
        <item h="1" m="1" x="4578"/>
        <item h="1" m="1" x="5261"/>
        <item h="1" m="1" x="2390"/>
        <item h="1" m="1" x="6899"/>
        <item h="1" m="1" x="6896"/>
        <item h="1" m="1" x="6294"/>
        <item h="1" m="1" x="4315"/>
        <item h="1" m="1" x="4684"/>
        <item h="1" m="1" x="3925"/>
        <item h="1" m="1" x="3727"/>
        <item h="1" m="1" x="7317"/>
        <item h="1" m="1" x="5885"/>
        <item h="1" m="1" x="3044"/>
        <item h="1" m="1" x="7375"/>
        <item h="1" m="1" x="4067"/>
        <item h="1" m="1" x="7759"/>
        <item h="1" m="1" x="5676"/>
        <item h="1" m="1" x="7716"/>
        <item h="1" m="1" x="5738"/>
        <item h="1" m="1" x="3728"/>
        <item h="1" m="1" x="7207"/>
        <item h="1" m="1" x="6011"/>
        <item h="1" m="1" x="5739"/>
        <item h="1" m="1" x="7321"/>
        <item h="1" m="1" x="3001"/>
        <item h="1" m="1" x="7754"/>
        <item h="1" m="1" x="524"/>
        <item h="1" m="1" x="6189"/>
        <item h="1" m="1" x="1526"/>
        <item h="1" m="1" x="4928"/>
        <item h="1" m="1" x="7169"/>
        <item h="1" m="1" x="6773"/>
        <item h="1" m="1" x="3088"/>
        <item h="1" m="1" x="4737"/>
        <item h="1" m="1" x="3026"/>
        <item h="1" m="1" x="3672"/>
        <item h="1" m="1" x="7373"/>
        <item h="1" m="1" x="6726"/>
        <item h="1" m="1" x="7351"/>
        <item h="1" m="1" x="3775"/>
        <item h="1" m="1" x="4670"/>
        <item h="1" m="1" x="7619"/>
        <item h="1" m="1" x="1249"/>
        <item h="1" m="1" x="7581"/>
        <item h="1" m="1" x="1819"/>
        <item h="1" m="1" x="3059"/>
        <item h="1" m="1" x="1632"/>
        <item h="1" m="1" x="4989"/>
        <item h="1" m="1" x="7521"/>
        <item h="1" m="1" x="4366"/>
        <item h="1" m="1" x="2136"/>
        <item h="1" m="1" x="2666"/>
        <item h="1" m="1" x="2008"/>
        <item h="1" m="1" x="7946"/>
        <item h="1" m="1" x="7464"/>
        <item h="1" m="1" x="748"/>
        <item h="1" m="1" x="7440"/>
        <item h="1" m="1" x="3808"/>
        <item h="1" m="1" x="5843"/>
        <item h="1" m="1" x="3000"/>
        <item h="1" x="259"/>
        <item h="1" m="1" x="3360"/>
        <item h="1" m="1" x="5430"/>
        <item h="1" m="1" x="3767"/>
        <item h="1" m="1" x="5979"/>
        <item h="1" m="1" x="3377"/>
        <item h="1" m="1" x="3218"/>
        <item h="1" m="1" x="3681"/>
        <item h="1" m="1" x="6394"/>
        <item h="1" m="1" x="4535"/>
        <item h="1" m="1" x="5299"/>
        <item h="1" m="1" x="6893"/>
        <item h="1" m="1" x="2643"/>
        <item h="1" m="1" x="6241"/>
        <item h="1" m="1" x="6395"/>
        <item h="1" m="1" x="3247"/>
        <item h="1" m="1" x="3517"/>
        <item h="1" m="1" x="6853"/>
        <item h="1" m="1" x="4069"/>
        <item h="1" m="1" x="7907"/>
        <item h="1" m="1" x="2891"/>
        <item h="1" m="1" x="7095"/>
        <item h="1" m="1" x="2830"/>
        <item h="1" m="1" x="5478"/>
        <item h="1" m="1" x="6940"/>
        <item h="1" m="1" x="4330"/>
        <item h="1" m="1" x="5097"/>
        <item h="1" x="141"/>
        <item h="1" m="1" x="2801"/>
        <item h="1" m="1" x="6565"/>
        <item h="1" m="1" x="7588"/>
        <item h="1" m="1" x="4635"/>
        <item h="1" m="1" x="3108"/>
        <item h="1" m="1" x="7805"/>
        <item h="1" m="1" x="849"/>
        <item h="1" m="1" x="2417"/>
        <item h="1" m="1" x="3357"/>
        <item h="1" m="1" x="2896"/>
        <item h="1" m="1" x="7528"/>
        <item h="1" x="265"/>
        <item h="1" m="1" x="7839"/>
        <item h="1" m="1" x="7771"/>
        <item h="1" m="1" x="2151"/>
        <item h="1" m="1" x="6256"/>
        <item h="1" m="1" x="6849"/>
        <item h="1" m="1" x="2306"/>
        <item h="1" m="1" x="3140"/>
        <item h="1" m="1" x="6943"/>
        <item h="1" m="1" x="5045"/>
        <item h="1" m="1" x="7838"/>
        <item h="1" m="1" x="4777"/>
        <item h="1" m="1" x="7866"/>
        <item h="1" m="1" x="6398"/>
        <item h="1" m="1" x="7697"/>
        <item h="1" m="1" x="5539"/>
        <item h="1" m="1" x="3201"/>
        <item h="1" m="1" x="5580"/>
        <item h="1" m="1" x="5536"/>
        <item h="1" m="1" x="6693"/>
        <item h="1" m="1" x="7407"/>
        <item h="1" m="1" x="5946"/>
        <item h="1" m="1" x="3887"/>
        <item h="1" m="1" x="6881"/>
        <item h="1" m="1" x="4204"/>
        <item h="1" m="1" x="3391"/>
        <item h="1" m="1" x="1548"/>
        <item h="1" m="1" x="7100"/>
        <item h="1" m="1" x="1485"/>
        <item h="1" m="1" x="3536"/>
        <item h="1" m="1" x="7430"/>
        <item h="1" m="1" x="7842"/>
        <item h="1" m="1" x="7843"/>
        <item h="1" m="1" x="7841"/>
        <item h="1" m="1" x="5123"/>
        <item h="1" m="1" x="6880"/>
        <item h="1" m="1" x="3474"/>
        <item h="1" m="1" x="1981"/>
        <item h="1" m="1" x="2780"/>
        <item h="1" m="1" x="2917"/>
        <item h="1" m="1" x="5518"/>
        <item h="1" m="1" x="7086"/>
        <item h="1" m="1" x="7844"/>
        <item h="1" m="1" x="7371"/>
        <item h="1" x="252"/>
        <item h="1" m="1" x="2712"/>
        <item h="1" m="1" x="7837"/>
        <item h="1" m="1" x="2642"/>
        <item h="1" m="1" x="6709"/>
        <item h="1" m="1" x="3125"/>
        <item h="1" x="38"/>
        <item h="1" m="1" x="6904"/>
        <item h="1" m="1" x="6873"/>
        <item h="1" m="1" x="7237"/>
        <item h="1" m="1" x="1220"/>
        <item h="1" m="1" x="3464"/>
        <item h="1" m="1" x="2935"/>
        <item h="1" m="1" x="7212"/>
        <item h="1" m="1" x="2822"/>
        <item h="1" m="1" x="4019"/>
        <item h="1" m="1" x="7201"/>
        <item h="1" m="1" x="2684"/>
        <item h="1" m="1" x="7597"/>
        <item h="1" m="1" x="3909"/>
        <item h="1" m="1" x="6850"/>
        <item h="1" m="1" x="6920"/>
        <item h="1" m="1" x="6883"/>
        <item h="1" m="1" x="6898"/>
        <item h="1" m="1" x="6900"/>
        <item h="1" m="1" x="7849"/>
        <item h="1" m="1" x="6930"/>
        <item h="1" m="1" x="7408"/>
        <item h="1" m="1" x="7574"/>
        <item h="1" m="1" x="1965"/>
        <item h="1" m="1" x="6962"/>
        <item h="1" m="1" x="4375"/>
        <item h="1" m="1" x="7938"/>
        <item h="1" m="1" x="1542"/>
        <item h="1" m="1" x="5778"/>
        <item h="1" m="1" x="7011"/>
        <item h="1" m="1" x="2717"/>
        <item h="1" m="1" x="6833"/>
        <item h="1" m="1" x="7485"/>
        <item h="1" m="1" x="7410"/>
        <item h="1" m="1" x="6854"/>
        <item h="1" m="1" x="1388"/>
        <item h="1" m="1" x="6852"/>
        <item h="1" m="1" x="6888"/>
        <item h="1" m="1" x="7848"/>
        <item h="1" m="1" x="6868"/>
        <item h="1" m="1" x="6864"/>
        <item h="1" m="1" x="6865"/>
        <item h="1" m="1" x="3122"/>
        <item h="1" m="1" x="6902"/>
        <item h="1" m="1" x="6909"/>
        <item h="1" m="1" x="6878"/>
        <item h="1" m="1" x="7228"/>
        <item h="1" m="1" x="6935"/>
        <item h="1" m="1" x="6934"/>
        <item h="1" m="1" x="6938"/>
        <item h="1" m="1" x="5508"/>
        <item h="1" m="1" x="7412"/>
        <item h="1" m="1" x="7947"/>
        <item h="1" m="1" x="7847"/>
        <item h="1" m="1" x="773"/>
        <item h="1" m="1" x="2797"/>
        <item h="1" m="1" x="7486"/>
        <item h="1" m="1" x="7409"/>
        <item h="1" m="1" x="4115"/>
        <item h="1" m="1" x="6891"/>
        <item h="1" m="1" x="5640"/>
        <item h="1" m="1" x="2542"/>
        <item h="1" m="1" x="6923"/>
        <item h="1" m="1" x="7411"/>
        <item h="1" m="1" x="5318"/>
        <item h="1" m="1" x="2751"/>
        <item h="1" m="1" x="6953"/>
        <item h="1" m="1" x="7414"/>
        <item h="1" m="1" x="7413"/>
        <item h="1" m="1" x="7415"/>
        <item h="1" m="1" x="1832"/>
        <item h="1" m="1" x="1830"/>
        <item h="1" m="1" x="7322"/>
        <item h="1" m="1" x="5562"/>
        <item h="1" m="1" x="7202"/>
        <item h="1" m="1" x="4910"/>
        <item h="1" m="1" x="7804"/>
        <item h="1" m="1" x="7488"/>
        <item h="1" m="1" x="7645"/>
        <item h="1" m="1" x="7644"/>
        <item h="1" m="1" x="7646"/>
        <item h="1" m="1" x="7854"/>
        <item h="1" m="1" x="7858"/>
        <item h="1" m="1" x="6887"/>
        <item h="1" m="1" x="6879"/>
        <item h="1" m="1" x="7229"/>
        <item h="1" m="1" x="6911"/>
        <item h="1" m="1" x="6912"/>
        <item h="1" m="1" x="6910"/>
        <item h="1" m="1" x="3456"/>
        <item h="1" m="1" x="6945"/>
        <item h="1" m="1" x="7861"/>
        <item h="1" m="1" x="7862"/>
        <item h="1" m="1" x="6954"/>
        <item h="1" x="275"/>
        <item h="1" m="1" x="6965"/>
        <item h="1" m="1" x="5132"/>
        <item h="1" m="1" x="6955"/>
        <item h="1" m="1" x="3027"/>
        <item h="1" m="1" x="7935"/>
        <item h="1" m="1" x="6361"/>
        <item h="1" m="1" x="7608"/>
        <item h="1" m="1" x="2908"/>
        <item h="1" m="1" x="2371"/>
        <item h="1" m="1" x="7487"/>
        <item h="1" m="1" x="6874"/>
        <item h="1" m="1" x="6936"/>
        <item h="1" m="1" x="5495"/>
        <item h="1" m="1" x="7425"/>
        <item h="1" m="1" x="7426"/>
        <item h="1" m="1" x="6961"/>
        <item h="1" m="1" x="7653"/>
        <item h="1" m="1" x="6925"/>
        <item h="1" m="1" x="7492"/>
        <item h="1" m="1" x="6393"/>
        <item h="1" m="1" x="5003"/>
        <item h="1" m="1" x="5988"/>
        <item h="1" x="160"/>
        <item h="1" m="1" x="7493"/>
        <item h="1" m="1" x="7427"/>
        <item h="1" m="1" x="6738"/>
        <item h="1" m="1" x="7924"/>
        <item h="1" m="1" x="6059"/>
        <item h="1" m="1" x="7490"/>
        <item h="1" m="1" x="6855"/>
        <item h="1" m="1" x="6851"/>
        <item h="1" m="1" x="6856"/>
        <item h="1" m="1" x="6860"/>
        <item h="1" m="1" x="6913"/>
        <item h="1" m="1" x="6903"/>
        <item h="1" m="1" x="6901"/>
        <item h="1" m="1" x="6895"/>
        <item h="1" m="1" x="6894"/>
        <item h="1" m="1" x="7933"/>
        <item h="1" m="1" x="6922"/>
        <item h="1" m="1" x="6919"/>
        <item h="1" m="1" x="6862"/>
        <item h="1" m="1" x="6871"/>
        <item h="1" m="1" x="6872"/>
        <item h="1" m="1" x="6890"/>
        <item h="1" m="1" x="6889"/>
        <item h="1" m="1" x="6876"/>
        <item h="1" m="1" x="6892"/>
        <item h="1" m="1" x="6861"/>
        <item h="1" m="1" x="7855"/>
        <item h="1" m="1" x="7856"/>
        <item h="1" m="1" x="6863"/>
        <item h="1" m="1" x="6928"/>
        <item h="1" m="1" x="6933"/>
        <item h="1" m="1" x="6428"/>
        <item h="1" m="1" x="7859"/>
        <item h="1" m="1" x="6937"/>
        <item h="1" m="1" x="7570"/>
        <item h="1" m="1" x="6946"/>
        <item h="1" m="1" x="6956"/>
        <item h="1" m="1" x="6964"/>
        <item h="1" m="1" x="3820"/>
        <item h="1" m="1" x="3572"/>
        <item h="1" m="1" x="2204"/>
        <item h="1" m="1" x="515"/>
        <item h="1" m="1" x="3479"/>
        <item h="1" m="1" x="7698"/>
        <item h="1" m="1" x="7416"/>
        <item h="1" m="1" x="6877"/>
        <item h="1" m="1" x="6882"/>
        <item h="1" m="1" x="6869"/>
        <item h="1" m="1" x="6886"/>
        <item h="1" m="1" x="6915"/>
        <item h="1" m="1" x="7699"/>
        <item h="1" m="1" x="7857"/>
        <item h="1" m="1" x="6870"/>
        <item h="1" m="1" x="7860"/>
        <item h="1" m="1" x="7936"/>
        <item h="1" m="1" x="5705"/>
        <item h="1" m="1" x="5510"/>
        <item h="1" m="1" x="5322"/>
        <item h="1" m="1" x="4152"/>
        <item h="1" m="1" x="7484"/>
        <item h="1" m="1" x="7642"/>
        <item h="1" m="1" x="5529"/>
        <item h="1" m="1" x="4927"/>
        <item h="1" m="1" x="7853"/>
        <item h="1" m="1" x="7421"/>
        <item h="1" m="1" x="6906"/>
        <item h="1" m="1" x="6939"/>
        <item h="1" m="1" x="6941"/>
        <item h="1" m="1" x="3273"/>
        <item h="1" m="1" x="7423"/>
        <item h="1" m="1" x="6838"/>
        <item h="1" m="1" x="6837"/>
        <item h="1" m="1" x="6839"/>
        <item h="1" m="1" x="6261"/>
        <item h="1" m="1" x="7419"/>
        <item h="1" m="1" x="6921"/>
        <item h="1" m="1" x="6408"/>
        <item h="1" m="1" x="7714"/>
        <item h="1" m="1" x="7943"/>
        <item h="1" m="1" x="7944"/>
        <item h="1" m="1" x="7945"/>
        <item h="1" m="1" x="7806"/>
        <item h="1" m="1" x="7643"/>
        <item h="1" m="1" x="7919"/>
        <item h="1" m="1" x="7920"/>
        <item h="1" m="1" x="7851"/>
        <item h="1" m="1" x="7850"/>
        <item h="1" m="1" x="7953"/>
        <item h="1" m="1" x="7921"/>
        <item h="1" m="1" x="7964"/>
        <item h="1" m="1" x="7852"/>
        <item h="1" m="1" x="7926"/>
        <item h="1" m="1" x="1778"/>
        <item h="1" m="1" x="7923"/>
        <item h="1" m="1" x="7922"/>
        <item h="1" m="1" x="7957"/>
        <item h="1" m="1" x="7928"/>
        <item h="1" m="1" x="3873"/>
        <item h="1" m="1" x="7925"/>
        <item h="1" m="1" x="7929"/>
        <item h="1" m="1" x="7930"/>
        <item h="1" m="1" x="7977"/>
        <item h="1" m="1" x="7979"/>
        <item h="1" m="1" x="6541"/>
        <item h="1" m="1" x="6439"/>
        <item h="1" m="1" x="7989"/>
        <item h="1" m="1" x="7994"/>
        <item h="1" m="1" x="7931"/>
        <item h="1" m="1" x="7997"/>
        <item h="1" m="1" x="7932"/>
        <item h="1" x="273"/>
        <item h="1" m="1" x="7239"/>
        <item h="1" m="1" x="6831"/>
        <item h="1" m="1" x="6832"/>
        <item h="1" m="1" x="4213"/>
        <item h="1" m="1" x="7489"/>
        <item h="1" m="1" x="7491"/>
        <item h="1" m="1" x="7149"/>
        <item h="1" m="1" x="1978"/>
        <item h="1" m="1" x="7417"/>
        <item h="1" m="1" x="7420"/>
        <item h="1" m="1" x="7418"/>
        <item h="1" m="1" x="4459"/>
        <item h="1" m="1" x="6942"/>
        <item h="1" m="1" x="4676"/>
        <item h="1" m="1" x="7494"/>
        <item h="1" m="1" x="7429"/>
        <item h="1" m="1" x="7424"/>
        <item h="1" m="1" x="2604"/>
        <item h="1" m="1" x="7422"/>
        <item h="1" m="1" x="6974"/>
        <item h="1" m="1" x="5127"/>
        <item h="1" m="1" x="6884"/>
        <item h="1" m="1" x="6885"/>
        <item h="1" m="1" x="7918"/>
        <item h="1" m="1" x="7934"/>
        <item h="1" m="1" x="6988"/>
        <item h="1" m="1" x="2042"/>
        <item h="1" m="1" x="7869"/>
        <item h="1" m="1" x="7949"/>
        <item h="1" m="1" x="7950"/>
        <item h="1" m="1" x="7823"/>
        <item h="1" m="1" x="2804"/>
        <item h="1" m="1" x="7066"/>
        <item h="1" m="1" x="7965"/>
        <item h="1" m="1" x="7956"/>
        <item h="1" m="1" x="7963"/>
        <item h="1" m="1" x="7360"/>
        <item h="1" m="1" x="7966"/>
        <item h="1" m="1" x="7980"/>
        <item h="1" m="1" x="7978"/>
        <item h="1" m="1" x="7984"/>
        <item h="1" m="1" x="7099"/>
        <item h="1" m="1" x="7990"/>
        <item h="1" m="1" x="7884"/>
        <item h="1" m="1" x="7995"/>
        <item h="1" m="1" x="7996"/>
        <item h="1" m="1" x="7998"/>
        <item h="1" m="1" x="7999"/>
        <item h="1" m="1" x="783"/>
        <item h="1" m="1" x="5514"/>
        <item h="1" m="1" x="7723"/>
        <item h="1" m="1" x="4357"/>
        <item h="1" m="1" x="4369"/>
        <item h="1" m="1" x="7148"/>
        <item h="1" m="1" x="3756"/>
        <item h="1" m="1" x="4426"/>
        <item h="1" m="1" x="4425"/>
        <item h="1" m="1" x="4424"/>
        <item h="1" m="1" x="2214"/>
        <item h="1" m="1" x="6969"/>
        <item h="1" m="1" x="7734"/>
        <item h="1" m="1" x="7740"/>
        <item h="1" m="1" x="7667"/>
        <item h="1" m="1" x="7701"/>
        <item h="1" m="1" x="7939"/>
        <item h="1" m="1" x="7940"/>
        <item h="1" m="1" x="789"/>
        <item h="1" m="1" x="7941"/>
        <item h="1" m="1" x="7942"/>
        <item h="1" m="1" x="7948"/>
        <item h="1" m="1" x="7231"/>
        <item h="1" m="1" x="7232"/>
        <item h="1" m="1" x="7233"/>
        <item h="1" m="1" x="7951"/>
        <item h="1" m="1" x="7234"/>
        <item h="1" m="1" x="6622"/>
        <item h="1" m="1" x="7235"/>
        <item h="1" m="1" x="7952"/>
        <item h="1" m="1" x="2137"/>
        <item h="1" m="1" x="6387"/>
        <item h="1" m="1" x="7702"/>
        <item h="1" m="1" x="7809"/>
        <item h="1" m="1" x="7954"/>
        <item h="1" m="1" x="7958"/>
        <item h="1" m="1" x="7959"/>
        <item h="1" m="1" x="7960"/>
        <item h="1" m="1" x="7961"/>
        <item h="1" m="1" x="7962"/>
        <item h="1" m="1" x="7967"/>
        <item h="1" m="1" x="7968"/>
        <item h="1" m="1" x="7969"/>
        <item h="1" m="1" x="7970"/>
        <item h="1" m="1" x="7971"/>
        <item h="1" m="1" x="7972"/>
        <item h="1" m="1" x="7973"/>
        <item h="1" m="1" x="7974"/>
        <item h="1" m="1" x="7975"/>
        <item h="1" m="1" x="7976"/>
        <item h="1" m="1" x="7981"/>
        <item h="1" m="1" x="7982"/>
        <item h="1" m="1" x="7983"/>
        <item h="1" m="1" x="7986"/>
        <item h="1" m="1" x="7987"/>
        <item h="1" m="1" x="7988"/>
        <item h="1" m="1" x="7991"/>
        <item h="1" m="1" x="7992"/>
        <item h="1" m="1" x="7993"/>
        <item h="1" m="1" x="7816"/>
        <item h="1" m="1" x="7545"/>
        <item h="1" m="1" x="7780"/>
        <item h="1" m="1" x="7509"/>
        <item h="1" m="1" x="7510"/>
        <item h="1" m="1" x="7555"/>
        <item h="1" m="1" x="7891"/>
        <item h="1" m="1" x="7265"/>
        <item h="1" m="1" x="7727"/>
        <item h="1" m="1" x="7879"/>
        <item h="1" m="1" x="7519"/>
        <item h="1" m="1" x="4490"/>
        <item h="1" m="1" x="7724"/>
        <item h="1" m="1" x="5205"/>
        <item h="1" m="1" x="5206"/>
        <item h="1" m="1" x="3977"/>
        <item h="1" m="1" x="7516"/>
        <item h="1" m="1" x="4388"/>
        <item h="1" m="1" x="6715"/>
        <item h="1" m="1" x="4549"/>
        <item h="1" m="1" x="5219"/>
        <item h="1" m="1" x="917"/>
        <item h="1" m="1" x="4346"/>
        <item h="1" m="1" x="7659"/>
        <item h="1" m="1" x="7916"/>
        <item h="1" m="1" x="7498"/>
        <item h="1" m="1" x="6897"/>
        <item h="1" m="1" x="7864"/>
        <item h="1" m="1" x="5290"/>
        <item h="1" m="1" x="7807"/>
        <item h="1" m="1" x="7230"/>
        <item h="1" m="1" x="7865"/>
        <item h="1" m="1" x="7867"/>
        <item h="1" m="1" x="7868"/>
        <item h="1" m="1" x="7870"/>
        <item h="1" m="1" x="7871"/>
        <item h="1" m="1" x="7873"/>
        <item h="1" m="1" x="7812"/>
        <item h="1" m="1" x="7874"/>
        <item h="1" m="1" x="7811"/>
        <item h="1" m="1" x="7875"/>
        <item h="1" m="1" x="7711"/>
        <item h="1" m="1" x="7876"/>
        <item h="1" m="1" x="7877"/>
        <item h="1" m="1" x="3246"/>
        <item h="1" m="1" x="7814"/>
        <item h="1" m="1" x="7878"/>
        <item h="1" m="1" x="7880"/>
        <item h="1" m="1" x="7652"/>
        <item h="1" m="1" x="7881"/>
        <item h="1" m="1" x="7882"/>
        <item h="1" m="1" x="7883"/>
        <item h="1" m="1" x="7885"/>
        <item h="1" m="1" x="7166"/>
        <item h="1" m="1" x="7886"/>
        <item h="1" m="1" x="6443"/>
        <item h="1" m="1" x="7887"/>
        <item h="1" m="1" x="7888"/>
        <item h="1" m="1" x="7889"/>
        <item h="1" m="1" x="7308"/>
        <item h="1" m="1" x="7890"/>
        <item h="1" m="1" x="7892"/>
        <item h="1" m="1" x="7893"/>
        <item h="1" m="1" x="7894"/>
        <item h="1" m="1" x="7895"/>
        <item h="1" m="1" x="7896"/>
        <item h="1" m="1" x="7897"/>
        <item h="1" m="1" x="7238"/>
        <item h="1" m="1" x="7898"/>
        <item h="1" m="1" x="7720"/>
        <item h="1" m="1" x="7721"/>
        <item h="1" m="1" x="7722"/>
        <item h="1" m="1" x="7899"/>
        <item h="1" m="1" x="4429"/>
        <item h="1" m="1" x="4427"/>
        <item h="1" m="1" x="7900"/>
        <item h="1" m="1" x="7901"/>
        <item h="1" m="1" x="7902"/>
        <item h="1" m="1" x="7903"/>
        <item h="1" m="1" x="4494"/>
        <item h="1" m="1" x="4428"/>
        <item h="1" m="1" x="4245"/>
        <item h="1" m="1" x="7905"/>
        <item h="1" m="1" x="7906"/>
        <item h="1" m="1" x="7818"/>
        <item h="1" m="1" x="7819"/>
        <item h="1" m="1" x="7908"/>
        <item h="1" m="1" x="7665"/>
        <item h="1" m="1" x="7909"/>
        <item h="1" m="1" x="7731"/>
        <item h="1" m="1" x="7729"/>
        <item h="1" m="1" x="7730"/>
        <item h="1" m="1" x="7910"/>
        <item h="1" m="1" x="7911"/>
        <item h="1" m="1" x="7912"/>
        <item h="1" m="1" x="7913"/>
        <item h="1" m="1" x="7446"/>
        <item h="1" m="1" x="7664"/>
        <item h="1" m="1" x="7733"/>
        <item h="1" m="1" x="7915"/>
        <item h="1" m="1" x="7917"/>
        <item h="1" m="1" x="7582"/>
        <item h="1" m="1" x="7808"/>
        <item h="1" m="1" x="7708"/>
        <item h="1" m="1" x="7810"/>
        <item h="1" m="1" x="7704"/>
        <item h="1" m="1" x="7306"/>
        <item h="1" m="1" x="7705"/>
        <item h="1" m="1" x="7710"/>
        <item h="1" m="1" x="7707"/>
        <item h="1" m="1" x="7712"/>
        <item h="1" m="1" x="7587"/>
        <item h="1" m="1" x="7648"/>
        <item h="1" m="1" x="7649"/>
        <item h="1" m="1" x="7813"/>
        <item h="1" m="1" x="7815"/>
        <item h="1" m="1" x="7084"/>
        <item h="1" m="1" x="2975"/>
        <item h="1" m="1" x="7125"/>
        <item h="1" m="1" x="7715"/>
        <item h="1" m="1" x="7739"/>
        <item h="1" m="1" x="7168"/>
        <item h="1" m="1" x="7717"/>
        <item h="1" m="1" x="7718"/>
        <item h="1" m="1" x="4584"/>
        <item h="1" m="1" x="7719"/>
        <item h="1" m="1" x="7593"/>
        <item h="1" m="1" x="6714"/>
        <item h="1" m="1" x="4495"/>
        <item h="1" m="1" x="5093"/>
        <item h="1" m="1" x="4466"/>
        <item h="1" m="1" x="7658"/>
        <item h="1" m="1" x="7726"/>
        <item h="1" m="1" x="7660"/>
        <item h="1" m="1" x="7442"/>
        <item h="1" m="1" x="7596"/>
        <item h="1" m="1" x="6660"/>
        <item h="1" m="1" x="7738"/>
        <item h="1" m="1" x="7732"/>
        <item h="1" m="1" x="7310"/>
        <item h="1" m="1" x="7820"/>
        <item h="1" m="1" x="7523"/>
        <item h="1" m="1" x="7821"/>
        <item h="1" m="1" x="7612"/>
        <item h="1" m="1" x="7745"/>
        <item h="1" m="1" x="7748"/>
        <item h="1" m="1" x="7500"/>
        <item h="1" m="1" x="7822"/>
        <item h="1" m="1" x="6656"/>
        <item h="1" m="1" x="7647"/>
        <item h="1" m="1" x="7824"/>
        <item h="1" m="1" x="7825"/>
        <item h="1" m="1" x="7586"/>
        <item h="1" m="1" x="7709"/>
        <item h="1" m="1" x="7776"/>
        <item h="1" m="1" x="7741"/>
        <item h="1" m="1" x="7713"/>
        <item h="1" m="1" x="7654"/>
        <item h="1" m="1" x="7167"/>
        <item h="1" m="1" x="4819"/>
        <item h="1" m="1" x="7779"/>
        <item h="1" m="1" x="5551"/>
        <item h="1" m="1" x="910"/>
        <item h="1" m="1" x="7656"/>
        <item h="1" m="1" x="1845"/>
        <item h="1" m="1" x="7141"/>
        <item h="1" m="1" x="7787"/>
        <item h="1" m="1" x="7786"/>
        <item h="1" m="1" x="6662"/>
        <item h="1" m="1" x="6518"/>
        <item h="1" m="1" x="7826"/>
        <item h="1" m="1" x="7827"/>
        <item h="1" m="1" x="7828"/>
        <item h="1" m="1" x="7829"/>
        <item h="1" m="1" x="7830"/>
        <item h="1" m="1" x="7434"/>
        <item h="1" m="1" x="7831"/>
        <item h="1" m="1" x="6526"/>
        <item h="1" m="1" x="6950"/>
        <item h="1" m="1" x="7735"/>
        <item h="1" m="1" x="7736"/>
        <item h="1" m="1" x="7737"/>
        <item h="1" m="1" x="7832"/>
        <item h="1" m="1" x="7833"/>
        <item h="1" m="1" x="7800"/>
        <item h="1" m="1" x="7834"/>
        <item h="1" m="1" x="7835"/>
        <item h="1" m="1" x="7443"/>
        <item h="1" m="1" x="7444"/>
        <item h="1" m="1" x="7836"/>
        <item h="1" m="1" x="7744"/>
        <item h="1" m="1" x="7728"/>
        <item h="1" m="1" x="7524"/>
        <item h="1" m="1" x="7700"/>
        <item h="1" m="1" x="7124"/>
        <item h="1" m="1" x="6521"/>
        <item h="1" m="1" x="7603"/>
        <item h="1" m="1" x="7758"/>
        <item h="1" m="1" x="7747"/>
        <item h="1" m="1" x="6980"/>
        <item h="1" m="1" x="7751"/>
        <item h="1" m="1" x="7752"/>
        <item h="1" m="1" x="7753"/>
        <item h="1" m="1" x="7432"/>
        <item h="1" m="1" x="7755"/>
        <item h="1" m="1" x="6690"/>
        <item h="1" m="1" x="6755"/>
        <item h="1" m="1" x="7756"/>
        <item h="1" m="1" x="7757"/>
        <item h="1" m="1" x="7778"/>
        <item h="1" m="1" x="7761"/>
        <item h="1" m="1" x="7762"/>
        <item h="1" m="1" x="7763"/>
        <item h="1" m="1" x="7764"/>
        <item h="1" m="1" x="7165"/>
        <item h="1" m="1" x="7766"/>
        <item h="1" m="1" x="7767"/>
        <item h="1" m="1" x="7650"/>
        <item h="1" m="1" x="7768"/>
        <item h="1" m="1" x="7769"/>
        <item h="1" m="1" x="7770"/>
        <item h="1" m="1" x="7773"/>
        <item h="1" m="1" x="7774"/>
        <item h="1" m="1" x="7651"/>
        <item h="1" m="1" x="7098"/>
        <item h="1" m="1" x="7675"/>
        <item h="1" m="1" x="7775"/>
        <item h="1" m="1" x="7678"/>
        <item h="1" m="1" x="7777"/>
        <item h="1" m="1" x="7781"/>
        <item h="1" m="1" x="4576"/>
        <item h="1" m="1" x="7782"/>
        <item h="1" m="1" x="7783"/>
        <item h="1" m="1" x="1420"/>
        <item h="1" m="1" x="4675"/>
        <item h="1" m="1" x="7655"/>
        <item h="1" m="1" x="7785"/>
        <item h="1" m="1" x="7589"/>
        <item h="1" m="1" x="7788"/>
        <item h="1" m="1" x="7789"/>
        <item h="1" m="1" x="7309"/>
        <item h="1" m="1" x="7790"/>
        <item h="1" m="1" x="7517"/>
        <item h="1" m="1" x="7791"/>
        <item h="1" m="1" x="7792"/>
        <item h="1" m="1" x="7793"/>
        <item h="1" m="1" x="7436"/>
        <item h="1" m="1" x="7795"/>
        <item h="1" m="1" x="7796"/>
        <item h="1" m="1" x="6664"/>
        <item h="1" m="1" x="7591"/>
        <item h="1" m="1" x="7592"/>
        <item h="1" m="1" x="7797"/>
        <item h="1" m="1" x="7657"/>
        <item h="1" m="1" x="7798"/>
        <item h="1" m="1" x="4551"/>
        <item h="1" m="1" x="4370"/>
        <item h="1" m="1" x="7594"/>
        <item h="1" m="1" x="7799"/>
        <item h="1" m="1" x="7661"/>
        <item h="1" m="1" x="7662"/>
        <item h="1" m="1" x="7801"/>
        <item h="1" m="1" x="7663"/>
        <item h="1" m="1" x="7802"/>
        <item h="1" m="1" x="7598"/>
        <item h="1" m="1" x="7599"/>
        <item h="1" m="1" x="7605"/>
        <item h="1" m="1" x="7607"/>
        <item h="1" m="1" x="7803"/>
        <item h="1" m="1" x="7666"/>
        <item h="1" m="1" x="5488"/>
        <item h="1" m="1" x="7669"/>
        <item h="1" m="1" x="7668"/>
        <item h="1" m="1" x="7640"/>
        <item h="1" m="1" x="7670"/>
        <item h="1" m="1" x="7671"/>
        <item h="1" m="1" x="7672"/>
        <item h="1" m="1" x="7673"/>
        <item h="1" m="1" x="6985"/>
        <item h="1" m="1" x="6986"/>
        <item h="1" m="1" x="7583"/>
        <item h="1" m="1" x="7584"/>
        <item h="1" m="1" x="7585"/>
        <item h="1" m="1" x="2847"/>
        <item h="1" m="1" x="7085"/>
        <item h="1" m="1" x="7676"/>
        <item h="1" m="1" x="7499"/>
        <item h="1" m="1" x="1557"/>
        <item h="1" m="1" x="7677"/>
        <item h="1" m="1" x="6448"/>
        <item h="1" m="1" x="7679"/>
        <item h="1" m="1" x="7680"/>
        <item h="1" m="1" x="7254"/>
        <item h="1" m="1" x="7681"/>
        <item h="1" m="1" x="1745"/>
        <item h="1" m="1" x="4476"/>
        <item h="1" m="1" x="7263"/>
        <item h="1" m="1" x="7264"/>
        <item h="1" m="1" x="7590"/>
        <item h="1" m="1" x="4601"/>
        <item h="1" m="1" x="5256"/>
        <item h="1" m="1" x="7511"/>
        <item h="1" m="1" x="7515"/>
        <item h="1" m="1" x="7513"/>
        <item h="1" m="1" x="7514"/>
        <item h="1" m="1" x="6017"/>
        <item h="1" m="1" x="7512"/>
        <item h="1" m="1" x="7682"/>
        <item h="1" m="1" x="7683"/>
        <item h="1" m="1" x="7684"/>
        <item h="1" m="1" x="7685"/>
        <item h="1" m="1" x="7686"/>
        <item h="1" m="1" x="7439"/>
        <item h="1" m="1" x="7437"/>
        <item h="1" m="1" x="7687"/>
        <item h="1" m="1" x="7688"/>
        <item h="1" m="1" x="7689"/>
        <item h="1" m="1" x="5695"/>
        <item h="1" m="1" x="7690"/>
        <item h="1" m="1" x="7691"/>
        <item h="1" m="1" x="7692"/>
        <item h="1" m="1" x="7595"/>
        <item h="1" m="1" x="2652"/>
        <item h="1" m="1" x="7600"/>
        <item h="1" m="1" x="7601"/>
        <item h="1" m="1" x="7445"/>
        <item h="1" m="1" x="7448"/>
        <item h="1" m="1" x="7449"/>
        <item h="1" m="1" x="7693"/>
        <item h="1" m="1" x="7694"/>
        <item h="1" m="1" x="7695"/>
        <item h="1" m="1" x="7696"/>
        <item h="1" m="1" x="7447"/>
        <item h="1" m="1" x="7522"/>
        <item h="1" m="1" x="7602"/>
        <item h="1" m="1" x="7604"/>
        <item h="1" m="1" x="7610"/>
        <item h="1" m="1" x="7611"/>
        <item h="1" m="1" x="5439"/>
        <item h="1" m="1" x="5050"/>
        <item h="1" m="1" x="7049"/>
        <item h="1" m="1" x="7615"/>
        <item h="1" m="1" x="2182"/>
        <item h="1" m="1" x="6288"/>
        <item h="1" m="1" x="7606"/>
        <item h="1" m="1" x="7496"/>
        <item h="1" m="1" x="7497"/>
        <item h="1" m="1" x="7495"/>
        <item h="1" m="1" x="7617"/>
        <item h="1" m="1" x="7618"/>
        <item h="1" m="1" x="7259"/>
        <item h="1" m="1" x="7620"/>
        <item h="1" m="1" x="7330"/>
        <item h="1" m="1" x="7331"/>
        <item h="1" m="1" x="6435"/>
        <item h="1" m="1" x="7621"/>
        <item h="1" m="1" x="5726"/>
        <item h="1" m="1" x="5137"/>
        <item h="1" m="1" x="7504"/>
        <item h="1" m="1" x="7505"/>
        <item h="1" m="1" x="7506"/>
        <item h="1" m="1" x="7507"/>
        <item h="1" m="1" x="7508"/>
        <item h="1" m="1" x="5038"/>
        <item h="1" m="1" x="7502"/>
        <item h="1" m="1" x="7503"/>
        <item h="1" m="1" x="7255"/>
        <item h="1" m="1" x="7543"/>
        <item h="1" m="1" x="7266"/>
        <item h="1" m="1" x="647"/>
        <item h="1" x="247"/>
        <item h="1" m="1" x="7268"/>
        <item h="1" m="1" x="2050"/>
        <item h="1" m="1" x="7267"/>
        <item h="1" m="1" x="7554"/>
        <item h="1" m="1" x="2997"/>
        <item h="1" m="1" x="7140"/>
        <item h="1" m="1" x="7577"/>
        <item h="1" m="1" x="7578"/>
        <item h="1" m="1" x="7338"/>
        <item h="1" m="1" x="7624"/>
        <item h="1" m="1" x="4594"/>
        <item h="1" m="1" x="7625"/>
        <item h="1" m="1" x="7626"/>
        <item h="1" m="1" x="7518"/>
        <item h="1" m="1" x="7435"/>
        <item h="1" m="1" x="7627"/>
        <item h="1" m="1" x="5593"/>
        <item h="1" m="1" x="7628"/>
        <item h="1" m="1" x="6665"/>
        <item h="1" m="1" x="7629"/>
        <item h="1" m="1" x="7630"/>
        <item h="1" m="1" x="7631"/>
        <item h="1" m="1" x="7632"/>
        <item h="1" m="1" x="7633"/>
        <item h="1" m="1" x="7634"/>
        <item h="1" m="1" x="7635"/>
        <item h="1" m="1" x="7636"/>
        <item h="1" m="1" x="7637"/>
        <item h="1" m="1" x="7520"/>
        <item h="1" m="1" x="7638"/>
        <item h="1" m="1" x="7639"/>
        <item h="1" m="1" x="4392"/>
        <item h="1" m="1" x="4049"/>
        <item h="1" m="1" x="6684"/>
        <item h="1" m="1" x="4318"/>
        <item h="1" m="1" x="7525"/>
        <item h="1" m="1" x="7171"/>
        <item h="1" m="1" x="7526"/>
        <item h="1" m="1" x="7527"/>
        <item h="1" m="1" x="7172"/>
        <item h="1" m="1" x="7240"/>
        <item h="1" m="1" x="7431"/>
        <item h="1" m="1" x="7529"/>
        <item h="1" m="1" x="7530"/>
        <item h="1" m="1" x="6392"/>
        <item h="1" m="1" x="7242"/>
        <item h="1" m="1" x="7531"/>
        <item h="1" m="1" x="7533"/>
        <item h="1" m="1" x="7534"/>
        <item h="1" m="1" x="4605"/>
        <item h="1" m="1" x="4941"/>
        <item h="1" m="1" x="7326"/>
        <item h="1" m="1" x="7327"/>
        <item h="1" m="1" x="7329"/>
        <item h="1" m="1" x="7433"/>
        <item h="1" m="1" x="7257"/>
        <item h="1" m="1" x="7535"/>
        <item h="1" m="1" x="7536"/>
        <item h="1" m="1" x="5388"/>
        <item h="1" m="1" x="7537"/>
        <item h="1" m="1" x="7538"/>
        <item h="1" m="1" x="7335"/>
        <item h="1" m="1" x="5293"/>
        <item h="1" m="1" x="7541"/>
        <item h="1" m="1" x="7542"/>
        <item h="1" m="1" x="7544"/>
        <item h="1" m="1" x="7546"/>
        <item h="1" m="1" x="7547"/>
        <item h="1" m="1" x="7548"/>
        <item h="1" m="1" x="7549"/>
        <item h="1" m="1" x="6166"/>
        <item h="1" m="1" x="7551"/>
        <item h="1" m="1" x="7552"/>
        <item h="1" m="1" x="7128"/>
        <item h="1" m="1" x="7553"/>
        <item h="1" m="1" x="5715"/>
        <item h="1" m="1" x="7556"/>
        <item h="1" m="1" x="7557"/>
        <item h="1" m="1" x="7558"/>
        <item h="1" m="1" x="7559"/>
        <item h="1" m="1" x="7560"/>
        <item h="1" m="1" x="7561"/>
        <item h="1" m="1" x="7562"/>
        <item h="1" m="1" x="7563"/>
        <item h="1" m="1" x="7189"/>
        <item h="1" m="1" x="7190"/>
        <item h="1" m="1" x="7564"/>
        <item h="1" m="1" x="4355"/>
        <item h="1" m="1" x="7565"/>
        <item h="1" m="1" x="7566"/>
        <item h="1" m="1" x="4433"/>
        <item h="1" m="1" x="4411"/>
        <item h="1" m="1" x="7472"/>
        <item h="1" m="1" x="7468"/>
        <item h="1" m="1" x="6721"/>
        <item h="1" m="1" x="7567"/>
        <item h="1" m="1" x="7568"/>
        <item h="1" m="1" x="1427"/>
        <item h="1" m="1" x="7569"/>
        <item h="1" m="1" x="4336"/>
        <item h="1" m="1" x="6734"/>
        <item h="1" m="1" x="5949"/>
        <item h="1" m="1" x="5950"/>
        <item h="1" m="1" x="5951"/>
        <item h="1" m="1" x="7572"/>
        <item h="1" m="1" x="7573"/>
        <item h="1" m="1" x="6609"/>
        <item h="1" m="1" x="4321"/>
        <item h="1" m="1" x="4322"/>
        <item h="1" m="1" x="4973"/>
        <item h="1" m="1" x="7575"/>
        <item h="1" m="1" x="4332"/>
        <item h="1" m="1" x="4331"/>
        <item h="1" m="1" x="7477"/>
        <item h="1" m="1" x="7478"/>
        <item h="1" m="1" x="7343"/>
        <item h="1" m="1" x="6746"/>
        <item h="1" m="1" x="6679"/>
        <item h="1" m="1" x="7576"/>
        <item h="1" m="1" x="2787"/>
        <item h="1" m="1" x="6513"/>
        <item h="1" m="1" x="7579"/>
        <item h="1" m="1" x="7182"/>
        <item h="1" m="1" x="7183"/>
        <item h="1" m="1" x="7184"/>
        <item h="1" m="1" x="7188"/>
        <item h="1" m="1" x="7580"/>
        <item h="1" m="1" x="4752"/>
        <item h="1" m="1" x="7450"/>
        <item h="1" m="1" x="7346"/>
        <item h="1" m="1" x="7347"/>
        <item h="1" m="1" x="7312"/>
        <item h="1" m="1" x="7313"/>
        <item h="1" m="1" x="7311"/>
        <item h="1" m="1" x="7241"/>
        <item h="1" m="1" x="7314"/>
        <item h="1" m="1" x="7451"/>
        <item h="1" m="1" x="7315"/>
        <item h="1" m="1" x="7316"/>
        <item h="1" m="1" x="7453"/>
        <item h="1" m="1" x="5526"/>
        <item h="1" m="1" x="7319"/>
        <item h="1" m="1" x="7245"/>
        <item h="1" m="1" x="7454"/>
        <item h="1" m="1" x="7320"/>
        <item h="1" m="1" x="2854"/>
        <item h="1" m="1" x="6782"/>
        <item h="1" m="1" x="7455"/>
        <item h="1" m="1" x="7323"/>
        <item h="1" m="1" x="7324"/>
        <item h="1" m="1" x="7325"/>
        <item h="1" m="1" x="7456"/>
        <item h="1" m="1" x="7457"/>
        <item h="1" m="1" x="7362"/>
        <item h="1" m="1" x="7458"/>
        <item h="1" m="1" x="7459"/>
        <item h="1" m="1" x="7363"/>
        <item h="1" m="1" x="7460"/>
        <item h="1" m="1" x="7364"/>
        <item h="1" m="1" x="7365"/>
        <item h="1" m="1" x="7366"/>
        <item h="1" m="1" x="7367"/>
        <item h="1" m="1" x="7461"/>
        <item h="1" m="1" x="7368"/>
        <item h="1" m="1" x="7369"/>
        <item h="1" m="1" x="7462"/>
        <item h="1" m="1" x="7328"/>
        <item h="1" m="1" x="7334"/>
        <item h="1" m="1" x="7332"/>
        <item h="1" m="1" x="7333"/>
        <item h="1" m="1" x="7109"/>
        <item h="1" m="1" x="7113"/>
        <item h="1" m="1" x="7114"/>
        <item h="1" m="1" x="7260"/>
        <item h="1" m="1" x="7336"/>
        <item h="1" m="1" x="7261"/>
        <item h="1" m="1" x="7337"/>
        <item h="1" m="1" x="7465"/>
        <item h="1" m="1" x="4708"/>
        <item h="1" m="1" x="7277"/>
        <item h="1" m="1" x="7466"/>
        <item h="1" m="1" x="7270"/>
        <item h="1" m="1" x="7262"/>
        <item h="1" m="1" x="4561"/>
        <item h="1" m="1" x="7386"/>
        <item h="1" m="1" x="7387"/>
        <item h="1" m="1" x="6024"/>
        <item h="1" m="1" x="7130"/>
        <item h="1" m="1" x="7388"/>
        <item h="1" m="1" x="7131"/>
        <item h="1" m="1" x="7349"/>
        <item h="1" m="1" x="7271"/>
        <item h="1" m="1" x="7350"/>
        <item h="1" x="419"/>
        <item h="1" m="1" x="7273"/>
        <item h="1" m="1" x="7467"/>
        <item h="1" m="1" x="7276"/>
        <item h="1" m="1" x="4461"/>
        <item h="1" m="1" x="7469"/>
        <item h="1" m="1" x="6720"/>
        <item h="1" m="1" x="7470"/>
        <item h="1" m="1" x="7471"/>
        <item h="1" m="1" x="7473"/>
        <item h="1" m="1" x="4493"/>
        <item h="1" m="1" x="7038"/>
        <item h="1" m="1" x="4364"/>
        <item h="1" m="1" x="4356"/>
        <item h="1" m="1" x="7474"/>
        <item h="1" m="1" x="7475"/>
        <item h="1" m="1" x="6363"/>
        <item h="1" m="1" x="7278"/>
        <item h="1" m="1" x="6957"/>
        <item h="1" m="1" x="7339"/>
        <item h="1" m="1" x="7340"/>
        <item h="1" m="1" x="7476"/>
        <item h="1" m="1" x="7479"/>
        <item h="1" m="1" x="7480"/>
        <item h="1" m="1" x="7481"/>
        <item h="1" m="1" x="7482"/>
        <item h="1" m="1" x="7341"/>
        <item h="1" m="1" x="7342"/>
        <item h="1" m="1" x="7483"/>
        <item h="1" m="1" x="7279"/>
        <item h="1" m="1" x="7344"/>
        <item h="1" m="1" x="7050"/>
        <item h="1" m="1" x="7345"/>
        <item h="1" m="1" x="7236"/>
        <item h="1" m="1" x="7191"/>
        <item h="1" m="1" x="7192"/>
        <item h="1" m="1" x="7348"/>
        <item h="1" m="1" x="7352"/>
        <item h="1" m="1" x="7173"/>
        <item h="1" m="1" x="7353"/>
        <item h="1" m="1" x="5504"/>
        <item h="1" m="1" x="7354"/>
        <item h="1" m="1" x="7068"/>
        <item h="1" m="1" x="7244"/>
        <item h="1" m="1" x="6783"/>
        <item h="1" m="1" x="6329"/>
        <item h="1" m="1" x="7355"/>
        <item h="1" m="1" x="7356"/>
        <item h="1" m="1" x="6776"/>
        <item h="1" m="1" x="6766"/>
        <item h="1" m="1" x="6767"/>
        <item h="1" m="1" x="7357"/>
        <item h="1" m="1" x="6649"/>
        <item h="1" m="1" x="6754"/>
        <item h="1" m="1" x="6385"/>
        <item h="1" m="1" x="7243"/>
        <item h="1" m="1" x="7174"/>
        <item h="1" m="1" x="6752"/>
        <item h="1" m="1" x="7358"/>
        <item h="1" m="1" x="7359"/>
        <item h="1" m="1" x="7251"/>
        <item h="1" m="1" x="7252"/>
        <item h="1" m="1" x="7077"/>
        <item h="1" m="1" x="2242"/>
        <item h="1" m="1" x="7361"/>
        <item h="1" m="1" x="7246"/>
        <item h="1" m="1" x="7247"/>
        <item h="1" m="1" x="7248"/>
        <item h="1" m="1" x="7249"/>
        <item h="1" m="1" x="7187"/>
        <item h="1" m="1" x="7370"/>
        <item h="1" m="1" x="7372"/>
        <item h="1" m="1" x="7374"/>
        <item h="1" m="1" x="7253"/>
        <item h="1" m="1" x="7376"/>
        <item h="1" m="1" x="7256"/>
        <item h="1" m="1" x="7377"/>
        <item h="1" m="1" x="5394"/>
        <item h="1" m="1" x="7378"/>
        <item h="1" m="1" x="6822"/>
        <item h="1" m="1" x="7379"/>
        <item h="1" m="1" x="7380"/>
        <item h="1" m="1" x="7381"/>
        <item h="1" m="1" x="7382"/>
        <item h="1" m="1" x="7383"/>
        <item h="1" m="1" x="7384"/>
        <item h="1" m="1" x="5456"/>
        <item h="1" m="1" x="7272"/>
        <item h="1" m="1" x="4554"/>
        <item h="1" m="1" x="7389"/>
        <item h="1" m="1" x="6702"/>
        <item h="1" m="1" x="7274"/>
        <item h="1" m="1" x="7275"/>
        <item h="1" m="1" x="4073"/>
        <item h="1" m="1" x="7390"/>
        <item h="1" m="1" x="7391"/>
        <item h="1" m="1" x="7392"/>
        <item h="1" m="1" x="7393"/>
        <item h="1" m="1" x="7394"/>
        <item h="1" m="1" x="4362"/>
        <item h="1" m="1" x="7395"/>
        <item h="1" m="1" x="4347"/>
        <item h="1" m="1" x="7396"/>
        <item h="1" m="1" x="7397"/>
        <item h="1" m="1" x="7398"/>
        <item h="1" m="1" x="7399"/>
        <item h="1" m="1" x="7400"/>
        <item h="1" m="1" x="4552"/>
        <item h="1" m="1" x="6732"/>
        <item h="1" m="1" x="7401"/>
        <item h="1" m="1" x="6951"/>
        <item h="1" m="1" x="4408"/>
        <item h="1" m="1" x="7402"/>
        <item h="1" m="1" x="6960"/>
        <item h="1" m="1" x="6372"/>
        <item h="1" m="1" x="6748"/>
        <item h="1" m="1" x="6749"/>
        <item h="1" m="1" x="7403"/>
        <item h="1" m="1" x="7404"/>
        <item h="1" m="1" x="7405"/>
        <item h="1" m="1" x="6758"/>
        <item h="1" m="1" x="7280"/>
        <item h="1" m="1" x="7406"/>
        <item h="1" m="1" x="6759"/>
        <item h="1" m="1" x="6760"/>
        <item h="1" m="1" x="4092"/>
        <item h="1" m="1" x="7258"/>
        <item h="1" m="1" x="7144"/>
        <item h="1" m="1" x="4323"/>
        <item h="1" m="1" x="6972"/>
        <item h="1" m="1" x="7057"/>
        <item h="1" m="1" x="7281"/>
        <item h="1" m="1" x="7282"/>
        <item h="1" m="1" x="7170"/>
        <item h="1" m="1" x="7283"/>
        <item h="1" m="1" x="7284"/>
        <item h="1" m="1" x="7285"/>
        <item h="1" m="1" x="7065"/>
        <item h="1" m="1" x="7045"/>
        <item h="1" m="1" x="7175"/>
        <item h="1" m="1" x="7176"/>
        <item h="1" m="1" x="6786"/>
        <item h="1" m="1" x="7069"/>
        <item h="1" m="1" x="7178"/>
        <item h="1" m="1" x="7177"/>
        <item h="1" m="1" x="3891"/>
        <item h="1" m="1" x="7287"/>
        <item h="1" m="1" x="7288"/>
        <item h="1" m="1" x="6657"/>
        <item h="1" m="1" x="7289"/>
        <item h="1" m="1" x="6054"/>
        <item h="1" m="1" x="7088"/>
        <item h="1" m="1" x="5859"/>
        <item h="1" m="1" x="7087"/>
        <item h="1" m="1" x="6018"/>
        <item h="1" m="1" x="7111"/>
        <item h="1" m="1" x="1870"/>
        <item h="1" m="1" x="7104"/>
        <item h="1" m="1" x="7083"/>
        <item h="1" m="1" x="2806"/>
        <item h="1" m="1" x="7291"/>
        <item h="1" m="1" x="7120"/>
        <item h="1" m="1" x="7292"/>
        <item h="1" m="1" x="7132"/>
        <item h="1" m="1" x="4018"/>
        <item h="1" m="1" x="6835"/>
        <item h="1" m="1" x="6847"/>
        <item h="1" m="1" x="7294"/>
        <item h="1" m="1" x="6857"/>
        <item h="1" m="1" x="7295"/>
        <item h="1" m="1" x="7296"/>
        <item h="1" m="1" x="7297"/>
        <item h="1" m="1" x="6916"/>
        <item h="1" m="1" x="6914"/>
        <item h="1" m="1" x="5897"/>
        <item h="1" m="1" x="7298"/>
        <item h="1" m="1" x="7299"/>
        <item h="1" m="1" x="4587"/>
        <item h="1" m="1" x="4590"/>
        <item h="1" m="1" x="6528"/>
        <item h="1" m="1" x="4586"/>
        <item h="1" m="1" x="6672"/>
        <item h="1" m="1" x="6673"/>
        <item h="1" m="1" x="4544"/>
        <item h="1" m="1" x="7300"/>
        <item h="1" m="1" x="7301"/>
        <item h="1" m="1" x="7302"/>
        <item h="1" m="1" x="7303"/>
        <item h="1" m="1" x="543"/>
        <item h="1" m="1" x="6966"/>
        <item h="1" m="1" x="6967"/>
        <item h="1" m="1" x="7304"/>
        <item h="1" m="1" x="6777"/>
        <item h="1" m="1" x="7305"/>
        <item h="1" m="1" x="6686"/>
        <item h="1" m="1" x="6781"/>
        <item h="1" m="1" x="7179"/>
        <item h="1" m="1" x="7180"/>
        <item h="1" m="1" x="7181"/>
        <item h="1" m="1" x="7185"/>
        <item h="1" m="1" x="7076"/>
        <item h="1" m="1" x="7186"/>
        <item h="1" m="1" x="7090"/>
        <item h="1" m="1" x="5438"/>
        <item h="1" m="1" x="7115"/>
        <item h="1" m="1" x="5420"/>
        <item h="1" m="1" x="7193"/>
        <item h="1" m="1" x="7159"/>
        <item h="1" m="1" x="7164"/>
        <item h="1" m="1" x="7194"/>
        <item h="1" m="1" x="7195"/>
        <item h="1" m="1" x="7196"/>
        <item h="1" m="1" x="7197"/>
        <item h="1" m="1" x="1617"/>
        <item h="1" m="1" x="7198"/>
        <item h="1" m="1" x="7199"/>
        <item h="1" m="1" x="4420"/>
        <item h="1" m="1" x="7063"/>
        <item h="1" m="1" x="6629"/>
        <item h="1" m="1" x="7067"/>
        <item h="1" m="1" x="7200"/>
        <item h="1" m="1" x="7089"/>
        <item h="1" m="1" x="7091"/>
        <item h="1" m="1" x="7092"/>
        <item h="1" m="1" x="7103"/>
        <item h="1" m="1" x="7097"/>
        <item h="1" m="1" x="2230"/>
        <item h="1" m="1" x="5161"/>
        <item h="1" m="1" x="7203"/>
        <item h="1" m="1" x="7070"/>
        <item h="1" m="1" x="7204"/>
        <item h="1" m="1" x="7110"/>
        <item h="1" m="1" x="3324"/>
        <item h="1" m="1" x="7205"/>
        <item h="1" m="1" x="7206"/>
        <item h="1" m="1" x="7208"/>
        <item h="1" m="1" x="7142"/>
        <item h="1" m="1" x="7126"/>
        <item h="1" m="1" x="7127"/>
        <item h="1" m="1" x="7129"/>
        <item h="1" m="1" x="7210"/>
        <item h="1" m="1" x="7211"/>
        <item h="1" m="1" x="7145"/>
        <item h="1" m="1" x="7213"/>
        <item h="1" m="1" x="4450"/>
        <item h="1" m="1" x="7147"/>
        <item h="1" m="1" x="7026"/>
        <item h="1" m="1" x="5963"/>
        <item h="1" m="1" x="7214"/>
        <item h="1" m="1" x="7027"/>
        <item h="1" m="1" x="5999"/>
        <item h="1" m="1" x="7215"/>
        <item h="1" m="1" x="6918"/>
        <item h="1" m="1" x="2555"/>
        <item h="1" m="1" x="7153"/>
        <item h="1" m="1" x="4404"/>
        <item h="1" m="1" x="7216"/>
        <item h="1" m="1" x="7217"/>
        <item h="1" m="1" x="7218"/>
        <item h="1" m="1" x="7219"/>
        <item h="1" m="1" x="6305"/>
        <item h="1" m="1" x="4335"/>
        <item h="1" m="1" x="2674"/>
        <item h="1" m="1" x="4553"/>
        <item h="1" m="1" x="7220"/>
        <item h="1" m="1" x="6931"/>
        <item h="1" m="1" x="6932"/>
        <item h="1" m="1" x="7221"/>
        <item h="1" m="1" x="6733"/>
        <item h="1" m="1" x="4472"/>
        <item h="1" m="1" x="4354"/>
        <item h="1" m="1" x="7222"/>
        <item h="1" m="1" x="6944"/>
        <item h="1" m="1" x="7223"/>
        <item h="1" m="1" x="7224"/>
        <item h="1" m="1" x="7225"/>
        <item h="1" m="1" x="7162"/>
        <item h="1" m="1" x="7226"/>
        <item h="1" m="1" x="6680"/>
        <item h="1" m="1" x="6973"/>
        <item h="1" m="1" x="7227"/>
        <item h="1" m="1" x="6322"/>
        <item h="1" m="1" x="6548"/>
        <item h="1" m="1" x="7051"/>
        <item h="1" m="1" x="6978"/>
        <item h="1" m="1" x="7052"/>
        <item h="1" m="1" x="7053"/>
        <item h="1" m="1" x="6555"/>
        <item h="1" m="1" x="7054"/>
        <item h="1" m="1" x="7056"/>
        <item h="1" m="1" x="6635"/>
        <item h="1" m="1" x="6636"/>
        <item h="1" m="1" x="6983"/>
        <item h="1" m="1" x="7058"/>
        <item h="1" m="1" x="772"/>
        <item h="1" m="1" x="6984"/>
        <item h="1" m="1" x="7060"/>
        <item h="1" m="1" x="7061"/>
        <item h="1" m="1" x="7062"/>
        <item h="1" m="1" x="6989"/>
        <item h="1" m="1" x="7064"/>
        <item h="1" m="1" x="6784"/>
        <item h="1" m="1" x="6990"/>
        <item h="1" m="1" x="7071"/>
        <item h="1" m="1" x="7072"/>
        <item h="1" m="1" x="7073"/>
        <item h="1" m="1" x="7074"/>
        <item h="1" m="1" x="7075"/>
        <item h="1" m="1" x="7078"/>
        <item h="1" m="1" x="5569"/>
        <item h="1" m="1" x="5978"/>
        <item h="1" m="1" x="7079"/>
        <item h="1" m="1" x="7080"/>
        <item h="1" m="1" x="7081"/>
        <item h="1" m="1" x="7000"/>
        <item h="1" m="1" x="7001"/>
        <item h="1" m="1" x="7082"/>
        <item h="1" m="1" x="2234"/>
        <item h="1" m="1" x="7093"/>
        <item h="1" m="1" x="7094"/>
        <item h="1" m="1" x="7096"/>
        <item h="1" m="1" x="7101"/>
        <item h="1" m="1" x="2641"/>
        <item h="1" m="1" x="7102"/>
        <item h="1" m="1" x="6575"/>
        <item h="1" m="1" x="6952"/>
        <item h="1" m="1" x="6801"/>
        <item h="1" m="1" x="6802"/>
        <item h="1" m="1" x="6652"/>
        <item h="1" m="1" x="6440"/>
        <item h="1" m="1" x="7105"/>
        <item h="1" m="1" x="7107"/>
        <item h="1" m="1" x="7108"/>
        <item h="1" m="1" x="6810"/>
        <item h="1" m="1" x="6813"/>
        <item h="1" m="1" x="6803"/>
        <item h="1" m="1" x="7112"/>
        <item h="1" m="1" x="7116"/>
        <item h="1" m="1" x="7117"/>
        <item h="1" m="1" x="7118"/>
        <item h="1" m="1" x="7119"/>
        <item h="1" m="1" x="7121"/>
        <item h="1" m="1" x="7122"/>
        <item h="1" m="1" x="7123"/>
        <item h="1" m="1" x="7017"/>
        <item h="1" m="1" x="7133"/>
        <item h="1" m="1" x="7134"/>
        <item h="1" m="1" x="7135"/>
        <item h="1" x="182"/>
        <item h="1" m="1" x="7136"/>
        <item h="1" m="1" x="7018"/>
        <item h="1" m="1" x="7137"/>
        <item h="1" m="1" x="7138"/>
        <item h="1" m="1" x="7139"/>
        <item h="1" m="1" x="7012"/>
        <item h="1" m="1" x="7019"/>
        <item h="1" m="1" x="7016"/>
        <item h="1" m="1" x="7015"/>
        <item h="1" m="1" x="7014"/>
        <item h="1" m="1" x="7013"/>
        <item h="1" m="1" x="7143"/>
        <item h="1" m="1" x="7020"/>
        <item h="1" m="1" x="7021"/>
        <item h="1" m="1" x="7022"/>
        <item h="1" m="1" x="7146"/>
        <item h="1" m="1" x="6594"/>
        <item h="1" m="1" x="6834"/>
        <item h="1" m="1" x="6706"/>
        <item h="1" m="1" x="7150"/>
        <item h="1" m="1" x="4410"/>
        <item h="1" m="1" x="6710"/>
        <item h="1" m="1" x="6711"/>
        <item h="1" m="1" x="7151"/>
        <item h="1" m="1" x="7152"/>
        <item h="1" m="1" x="6917"/>
        <item h="1" m="1" x="6725"/>
        <item h="1" m="1" x="7154"/>
        <item h="1" m="1" x="5686"/>
        <item h="1" m="1" x="4440"/>
        <item h="1" m="1" x="7155"/>
        <item h="1" m="1" x="7156"/>
        <item h="1" m="1" x="7031"/>
        <item h="1" m="1" x="7157"/>
        <item h="1" m="1" x="4320"/>
        <item h="1" m="1" x="7028"/>
        <item h="1" m="1" x="2100"/>
        <item h="1" m="1" x="2101"/>
        <item h="1" m="1" x="5698"/>
        <item h="1" m="1" x="5701"/>
        <item h="1" m="1" x="4423"/>
        <item h="1" m="1" x="4434"/>
        <item h="1" m="1" x="7158"/>
        <item h="1" m="1" x="7160"/>
        <item h="1" m="1" x="7161"/>
        <item h="1" m="1" x="7046"/>
        <item h="1" m="1" x="6971"/>
        <item h="1" m="1" x="6619"/>
        <item h="1" m="1" x="6681"/>
        <item h="1" m="1" x="6756"/>
        <item h="1" m="1" x="7163"/>
        <item h="1" x="200"/>
        <item h="1" m="1" x="6764"/>
        <item h="1" m="1" x="6977"/>
        <item h="1" m="1" x="6765"/>
        <item h="1" m="1" x="6769"/>
        <item h="1" m="1" x="6979"/>
        <item h="1" m="1" x="6630"/>
        <item h="1" m="1" x="6774"/>
        <item h="1" m="1" x="6631"/>
        <item h="1" m="1" x="6981"/>
        <item h="1" m="1" x="6982"/>
        <item h="1" m="1" x="6688"/>
        <item h="1" m="1" x="6637"/>
        <item h="1" m="1" x="6384"/>
        <item h="1" m="1" x="5945"/>
        <item h="1" m="1" x="6793"/>
        <item h="1" m="1" x="6792"/>
        <item h="1" m="1" x="6785"/>
        <item h="1" m="1" x="6788"/>
        <item h="1" m="1" x="5646"/>
        <item h="1" m="1" x="6795"/>
        <item h="1" m="1" x="6991"/>
        <item h="1" m="1" x="6992"/>
        <item h="1" m="1" x="6993"/>
        <item h="1" m="1" x="6994"/>
        <item h="1" m="1" x="6995"/>
        <item h="1" m="1" x="566"/>
        <item h="1" m="1" x="6997"/>
        <item h="1" m="1" x="6998"/>
        <item h="1" m="1" x="6811"/>
        <item h="1" m="1" x="6999"/>
        <item h="1" m="1" x="6812"/>
        <item h="1" m="1" x="6804"/>
        <item h="1" m="1" x="6805"/>
        <item h="1" m="1" x="7003"/>
        <item h="1" m="1" x="7004"/>
        <item h="1" m="1" x="7005"/>
        <item h="1" m="1" x="7006"/>
        <item h="1" m="1" x="7007"/>
        <item h="1" m="1" x="7008"/>
        <item h="1" m="1" x="7009"/>
        <item h="1" m="1" x="7010"/>
        <item h="1" m="1" x="6818"/>
        <item h="1" m="1" x="6819"/>
        <item h="1" m="1" x="5547"/>
        <item h="1" m="1" x="5674"/>
        <item h="1" m="1" x="6828"/>
        <item h="1" m="1" x="6825"/>
        <item h="1" m="1" x="6826"/>
        <item h="1" m="1" x="5329"/>
        <item h="1" m="1" x="6827"/>
        <item h="1" m="1" x="6830"/>
        <item h="1" m="1" x="6836"/>
        <item h="1" m="1" x="7023"/>
        <item h="1" m="1" x="7024"/>
        <item h="1" m="1" x="7025"/>
        <item h="1" m="1" x="5947"/>
        <item h="1" m="1" x="6858"/>
        <item h="1" m="1" x="6859"/>
        <item h="1" m="1" x="4267"/>
        <item h="1" m="1" x="4547"/>
        <item h="1" m="1" x="6719"/>
        <item h="1" m="1" x="6729"/>
        <item h="1" m="1" x="6728"/>
        <item h="1" m="1" x="6724"/>
        <item h="1" m="1" x="7029"/>
        <item h="1" m="1" x="7030"/>
        <item h="1" m="1" x="3768"/>
        <item h="1" m="1" x="4412"/>
        <item h="1" m="1" x="7032"/>
        <item h="1" m="1" x="7033"/>
        <item h="1" m="1" x="7034"/>
        <item h="1" m="1" x="7035"/>
        <item h="1" m="1" x="7036"/>
        <item h="1" m="1" x="4264"/>
        <item h="1" m="1" x="7037"/>
        <item h="1" m="1" x="4436"/>
        <item h="1" m="1" x="4435"/>
        <item h="1" m="1" x="5700"/>
        <item h="1" m="1" x="7039"/>
        <item h="1" m="1" x="6735"/>
        <item h="1" m="1" x="4437"/>
        <item h="1" m="1" x="4422"/>
        <item h="1" m="1" x="6737"/>
        <item h="1" m="1" x="7040"/>
        <item h="1" m="1" x="7041"/>
        <item h="1" m="1" x="7042"/>
        <item h="1" m="1" x="7043"/>
        <item h="1" m="1" x="6019"/>
        <item h="1" m="1" x="6366"/>
        <item h="1" m="1" x="6959"/>
        <item h="1" m="1" x="7044"/>
        <item h="1" m="1" x="4770"/>
        <item h="1" m="1" x="5708"/>
        <item h="1" m="1" x="7047"/>
        <item h="1" m="1" x="4241"/>
        <item h="1" m="1" x="6538"/>
        <item h="1" m="1" x="975"/>
        <item h="1" m="1" x="6976"/>
        <item h="1" m="1" x="6628"/>
        <item h="1" m="1" x="6763"/>
        <item h="1" m="1" x="6768"/>
        <item h="1" m="1" x="6770"/>
        <item h="1" m="1" x="6771"/>
        <item h="1" m="1" x="6323"/>
        <item h="1" m="1" x="6772"/>
        <item h="1" m="1" x="6775"/>
        <item h="1" m="1" x="6691"/>
        <item h="1" m="1" x="6778"/>
        <item h="1" m="1" x="6779"/>
        <item h="1" m="1" x="6399"/>
        <item h="1" m="1" x="6787"/>
        <item h="1" m="1" x="6789"/>
        <item h="1" m="1" x="6267"/>
        <item h="1" m="1" x="6790"/>
        <item h="1" m="1" x="6791"/>
        <item h="1" m="1" x="6794"/>
        <item h="1" m="1" x="6970"/>
        <item h="1" m="1" x="6796"/>
        <item h="1" m="1" x="6797"/>
        <item h="1" m="1" x="571"/>
        <item h="1" m="1" x="6798"/>
        <item h="1" m="1" x="6799"/>
        <item h="1" m="1" x="6800"/>
        <item h="1" m="1" x="6806"/>
        <item h="1" m="1" x="6807"/>
        <item h="1" m="1" x="6808"/>
        <item h="1" m="1" x="6809"/>
        <item h="1" m="1" x="1495"/>
        <item h="1" m="1" x="6814"/>
        <item h="1" m="1" x="6815"/>
        <item h="1" m="1" x="6816"/>
        <item h="1" m="1" x="3263"/>
        <item h="1" m="1" x="6817"/>
        <item h="1" m="1" x="3546"/>
        <item h="1" m="1" x="4824"/>
        <item h="1" m="1" x="6975"/>
        <item h="1" m="1" x="6820"/>
        <item h="1" m="1" x="6821"/>
        <item h="1" m="1" x="6823"/>
        <item h="1" m="1" x="6824"/>
        <item h="1" m="1" x="5806"/>
        <item h="1" m="1" x="6829"/>
        <item h="1" m="1" x="6840"/>
        <item h="1" m="1" x="6841"/>
        <item h="1" m="1" x="6842"/>
        <item h="1" m="1" x="6843"/>
        <item h="1" m="1" x="6844"/>
        <item h="1" m="1" x="6845"/>
        <item h="1" m="1" x="6846"/>
        <item h="1" m="1" x="6848"/>
        <item h="1" m="1" x="5339"/>
        <item h="1" m="1" x="5340"/>
        <item h="1" m="1" x="6707"/>
        <item h="1" m="1" x="6708"/>
        <item h="1" m="1" x="6867"/>
        <item h="1" m="1" x="6716"/>
        <item h="1" m="1" x="6717"/>
        <item h="1" m="1" x="6723"/>
        <item h="1" m="1" x="6722"/>
        <item h="1" m="1" x="6727"/>
        <item h="1" m="1" x="4381"/>
        <item h="1" m="1" x="6924"/>
        <item h="1" m="1" x="6926"/>
        <item h="1" m="1" x="6927"/>
        <item h="1" m="1" x="6731"/>
        <item h="1" m="1" x="6949"/>
        <item h="1" m="1" x="6958"/>
        <item h="1" m="1" x="6371"/>
        <item h="1" m="1" x="5119"/>
        <item h="1" m="1" x="6535"/>
        <item h="1" m="1" x="6536"/>
        <item h="1" m="1" x="6750"/>
        <item h="1" m="1" x="6753"/>
        <item h="1" m="1" x="4674"/>
        <item h="1" m="1" x="6685"/>
        <item h="1" m="1" x="6623"/>
        <item h="1" m="1" x="6632"/>
        <item h="1" m="1" x="6379"/>
        <item h="1" m="1" x="6388"/>
        <item h="1" m="1" x="2791"/>
        <item h="1" m="1" x="6687"/>
        <item h="1" m="1" x="6640"/>
        <item h="1" m="1" x="6644"/>
        <item h="1" m="1" x="6645"/>
        <item h="1" m="1" x="6646"/>
        <item h="1" m="1" x="6647"/>
        <item h="1" m="1" x="6648"/>
        <item h="1" m="1" x="6695"/>
        <item h="1" m="1" x="5162"/>
        <item h="1" m="1" x="6568"/>
        <item h="1" m="1" x="6569"/>
        <item h="1" m="1" x="6570"/>
        <item h="1" m="1" x="6566"/>
        <item h="1" m="1" x="6567"/>
        <item h="1" m="1" x="4580"/>
        <item h="1" m="1" x="6697"/>
        <item h="1" m="1" x="6427"/>
        <item h="1" m="1" x="6698"/>
        <item h="1" m="1" x="6481"/>
        <item h="1" m="1" x="6699"/>
        <item h="1" m="1" x="6700"/>
        <item h="1" m="1" x="6701"/>
        <item h="1" m="1" x="6703"/>
        <item h="1" m="1" x="6705"/>
        <item h="1" m="1" x="6345"/>
        <item h="1" m="1" x="6346"/>
        <item h="1" m="1" x="6712"/>
        <item h="1" m="1" x="6713"/>
        <item h="1" m="1" x="6718"/>
        <item h="1" m="1" x="6667"/>
        <item h="1" m="1" x="6666"/>
        <item h="1" m="1" x="6348"/>
        <item h="1" m="1" x="6349"/>
        <item h="1" m="1" x="6525"/>
        <item h="1" m="1" x="6730"/>
        <item h="1" m="1" x="4471"/>
        <item h="1" m="1" x="4358"/>
        <item h="1" m="1" x="4359"/>
        <item h="1" m="1" x="6736"/>
        <item h="1" m="1" x="6739"/>
        <item h="1" m="1" x="6530"/>
        <item h="1" m="1" x="5106"/>
        <item h="1" m="1" x="6740"/>
        <item h="1" m="1" x="2711"/>
        <item h="1" m="1" x="6741"/>
        <item h="1" m="1" x="6370"/>
        <item h="1" m="1" x="6742"/>
        <item h="1" m="1" x="6743"/>
        <item h="1" m="1" x="6744"/>
        <item h="1" m="1" x="6745"/>
        <item h="1" m="1" x="6533"/>
        <item h="1" m="1" x="6747"/>
        <item h="1" m="1" x="5359"/>
        <item h="1" m="1" x="6751"/>
        <item h="1" m="1" x="6683"/>
        <item h="1" m="1" x="6761"/>
        <item h="1" m="1" x="6762"/>
        <item h="1" m="1" x="6625"/>
        <item h="1" m="1" x="6626"/>
        <item h="1" m="1" x="6627"/>
        <item h="1" m="1" x="6633"/>
        <item h="1" m="1" x="6634"/>
        <item h="1" m="1" x="6014"/>
        <item h="1" m="1" x="6015"/>
        <item h="1" m="1" x="1618"/>
        <item h="1" m="1" x="6386"/>
        <item h="1" m="1" x="1546"/>
        <item h="1" m="1" x="6638"/>
        <item h="1" m="1" x="6641"/>
        <item h="1" m="1" x="6397"/>
        <item h="1" m="1" x="6642"/>
        <item h="1" m="1" x="6643"/>
        <item h="1" m="1" x="6328"/>
        <item h="1" m="1" x="6650"/>
        <item h="1" m="1" x="6651"/>
        <item h="1" m="1" x="6405"/>
        <item h="1" m="1" x="6412"/>
        <item h="1" m="1" x="4793"/>
        <item h="1" m="1" x="6417"/>
        <item h="1" m="1" x="6653"/>
        <item h="1" m="1" x="6447"/>
        <item h="1" m="1" x="6654"/>
        <item h="1" m="1" x="2149"/>
        <item h="1" m="1" x="6022"/>
        <item h="1" m="1" x="6655"/>
        <item h="1" m="1" x="6658"/>
        <item h="1" m="1" x="6529"/>
        <item h="1" m="1" x="6592"/>
        <item h="1" m="1" x="6512"/>
        <item h="1" m="1" x="6659"/>
        <item h="1" m="1" x="6661"/>
        <item h="1" m="1" x="6663"/>
        <item h="1" m="1" x="6236"/>
        <item h="1" m="1" x="6351"/>
        <item h="1" m="1" x="6356"/>
        <item h="1" m="1" x="4441"/>
        <item h="1" m="1" x="4442"/>
        <item h="1" m="1" x="6668"/>
        <item h="1" m="1" x="6669"/>
        <item h="1" m="1" x="6520"/>
        <item h="1" m="1" x="6670"/>
        <item h="1" m="1" x="4249"/>
        <item h="1" m="1" x="4349"/>
        <item h="1" m="1" x="5697"/>
        <item h="1" m="1" x="4348"/>
        <item h="1" m="1" x="5703"/>
        <item h="1" m="1" x="6671"/>
        <item h="1" m="1" x="4443"/>
        <item h="1" m="1" x="4446"/>
        <item h="1" m="1" x="4444"/>
        <item h="1" m="1" x="4244"/>
        <item h="1" m="1" x="5704"/>
        <item h="1" m="1" x="5496"/>
        <item h="1" m="1" x="855"/>
        <item h="1" m="1" x="5465"/>
        <item h="1" m="1" x="6368"/>
        <item h="1" m="1" x="6258"/>
        <item h="1" m="1" x="6674"/>
        <item h="1" m="1" x="6675"/>
        <item h="1" m="1" x="866"/>
        <item h="1" m="1" x="5111"/>
        <item h="1" m="1" x="6676"/>
        <item h="1" m="1" x="6677"/>
        <item h="1" m="1" x="6678"/>
        <item h="1" m="1" x="920"/>
        <item h="1" m="1" x="6682"/>
        <item h="1" m="1" x="5519"/>
        <item h="1" m="1" x="6540"/>
        <item h="1" m="1" x="3509"/>
        <item h="1" m="1" x="6542"/>
        <item h="1" m="1" x="6543"/>
        <item h="1" m="1" x="6544"/>
        <item h="1" m="1" x="6545"/>
        <item h="1" m="1" x="6546"/>
        <item h="1" m="1" x="6547"/>
        <item h="1" m="1" x="6377"/>
        <item h="1" m="1" x="6549"/>
        <item h="1" m="1" x="6550"/>
        <item h="1" m="1" x="6551"/>
        <item h="1" m="1" x="6552"/>
        <item h="1" m="1" x="6553"/>
        <item h="1" m="1" x="6554"/>
        <item h="1" m="1" x="5727"/>
        <item h="1" m="1" x="6556"/>
        <item h="1" m="1" x="6380"/>
        <item h="1" m="1" x="6557"/>
        <item h="1" m="1" x="6020"/>
        <item h="1" m="1" x="6558"/>
        <item h="1" m="1" x="6559"/>
        <item h="1" m="1" x="6560"/>
        <item h="1" m="1" x="6561"/>
        <item h="1" m="1" x="6383"/>
        <item h="1" m="1" x="6327"/>
        <item h="1" m="1" x="6562"/>
        <item h="1" m="1" x="6206"/>
        <item h="1" m="1" x="6403"/>
        <item h="1" m="1" x="6563"/>
        <item h="1" m="1" x="6564"/>
        <item h="1" m="1" x="6571"/>
        <item h="1" m="1" x="6572"/>
        <item h="1" m="1" x="6573"/>
        <item h="1" m="1" x="6574"/>
        <item h="1" m="1" x="6429"/>
        <item h="1" m="1" x="6576"/>
        <item h="1" m="1" x="6430"/>
        <item h="1" m="1" x="6577"/>
        <item h="1" m="1" x="5017"/>
        <item h="1" m="1" x="6431"/>
        <item h="1" m="1" x="6578"/>
        <item h="1" m="1" x="6579"/>
        <item h="1" m="1" x="6580"/>
        <item h="1" m="1" x="6581"/>
        <item h="1" m="1" x="6582"/>
        <item h="1" m="1" x="6419"/>
        <item h="1" m="1" x="6583"/>
        <item h="1" m="1" x="6434"/>
        <item h="1" m="1" x="6442"/>
        <item h="1" m="1" x="6444"/>
        <item h="1" m="1" x="2377"/>
        <item h="1" m="1" x="6584"/>
        <item h="1" m="1" x="6585"/>
        <item h="1" m="1" x="6021"/>
        <item h="1" m="1" x="6445"/>
        <item h="1" m="1" x="6437"/>
        <item h="1" m="1" x="6025"/>
        <item h="1" m="1" x="6586"/>
        <item h="1" m="1" x="6450"/>
        <item h="1" m="1" x="6587"/>
        <item h="1" m="1" x="6588"/>
        <item h="1" m="1" x="6451"/>
        <item h="1" m="1" x="5672"/>
        <item h="1" m="1" x="6460"/>
        <item h="1" m="1" x="6461"/>
        <item h="1" m="1" x="6462"/>
        <item h="1" m="1" x="6458"/>
        <item h="1" m="1" x="6459"/>
        <item h="1" m="1" x="6474"/>
        <item h="1" m="1" x="6465"/>
        <item h="1" m="1" x="6464"/>
        <item h="1" m="1" x="6590"/>
        <item h="1" m="1" x="6591"/>
        <item h="1" m="1" x="6476"/>
        <item h="1" m="1" x="6485"/>
        <item h="1" m="1" x="6484"/>
        <item h="1" m="1" x="6482"/>
        <item h="1" m="1" x="6477"/>
        <item h="1" m="1" x="6483"/>
        <item h="1" m="1" x="6479"/>
        <item h="1" m="1" x="6480"/>
        <item h="1" m="1" x="6493"/>
        <item h="1" m="1" x="6494"/>
        <item h="1" m="1" x="6500"/>
        <item h="1" m="1" x="1067"/>
        <item h="1" m="1" x="6495"/>
        <item h="1" m="1" x="6497"/>
        <item h="1" m="1" x="6505"/>
        <item h="1" m="1" x="6496"/>
        <item h="1" m="1" x="6498"/>
        <item h="1" m="1" x="6499"/>
        <item h="1" m="1" x="6501"/>
        <item h="1" m="1" x="6593"/>
        <item h="1" m="1" x="6507"/>
        <item h="1" m="1" x="6508"/>
        <item h="1" m="1" x="6509"/>
        <item h="1" m="1" x="6510"/>
        <item h="1" m="1" x="6511"/>
        <item h="1" m="1" x="6515"/>
        <item h="1" m="1" x="6595"/>
        <item h="1" m="1" x="6596"/>
        <item h="1" m="1" x="6597"/>
        <item h="1" m="1" x="4328"/>
        <item h="1" m="1" x="6599"/>
        <item h="1" m="1" x="6600"/>
        <item h="1" m="1" x="4384"/>
        <item h="1" m="1" x="4378"/>
        <item h="1" m="1" x="6601"/>
        <item h="1" m="1" x="6602"/>
        <item h="1" m="1" x="5629"/>
        <item h="1" m="1" x="4383"/>
        <item h="1" m="1" x="6350"/>
        <item h="1" m="1" x="4165"/>
        <item h="1" m="1" x="4405"/>
        <item h="1" m="1" x="4247"/>
        <item h="1" m="1" x="4248"/>
        <item h="1" m="1" x="5419"/>
        <item h="1" m="1" x="6603"/>
        <item h="1" m="1" x="6604"/>
        <item h="1" m="1" x="6605"/>
        <item h="1" m="1" x="6606"/>
        <item h="1" m="1" x="5948"/>
        <item h="1" m="1" x="6607"/>
        <item h="1" m="1" x="6608"/>
        <item h="1" m="1" x="4338"/>
        <item h="1" m="1" x="4337"/>
        <item h="1" m="1" x="4492"/>
        <item h="1" m="1" x="4568"/>
        <item h="1" m="1" x="4360"/>
        <item h="1" m="1" x="4749"/>
        <item h="1" m="1" x="4380"/>
        <item h="1" m="1" x="4353"/>
        <item h="1" m="1" x="6307"/>
        <item h="1" m="1" x="4467"/>
        <item h="1" m="1" x="5952"/>
        <item h="1" m="1" x="5953"/>
        <item h="1" m="1" x="6610"/>
        <item h="1" m="1" x="6611"/>
        <item h="1" m="1" x="5354"/>
        <item h="1" m="1" x="6612"/>
        <item h="1" x="280"/>
        <item h="1" m="1" x="6613"/>
        <item h="1" m="1" x="6614"/>
        <item h="1" m="1" x="6532"/>
        <item h="1" m="1" x="6615"/>
        <item h="1" m="1" x="6616"/>
        <item h="1" m="1" x="3721"/>
        <item h="1" m="1" x="6617"/>
        <item h="1" m="1" x="6534"/>
        <item h="1" m="1" x="4361"/>
        <item h="1" m="1" x="4400"/>
        <item h="1" m="1" x="4445"/>
        <item h="1" m="1" x="5707"/>
        <item h="1" m="1" x="6618"/>
        <item h="1" m="1" x="4454"/>
        <item h="1" m="1" x="5128"/>
        <item h="1" m="1" x="6620"/>
        <item h="1" m="1" x="6621"/>
        <item h="1" m="1" x="993"/>
        <item h="1" m="1" x="6028"/>
        <item h="1" m="1" x="6029"/>
        <item h="1" m="1" x="6321"/>
        <item h="1" m="1" x="6376"/>
        <item h="1" m="1" x="6378"/>
        <item h="1" m="1" x="5139"/>
        <item h="1" m="1" x="6325"/>
        <item h="1" m="1" x="6382"/>
        <item h="1" m="1" x="6389"/>
        <item h="1" m="1" x="6390"/>
        <item h="1" m="1" x="6391"/>
        <item h="1" x="34"/>
        <item h="1" m="1" x="3907"/>
        <item h="1" m="1" x="6045"/>
        <item h="1" m="1" x="6396"/>
        <item h="1" m="1" x="6400"/>
        <item h="1" m="1" x="6401"/>
        <item h="1" m="1" x="6402"/>
        <item h="1" m="1" x="5785"/>
        <item h="1" m="1" x="6330"/>
        <item h="1" m="1" x="6404"/>
        <item h="1" m="1" x="6406"/>
        <item h="1" m="1" x="6407"/>
        <item h="1" m="1" x="6409"/>
        <item h="1" m="1" x="6410"/>
        <item h="1" m="1" x="6411"/>
        <item h="1" m="1" x="6413"/>
        <item h="1" m="1" x="6414"/>
        <item h="1" m="1" x="6415"/>
        <item h="1" m="1" x="6416"/>
        <item h="1" m="1" x="6418"/>
        <item h="1" m="1" x="5865"/>
        <item h="1" m="1" x="6052"/>
        <item h="1" m="1" x="6420"/>
        <item h="1" m="1" x="6421"/>
        <item h="1" m="1" x="6422"/>
        <item h="1" m="1" x="4570"/>
        <item h="1" m="1" x="6423"/>
        <item h="1" m="1" x="6424"/>
        <item h="1" m="1" x="6425"/>
        <item h="1" m="1" x="5018"/>
        <item h="1" m="1" x="6426"/>
        <item h="1" m="1" x="6333"/>
        <item h="1" m="1" x="6432"/>
        <item h="1" m="1" x="6433"/>
        <item h="1" m="1" x="6436"/>
        <item h="1" m="1" x="6438"/>
        <item h="1" m="1" x="6441"/>
        <item h="1" m="1" x="6446"/>
        <item h="1" m="1" x="6336"/>
        <item h="1" m="1" x="6449"/>
        <item h="1" m="1" x="6453"/>
        <item h="1" m="1" x="6455"/>
        <item h="1" m="1" x="6456"/>
        <item h="1" m="1" x="6457"/>
        <item h="1" m="1" x="6064"/>
        <item h="1" m="1" x="6065"/>
        <item h="1" m="1" x="6463"/>
        <item h="1" m="1" x="6466"/>
        <item h="1" m="1" x="6467"/>
        <item h="1" m="1" x="6468"/>
        <item h="1" m="1" x="6469"/>
        <item h="1" m="1" x="6470"/>
        <item h="1" m="1" x="6471"/>
        <item h="1" m="1" x="6472"/>
        <item h="1" m="1" x="6473"/>
        <item h="1" m="1" x="6337"/>
        <item h="1" m="1" x="6475"/>
        <item h="1" m="1" x="2194"/>
        <item h="1" m="1" x="6340"/>
        <item h="1" m="1" x="6023"/>
        <item h="1" m="1" x="6478"/>
        <item h="1" m="1" x="4783"/>
        <item h="1" m="1" x="6486"/>
        <item h="1" m="1" x="5616"/>
        <item h="1" m="1" x="6487"/>
        <item h="1" m="1" x="6488"/>
        <item h="1" m="1" x="6489"/>
        <item h="1" m="1" x="6490"/>
        <item h="1" m="1" x="6491"/>
        <item h="1" m="1" x="6492"/>
        <item h="1" m="1" x="6502"/>
        <item h="1" m="1" x="6503"/>
        <item h="1" m="1" x="6504"/>
        <item h="1" m="1" x="6506"/>
        <item h="1" m="1" x="6343"/>
        <item h="1" m="1" x="4585"/>
        <item h="1" m="1" x="6514"/>
        <item h="1" m="1" x="6516"/>
        <item h="1" m="1" x="4448"/>
        <item h="1" m="1" x="5483"/>
        <item h="1" m="1" x="4534"/>
        <item h="1" m="1" x="5485"/>
        <item h="1" m="1" x="6353"/>
        <item h="1" m="1" x="6354"/>
        <item h="1" m="1" x="6519"/>
        <item h="1" m="1" x="6301"/>
        <item h="1" m="1" x="4527"/>
        <item h="1" m="1" x="4881"/>
        <item h="1" m="1" x="6522"/>
        <item h="1" m="1" x="6523"/>
        <item h="1" m="1" x="6524"/>
        <item h="1" m="1" x="4536"/>
        <item h="1" m="1" x="4489"/>
        <item h="1" m="1" x="5967"/>
        <item h="1" m="1" x="5968"/>
        <item h="1" m="1" x="5969"/>
        <item h="1" m="1" x="6527"/>
        <item h="1" m="1" x="4350"/>
        <item h="1" m="1" x="4376"/>
        <item h="1" m="1" x="5255"/>
        <item h="1" m="1" x="5821"/>
        <item h="1" m="1" x="6531"/>
        <item h="1" m="1" x="6373"/>
        <item h="1" m="1" x="5954"/>
        <item h="1" m="1" x="5825"/>
        <item h="1" m="1" x="6030"/>
        <item h="1" m="1" x="6034"/>
        <item h="1" m="1" x="6035"/>
        <item h="1" m="1" x="6037"/>
        <item h="1" m="1" x="6044"/>
        <item h="1" m="1" x="6042"/>
        <item h="1" m="1" x="6038"/>
        <item h="1" m="1" x="6039"/>
        <item h="1" m="1" x="6040"/>
        <item h="1" m="1" x="6041"/>
        <item h="1" m="1" x="4769"/>
        <item h="1" m="1" x="6324"/>
        <item h="1" m="1" x="2504"/>
        <item h="1" m="1" x="6190"/>
        <item h="1" m="1" x="6195"/>
        <item h="1" m="1" x="6196"/>
        <item h="1" m="1" x="6197"/>
        <item h="1" m="1" x="6198"/>
        <item h="1" m="1" x="6266"/>
        <item h="1" m="1" x="6194"/>
        <item h="1" m="1" x="5958"/>
        <item h="1" m="1" x="5959"/>
        <item h="1" m="1" x="6199"/>
        <item h="1" m="1" x="6332"/>
        <item h="1" m="1" x="6046"/>
        <item h="1" m="1" x="4704"/>
        <item h="1" m="1" x="497"/>
        <item h="1" m="1" x="6051"/>
        <item h="1" m="1" x="6334"/>
        <item h="1" m="1" x="6335"/>
        <item h="1" m="1" x="517"/>
        <item h="1" m="1" x="3897"/>
        <item h="1" m="1" x="6275"/>
        <item h="1" m="1" x="6057"/>
        <item h="1" x="426"/>
        <item h="1" m="1" x="6277"/>
        <item h="1" m="1" x="6278"/>
        <item h="1" m="1" x="6071"/>
        <item h="1" m="1" x="6072"/>
        <item h="1" m="1" x="6073"/>
        <item h="1" m="1" x="6067"/>
        <item h="1" m="1" x="6068"/>
        <item h="1" m="1" x="6338"/>
        <item h="1" m="1" x="6339"/>
        <item h="1" m="1" x="6075"/>
        <item h="1" m="1" x="937"/>
        <item h="1" m="1" x="6341"/>
        <item h="1" m="1" x="5816"/>
        <item h="1" m="1" x="5817"/>
        <item h="1" m="1" x="5601"/>
        <item h="1" m="1" x="6342"/>
        <item h="1" m="1" x="6076"/>
        <item h="1" m="1" x="6077"/>
        <item h="1" m="1" x="6078"/>
        <item h="1" m="1" x="6079"/>
        <item h="1" m="1" x="6083"/>
        <item h="1" m="1" x="6084"/>
        <item h="1" m="1" x="5818"/>
        <item h="1" m="1" x="6344"/>
        <item h="1" m="1" x="6231"/>
        <item h="1" m="1" x="6237"/>
        <item h="1" m="1" x="6235"/>
        <item h="1" m="1" x="6234"/>
        <item h="1" m="1" x="6238"/>
        <item h="1" m="1" x="6347"/>
        <item h="1" m="1" x="5964"/>
        <item h="1" m="1" x="6289"/>
        <item h="1" m="1" x="5819"/>
        <item h="1" m="1" x="6239"/>
        <item h="1" m="1" x="6242"/>
        <item h="1" m="1" x="6244"/>
        <item h="1" m="1" x="6247"/>
        <item h="1" m="1" x="6248"/>
        <item h="1" m="1" x="6243"/>
        <item h="1" m="1" x="6246"/>
        <item h="1" m="1" x="6245"/>
        <item h="1" m="1" x="6240"/>
        <item h="1" m="1" x="4519"/>
        <item h="1" m="1" x="4539"/>
        <item h="1" m="1" x="6357"/>
        <item h="1" m="1" x="6251"/>
        <item h="1" m="1" x="6303"/>
        <item h="1" m="1" x="6304"/>
        <item h="1" m="1" x="6358"/>
        <item h="1" m="1" x="5820"/>
        <item h="1" m="1" x="6306"/>
        <item h="1" m="1" x="6359"/>
        <item h="1" m="1" x="4406"/>
        <item h="1" m="1" x="6308"/>
        <item h="1" m="1" x="6362"/>
        <item h="1" m="1" x="6364"/>
        <item h="1" m="1" x="6365"/>
        <item h="1" m="1" x="6367"/>
        <item h="1" m="1" x="6369"/>
        <item h="1" m="1" x="6374"/>
        <item h="1" m="1" x="5823"/>
        <item h="1" m="1" x="5824"/>
        <item h="1" m="1" x="5822"/>
        <item h="1" m="1" x="2632"/>
        <item h="1" m="1" x="5527"/>
        <item h="1" m="1" x="6262"/>
        <item h="1" m="1" x="6263"/>
        <item h="1" m="1" x="6264"/>
        <item h="1" m="1" x="5662"/>
        <item h="1" m="1" x="6043"/>
        <item h="1" m="1" x="6036"/>
        <item h="1" m="1" x="821"/>
        <item h="1" m="1" x="6265"/>
        <item h="1" m="1" x="6203"/>
        <item h="1" m="1" x="6204"/>
        <item h="1" m="1" x="6268"/>
        <item h="1" m="1" x="6205"/>
        <item h="1" m="1" x="6193"/>
        <item h="1" m="1" x="6207"/>
        <item h="1" m="1" x="6191"/>
        <item h="1" m="1" x="6208"/>
        <item h="1" m="1" x="6269"/>
        <item h="1" m="1" x="6047"/>
        <item h="1" m="1" x="6270"/>
        <item h="1" m="1" x="6271"/>
        <item h="1" m="1" x="6272"/>
        <item h="1" m="1" x="6273"/>
        <item h="1" m="1" x="6274"/>
        <item h="1" m="1" x="6048"/>
        <item h="1" m="1" x="6055"/>
        <item h="1" m="1" x="5498"/>
        <item h="1" m="1" x="6217"/>
        <item h="1" m="1" x="6218"/>
        <item h="1" m="1" x="6219"/>
        <item h="1" m="1" x="6216"/>
        <item h="1" m="1" x="6053"/>
        <item h="1" m="1" x="6220"/>
        <item h="1" m="1" x="6276"/>
        <item h="1" m="1" x="6060"/>
        <item h="1" m="1" x="6061"/>
        <item h="1" m="1" x="6062"/>
        <item h="1" m="1" x="6074"/>
        <item h="1" m="1" x="6279"/>
        <item h="1" m="1" x="6280"/>
        <item h="1" m="1" x="6066"/>
        <item h="1" m="1" x="6221"/>
        <item h="1" m="1" x="6281"/>
        <item h="1" m="1" x="6282"/>
        <item h="1" m="1" x="6283"/>
        <item h="1" m="1" x="6226"/>
        <item h="1" m="1" x="6222"/>
        <item h="1" m="1" x="6223"/>
        <item h="1" m="1" x="6225"/>
        <item h="1" m="1" x="6224"/>
        <item h="1" m="1" x="5675"/>
        <item h="1" m="1" x="5837"/>
        <item h="1" m="1" x="3886"/>
        <item h="1" m="1" x="6284"/>
        <item h="1" m="1" x="6081"/>
        <item h="1" m="1" x="6229"/>
        <item h="1" m="1" x="6285"/>
        <item h="1" m="1" x="4520"/>
        <item h="1" m="1" x="6286"/>
        <item h="1" m="1" x="5961"/>
        <item h="1" m="1" x="5962"/>
        <item h="1" m="1" x="6287"/>
        <item h="1" m="1" x="6085"/>
        <item h="1" m="1" x="4510"/>
        <item h="1" m="1" x="4377"/>
        <item h="1" m="1" x="6290"/>
        <item h="1" m="1" x="6291"/>
        <item h="1" m="1" x="6292"/>
        <item h="1" m="1" x="6293"/>
        <item h="1" m="1" x="6296"/>
        <item h="1" m="1" x="6297"/>
        <item h="1" m="1" x="6298"/>
        <item h="1" m="1" x="6299"/>
        <item h="1" m="1" x="6300"/>
        <item h="1" m="1" x="5725"/>
        <item h="1" m="1" x="5965"/>
        <item h="1" m="1" x="5966"/>
        <item h="1" m="1" x="4538"/>
        <item h="1" m="1" x="4537"/>
        <item h="1" m="1" x="3936"/>
        <item h="1" m="1" x="6302"/>
        <item h="1" m="1" x="5839"/>
        <item h="1" m="1" x="6252"/>
        <item h="1" m="1" x="6309"/>
        <item h="1" m="1" x="6310"/>
        <item h="1" m="1" x="6311"/>
        <item h="1" m="1" x="6312"/>
        <item h="1" m="1" x="6313"/>
        <item h="1" m="1" x="6314"/>
        <item h="1" m="1" x="6315"/>
        <item h="1" m="1" x="6316"/>
        <item h="1" m="1" x="6317"/>
        <item h="1" m="1" x="6318"/>
        <item h="1" m="1" x="5842"/>
        <item h="1" m="1" x="6319"/>
        <item h="1" m="1" x="5126"/>
        <item h="1" m="1" x="2362"/>
        <item h="1" m="1" x="6320"/>
        <item h="1" m="1" x="5533"/>
        <item h="1" m="1" x="5534"/>
        <item h="1" m="1" x="1096"/>
        <item h="1" m="1" x="5863"/>
        <item h="1" m="1" x="6031"/>
        <item h="1" m="1" x="6032"/>
        <item h="1" m="1" x="6033"/>
        <item h="1" m="1" x="6188"/>
        <item h="1" m="1" x="6095"/>
        <item h="1" m="1" x="6096"/>
        <item h="1" m="1" x="5826"/>
        <item h="1" m="1" x="2299"/>
        <item h="1" m="1" x="4694"/>
        <item h="1" m="1" x="6192"/>
        <item h="1" m="1" x="5163"/>
        <item h="1" m="1" x="6200"/>
        <item h="1" m="1" x="6201"/>
        <item h="1" m="1" x="3295"/>
        <item h="1" m="1" x="6209"/>
        <item h="1" m="1" x="6050"/>
        <item h="1" m="1" x="6049"/>
        <item h="1" m="1" x="6210"/>
        <item h="1" m="1" x="6211"/>
        <item h="1" m="1" x="2515"/>
        <item h="1" m="1" x="6212"/>
        <item h="1" m="1" x="6213"/>
        <item h="1" m="1" x="6103"/>
        <item h="1" m="1" x="6104"/>
        <item h="1" m="1" x="6111"/>
        <item h="1" m="1" x="6116"/>
        <item h="1" m="1" x="6117"/>
        <item h="1" m="1" x="6214"/>
        <item h="1" m="1" x="6215"/>
        <item h="1" m="1" x="3895"/>
        <item h="1" m="1" x="4803"/>
        <item h="1" m="1" x="6056"/>
        <item h="1" m="1" x="6122"/>
        <item h="1" m="1" x="6129"/>
        <item h="1" m="1" x="6063"/>
        <item h="1" m="1" x="6132"/>
        <item h="1" m="1" x="6069"/>
        <item h="1" m="1" x="6227"/>
        <item h="1" m="1" x="5395"/>
        <item h="1" m="1" x="5681"/>
        <item h="1" m="1" x="5669"/>
        <item h="1" m="1" x="6080"/>
        <item h="1" m="1" x="6174"/>
        <item h="1" m="1" x="6181"/>
        <item h="1" m="1" x="6082"/>
        <item h="1" m="1" x="6228"/>
        <item h="1" m="1" x="6179"/>
        <item h="1" m="1" x="6230"/>
        <item h="1" m="1" x="6232"/>
        <item h="1" m="1" x="6233"/>
        <item h="1" m="1" x="4394"/>
        <item h="1" m="1" x="5838"/>
        <item h="1" m="1" x="5724"/>
        <item h="1" m="1" x="4719"/>
        <item h="1" m="1" x="6249"/>
        <item h="1" m="1" x="2648"/>
        <item h="1" m="1" x="6250"/>
        <item h="1" m="1" x="4744"/>
        <item h="1" m="1" x="6253"/>
        <item h="1" m="1" x="6254"/>
        <item h="1" m="1" x="6255"/>
        <item h="1" m="1" x="6257"/>
        <item h="1" m="1" x="6162"/>
        <item h="1" m="1" x="5656"/>
        <item h="1" m="1" x="5360"/>
        <item h="1" m="1" x="6259"/>
        <item h="1" m="1" x="6260"/>
        <item h="1" m="1" x="5660"/>
        <item h="1" m="1" x="5713"/>
        <item h="1" m="1" x="5292"/>
        <item h="1" m="1" x="6163"/>
        <item h="1" m="1" x="1251"/>
        <item h="1" m="1" x="6086"/>
        <item h="1" m="1" x="6087"/>
        <item h="1" m="1" x="6088"/>
        <item h="1" m="1" x="6089"/>
        <item h="1" m="1" x="6090"/>
        <item h="1" m="1" x="6091"/>
        <item h="1" m="1" x="6092"/>
        <item h="1" m="1" x="6093"/>
        <item h="1" m="1" x="6094"/>
        <item h="1" m="1" x="6097"/>
        <item h="1" m="1" x="521"/>
        <item h="1" m="1" x="6098"/>
        <item h="1" m="1" x="6099"/>
        <item h="1" m="1" x="6100"/>
        <item h="1" m="1" x="5147"/>
        <item h="1" m="1" x="5828"/>
        <item h="1" m="1" x="503"/>
        <item h="1" m="1" x="6101"/>
        <item h="1" m="1" x="5829"/>
        <item h="1" m="1" x="6102"/>
        <item h="1" m="1" x="5719"/>
        <item h="1" m="1" x="5956"/>
        <item h="1" m="1" x="5957"/>
        <item h="1" m="1" x="3141"/>
        <item h="1" m="1" x="6105"/>
        <item h="1" m="1" x="6106"/>
        <item h="1" m="1" x="6107"/>
        <item h="1" m="1" x="6108"/>
        <item h="1" m="1" x="6109"/>
        <item h="1" m="1" x="6110"/>
        <item h="1" m="1" x="6112"/>
        <item h="1" m="1" x="6113"/>
        <item h="1" m="1" x="6114"/>
        <item h="1" m="1" x="6115"/>
        <item h="1" m="1" x="6118"/>
        <item h="1" m="1" x="6119"/>
        <item h="1" m="1" x="6120"/>
        <item h="1" m="1" x="6121"/>
        <item h="1" m="1" x="607"/>
        <item h="1" m="1" x="6123"/>
        <item h="1" m="1" x="6124"/>
        <item h="1" m="1" x="6125"/>
        <item h="1" m="1" x="6126"/>
        <item h="1" m="1" x="6127"/>
        <item h="1" m="1" x="6128"/>
        <item h="1" m="1" x="6130"/>
        <item h="1" m="1" x="6131"/>
        <item h="1" m="1" x="6133"/>
        <item h="1" m="1" x="6134"/>
        <item h="1" m="1" x="6135"/>
        <item h="1" m="1" x="4052"/>
        <item h="1" m="1" x="6136"/>
        <item h="1" m="1" x="6137"/>
        <item h="1" m="1" x="5600"/>
        <item h="1" m="1" x="5670"/>
        <item h="1" m="1" x="5671"/>
        <item h="1" x="269"/>
        <item h="1" m="1" x="6138"/>
        <item h="1" m="1" x="6139"/>
        <item h="1" m="1" x="6140"/>
        <item h="1" m="1" x="1634"/>
        <item h="1" m="1" x="6141"/>
        <item h="1" m="1" x="6142"/>
        <item h="1" m="1" x="6143"/>
        <item h="1" m="1" x="4595"/>
        <item h="1" m="1" x="6144"/>
        <item h="1" m="1" x="6145"/>
        <item h="1" m="1" x="5990"/>
        <item h="1" m="1" x="5991"/>
        <item h="1" m="1" x="4460"/>
        <item h="1" m="1" x="6146"/>
        <item h="1" m="1" x="6147"/>
        <item h="1" m="1" x="4533"/>
        <item h="1" m="1" x="6148"/>
        <item h="1" m="1" x="6149"/>
        <item h="1" m="1" x="6150"/>
        <item h="1" m="1" x="4666"/>
        <item h="1" m="1" x="4310"/>
        <item h="1" m="1" x="6151"/>
        <item h="1" m="1" x="4530"/>
        <item h="1" m="1" x="6152"/>
        <item h="1" m="1" x="6153"/>
        <item h="1" m="1" x="6154"/>
        <item h="1" m="1" x="5427"/>
        <item h="1" m="1" x="5970"/>
        <item h="1" m="1" x="5971"/>
        <item h="1" m="1" x="6155"/>
        <item h="1" m="1" x="6156"/>
        <item h="1" m="1" x="6157"/>
        <item h="1" m="1" x="6158"/>
        <item h="1" m="1" x="6159"/>
        <item h="1" m="1" x="4309"/>
        <item h="1" m="1" x="6160"/>
        <item h="1" m="1" x="5841"/>
        <item h="1" m="1" x="6161"/>
        <item h="1" m="1" x="4271"/>
        <item h="1" x="96"/>
        <item h="1" m="1" x="5844"/>
        <item h="1" m="1" x="5983"/>
        <item h="1" m="1" x="6164"/>
        <item h="1" m="1" x="6165"/>
        <item h="1" m="1" x="6167"/>
        <item h="1" m="1" x="6168"/>
        <item h="1" m="1" x="6169"/>
        <item h="1" m="1" x="6170"/>
        <item h="1" m="1" x="6171"/>
        <item h="1" m="1" x="5476"/>
        <item h="1" m="1" x="6172"/>
        <item h="1" m="1" x="6173"/>
        <item h="1" m="1" x="6175"/>
        <item h="1" m="1" x="6176"/>
        <item h="1" m="1" x="6177"/>
        <item h="1" m="1" x="6178"/>
        <item h="1" m="1" x="6180"/>
        <item h="1" m="1" x="6182"/>
        <item h="1" m="1" x="6183"/>
        <item h="1" m="1" x="6184"/>
        <item h="1" m="1" x="6185"/>
        <item h="1" m="1" x="6186"/>
        <item h="1" m="1" x="6187"/>
        <item h="1" m="1" x="6008"/>
        <item h="1" m="1" x="6009"/>
        <item h="1" m="1" x="6010"/>
        <item h="1" m="1" x="453"/>
        <item h="1" m="1" x="5955"/>
        <item h="1" m="1" x="5972"/>
        <item h="1" m="1" x="5973"/>
        <item h="1" m="1" x="2633"/>
        <item h="1" m="1" x="5974"/>
        <item h="1" m="1" x="5975"/>
        <item h="1" m="1" x="5976"/>
        <item h="1" m="1" x="5977"/>
        <item h="1" m="1" x="5846"/>
        <item h="1" m="1" x="5544"/>
        <item h="1" m="1" x="5847"/>
        <item h="1" m="1" x="5131"/>
        <item h="1" m="1" x="5848"/>
        <item h="1" m="1" x="5827"/>
        <item h="1" m="1" x="3646"/>
        <item h="1" m="1" x="857"/>
        <item h="1" m="1" x="5980"/>
        <item h="1" m="1" x="3168"/>
        <item h="1" m="1" x="5153"/>
        <item h="1" m="1" x="5981"/>
        <item h="1" m="1" x="5982"/>
        <item h="1" m="1" x="5716"/>
        <item h="1" m="1" x="5449"/>
        <item h="1" m="1" x="5851"/>
        <item h="1" m="1" x="4196"/>
        <item h="1" m="1" x="5984"/>
        <item h="1" m="1" x="5830"/>
        <item h="1" m="1" x="5985"/>
        <item h="1" m="1" x="5986"/>
        <item h="1" m="1" x="5987"/>
        <item h="1" m="1" x="5464"/>
        <item h="1" m="1" x="5989"/>
        <item h="1" m="1" x="5866"/>
        <item h="1" m="1" x="5867"/>
        <item h="1" m="1" x="5836"/>
        <item h="1" m="1" x="5873"/>
        <item h="1" m="1" x="5876"/>
        <item h="1" m="1" x="5877"/>
        <item h="1" m="1" x="5878"/>
        <item h="1" m="1" x="5879"/>
        <item h="1" m="1" x="5831"/>
        <item h="1" m="1" x="5832"/>
        <item h="1" m="1" x="5833"/>
        <item h="1" m="1" x="5834"/>
        <item h="1" m="1" x="5835"/>
        <item h="1" m="1" x="5884"/>
        <item h="1" m="1" x="5908"/>
        <item h="1" m="1" x="4343"/>
        <item h="1" m="1" x="5337"/>
        <item h="1" m="1" x="4948"/>
        <item h="1" m="1" x="5992"/>
        <item h="1" m="1" x="4742"/>
        <item h="1" m="1" x="4743"/>
        <item h="1" m="1" x="5993"/>
        <item h="1" m="1" x="5994"/>
        <item h="1" m="1" x="5995"/>
        <item h="1" m="1" x="5996"/>
        <item h="1" m="1" x="5997"/>
        <item h="1" m="1" x="5998"/>
        <item h="1" m="1" x="6000"/>
        <item h="1" m="1" x="6001"/>
        <item h="1" m="1" x="6002"/>
        <item h="1" m="1" x="3012"/>
        <item h="1" m="1" x="4308"/>
        <item h="1" m="1" x="6003"/>
        <item h="1" m="1" x="6004"/>
        <item h="1" m="1" x="4970"/>
        <item h="1" m="1" x="4750"/>
        <item h="1" m="1" x="6005"/>
        <item h="1" m="1" x="5840"/>
        <item h="1" m="1" x="4491"/>
        <item h="1" m="1" x="6006"/>
        <item h="1" m="1" x="6007"/>
        <item h="1" m="1" x="4455"/>
        <item h="1" m="1" x="769"/>
        <item h="1" m="1" x="5517"/>
        <item h="1" m="1" x="4911"/>
        <item h="1" m="1" x="5521"/>
        <item h="1" m="1" x="5523"/>
        <item h="1" m="1" x="5130"/>
        <item h="1" m="1" x="2644"/>
        <item h="1" m="1" x="5845"/>
        <item h="1" m="1" x="5732"/>
        <item h="1" m="1" x="5717"/>
        <item h="1" m="1" x="5852"/>
        <item h="1" m="1" x="5853"/>
        <item h="1" m="1" x="5377"/>
        <item h="1" m="1" x="5148"/>
        <item h="1" m="1" x="5854"/>
        <item h="1" m="1" x="5720"/>
        <item h="1" x="112"/>
        <item h="1" m="1" x="5469"/>
        <item h="1" m="1" x="5856"/>
        <item h="1" m="1" x="5857"/>
        <item h="1" m="1" x="5858"/>
        <item h="1" m="1" x="5316"/>
        <item h="1" m="1" x="4804"/>
        <item h="1" m="1" x="5860"/>
        <item h="1" x="345"/>
        <item h="1" m="1" x="5582"/>
        <item h="1" m="1" x="5861"/>
        <item h="1" m="1" x="5862"/>
        <item h="1" m="1" x="5864"/>
        <item h="1" m="1" x="2030"/>
        <item h="1" m="1" x="5868"/>
        <item h="1" m="1" x="5869"/>
        <item h="1" m="1" x="5870"/>
        <item h="1" m="1" x="5871"/>
        <item h="1" m="1" x="5872"/>
        <item h="1" m="1" x="5874"/>
        <item h="1" m="1" x="5178"/>
        <item h="1" m="1" x="5875"/>
        <item h="1" m="1" x="5880"/>
        <item h="1" m="1" x="5881"/>
        <item h="1" m="1" x="5882"/>
        <item h="1" m="1" x="5537"/>
        <item h="1" m="1" x="2223"/>
        <item h="1" m="1" x="4548"/>
        <item h="1" m="1" x="5883"/>
        <item h="1" m="1" x="5448"/>
        <item h="1" m="1" x="5886"/>
        <item h="1" x="127"/>
        <item h="1" m="1" x="5474"/>
        <item h="1" m="1" x="5887"/>
        <item h="1" m="1" x="4714"/>
        <item h="1" m="1" x="5609"/>
        <item h="1" m="1" x="5610"/>
        <item h="1" m="1" x="5888"/>
        <item h="1" m="1" x="5889"/>
        <item h="1" m="1" x="5890"/>
        <item h="1" m="1" x="5891"/>
        <item h="1" m="1" x="5892"/>
        <item h="1" m="1" x="5893"/>
        <item h="1" m="1" x="5894"/>
        <item h="1" m="1" x="5895"/>
        <item h="1" m="1" x="5896"/>
        <item h="1" m="1" x="5723"/>
        <item h="1" m="1" x="4306"/>
        <item h="1" m="1" x="4339"/>
        <item h="1" m="1" x="5347"/>
        <item h="1" m="1" x="5898"/>
        <item h="1" m="1" x="4258"/>
        <item h="1" m="1" x="5766"/>
        <item h="1" m="1" x="5767"/>
        <item h="1" m="1" x="5899"/>
        <item h="1" m="1" x="5501"/>
        <item h="1" m="1" x="5506"/>
        <item h="1" m="1" x="5900"/>
        <item h="1" m="1" x="5112"/>
        <item h="1" m="1" x="5792"/>
        <item h="1" m="1" x="5901"/>
        <item h="1" m="1" x="5902"/>
        <item h="1" m="1" x="5903"/>
        <item h="1" m="1" x="5789"/>
        <item h="1" m="1" x="5790"/>
        <item h="1" m="1" x="5904"/>
        <item h="1" m="1" x="5794"/>
        <item h="1" m="1" x="5905"/>
        <item h="1" m="1" x="5786"/>
        <item h="1" m="1" x="5906"/>
        <item h="1" m="1" x="2571"/>
        <item h="1" m="1" x="5787"/>
        <item h="1" m="1" x="5788"/>
        <item h="1" m="1" x="5907"/>
        <item h="1" m="1" x="5909"/>
        <item h="1" m="1" x="5910"/>
        <item h="1" m="1" x="5911"/>
        <item h="1" m="1" x="5912"/>
        <item h="1" m="1" x="5741"/>
        <item h="1" m="1" x="5913"/>
        <item h="1" m="1" x="5914"/>
        <item h="1" m="1" x="5915"/>
        <item h="1" m="1" x="5916"/>
        <item h="1" m="1" x="5917"/>
        <item h="1" m="1" x="5918"/>
        <item h="1" m="1" x="5171"/>
        <item h="1" m="1" x="5919"/>
        <item h="1" m="1" x="5920"/>
        <item h="1" m="1" x="5659"/>
        <item h="1" m="1" x="5922"/>
        <item h="1" m="1" x="5923"/>
        <item h="1" m="1" x="5924"/>
        <item h="1" m="1" x="5756"/>
        <item h="1" m="1" x="5925"/>
        <item h="1" m="1" x="4486"/>
        <item h="1" m="1" x="4449"/>
        <item h="1" m="1" x="5926"/>
        <item h="1" m="1" x="5927"/>
        <item h="1" m="1" x="5928"/>
        <item h="1" m="1" x="5929"/>
        <item h="1" m="1" x="5930"/>
        <item h="1" m="1" x="4532"/>
        <item h="1" m="1" x="5783"/>
        <item h="1" m="1" x="5777"/>
        <item h="1" m="1" x="5931"/>
        <item h="1" m="1" x="5779"/>
        <item h="1" m="1" x="5774"/>
        <item h="1" m="1" x="5932"/>
        <item h="1" m="1" x="5933"/>
        <item h="1" m="1" x="5693"/>
        <item h="1" m="1" x="5934"/>
        <item h="1" m="1" x="5784"/>
        <item h="1" m="1" x="4334"/>
        <item h="1" m="1" x="4488"/>
        <item h="1" m="1" x="5507"/>
        <item h="1" m="1" x="5935"/>
        <item h="1" m="1" x="4583"/>
        <item h="1" m="1" x="5936"/>
        <item h="1" m="1" x="5937"/>
        <item h="1" m="1" x="5938"/>
        <item h="1" m="1" x="5793"/>
        <item h="1" m="1" x="5939"/>
        <item h="1" m="1" x="5940"/>
        <item h="1" m="1" x="5710"/>
        <item h="1" m="1" x="5524"/>
        <item h="1" m="1" x="5941"/>
        <item h="1" m="1" x="5942"/>
        <item h="1" m="1" x="5532"/>
        <item h="1" m="1" x="5722"/>
        <item h="1" m="1" x="4240"/>
        <item h="1" m="1" x="4239"/>
        <item h="1" m="1" x="4546"/>
        <item h="1" m="1" x="4105"/>
        <item h="1" m="1" x="5729"/>
        <item h="1" m="1" x="5730"/>
        <item h="1" m="1" x="5731"/>
        <item h="1" m="1" x="5661"/>
        <item h="1" m="1" x="5733"/>
        <item h="1" m="1" x="5734"/>
        <item h="1" m="1" x="5735"/>
        <item h="1" m="1" x="5736"/>
        <item h="1" m="1" x="4182"/>
        <item h="1" m="1" x="5450"/>
        <item h="1" m="1" x="5451"/>
        <item h="1" m="1" x="5379"/>
        <item h="1" m="1" x="4608"/>
        <item h="1" m="1" x="5159"/>
        <item h="1" m="1" x="5160"/>
        <item h="1" m="1" x="5740"/>
        <item h="1" m="1" x="5743"/>
        <item h="1" m="1" x="5744"/>
        <item h="1" m="1" x="5667"/>
        <item h="1" m="1" x="5745"/>
        <item h="1" m="1" x="5746"/>
        <item h="1" m="1" x="5747"/>
        <item h="1" m="1" x="5748"/>
        <item h="1" m="1" x="3896"/>
        <item h="1" m="1" x="5566"/>
        <item h="1" m="1" x="5750"/>
        <item h="1" m="1" x="5463"/>
        <item h="1" m="1" x="5751"/>
        <item h="1" m="1" x="5752"/>
        <item h="1" m="1" x="1065"/>
        <item h="1" m="1" x="5588"/>
        <item h="1" m="1" x="5753"/>
        <item h="1" m="1" x="5594"/>
        <item h="1" m="1" x="4778"/>
        <item h="1" m="1" x="5754"/>
        <item h="1" m="1" x="5755"/>
        <item h="1" m="1" x="5583"/>
        <item h="1" m="1" x="5679"/>
        <item h="1" m="1" x="5604"/>
        <item h="1" m="1" x="5678"/>
        <item h="1" m="1" x="5677"/>
        <item h="1" m="1" x="5603"/>
        <item h="1" m="1" x="5605"/>
        <item h="1" m="1" x="5757"/>
        <item h="1" m="1" x="4604"/>
        <item h="1" m="1" x="5758"/>
        <item h="1" m="1" x="5759"/>
        <item h="1" m="1" x="5760"/>
        <item h="1" m="1" x="5761"/>
        <item h="1" m="1" x="5762"/>
        <item h="1" m="1" x="5418"/>
        <item h="1" m="1" x="5763"/>
        <item h="1" m="1" x="5764"/>
        <item h="1" m="1" x="5765"/>
        <item h="1" m="1" x="4413"/>
        <item h="1" m="1" x="4382"/>
        <item h="1" m="1" x="5769"/>
        <item h="1" m="1" x="5771"/>
        <item h="1" m="1" x="5772"/>
        <item h="1" m="1" x="5773"/>
        <item h="1" m="1" x="5775"/>
        <item h="1" m="1" x="5776"/>
        <item h="1" m="1" x="5688"/>
        <item h="1" m="1" x="5780"/>
        <item h="1" m="1" x="5782"/>
        <item h="1" m="1" x="5105"/>
        <item h="1" m="1" x="5791"/>
        <item h="1" m="1" x="5795"/>
        <item h="1" m="1" x="5431"/>
        <item h="1" m="1" x="5432"/>
        <item h="1" m="1" x="5796"/>
        <item h="1" m="1" x="5797"/>
        <item h="1" m="1" x="3882"/>
        <item h="1" m="1" x="4183"/>
        <item h="1" m="1" x="5714"/>
        <item h="1" m="1" x="5798"/>
        <item h="1" m="1" x="5545"/>
        <item h="1" m="1" x="5799"/>
        <item h="1" m="1" x="5800"/>
        <item h="1" m="1" x="5801"/>
        <item h="1" m="1" x="5802"/>
        <item h="1" m="1" x="5803"/>
        <item h="1" m="1" x="5804"/>
        <item h="1" m="1" x="2658"/>
        <item h="1" m="1" x="5805"/>
        <item h="1" m="1" x="4841"/>
        <item h="1" m="1" x="5807"/>
        <item h="1" m="1" x="5808"/>
        <item h="1" m="1" x="5809"/>
        <item h="1" m="1" x="5810"/>
        <item h="1" m="1" x="1682"/>
        <item h="1" m="1" x="5811"/>
        <item h="1" m="1" x="5812"/>
        <item h="1" m="1" x="5813"/>
        <item h="1" m="1" x="4523"/>
        <item h="1" m="1" x="5814"/>
        <item h="1" m="1" x="2128"/>
        <item h="1" m="1" x="5815"/>
        <item h="1" m="1" x="5699"/>
        <item h="1" m="1" x="5540"/>
        <item h="1" m="1" x="5542"/>
        <item h="1" m="1" x="5541"/>
        <item h="1" m="1" x="5444"/>
        <item h="1" m="1" x="5546"/>
        <item h="1" m="1" x="5052"/>
        <item h="1" m="1" x="5663"/>
        <item h="1" m="1" x="5664"/>
        <item h="1" m="1" x="2575"/>
        <item h="1" m="1" x="5550"/>
        <item h="1" m="1" x="5376"/>
        <item h="1" m="1" x="5378"/>
        <item h="1" m="1" x="5555"/>
        <item h="1" m="1" x="5452"/>
        <item h="1" m="1" x="5556"/>
        <item h="1" m="1" x="5558"/>
        <item h="1" m="1" x="5559"/>
        <item h="1" m="1" x="5158"/>
        <item h="1" m="1" x="5564"/>
        <item h="1" m="1" x="5565"/>
        <item h="1" m="1" x="5665"/>
        <item h="1" m="1" x="5666"/>
        <item h="1" m="1" x="5570"/>
        <item h="1" m="1" x="5571"/>
        <item h="1" m="1" x="5577"/>
        <item h="1" m="1" x="5578"/>
        <item h="1" m="1" x="5470"/>
        <item h="1" m="1" x="5581"/>
        <item h="1" m="1" x="5668"/>
        <item h="1" m="1" x="5592"/>
        <item h="1" m="1" x="5587"/>
        <item h="1" m="1" x="5590"/>
        <item h="1" m="1" x="5597"/>
        <item h="1" m="1" x="5602"/>
        <item h="1" m="1" x="5680"/>
        <item h="1" m="1" x="5608"/>
        <item h="1" m="1" x="5613"/>
        <item h="1" m="1" x="5618"/>
        <item h="1" m="1" x="5619"/>
        <item h="1" m="1" x="5620"/>
        <item h="1" m="1" x="5621"/>
        <item h="1" m="1" x="5622"/>
        <item h="1" m="1" x="5682"/>
        <item h="1" m="1" x="5683"/>
        <item h="1" m="1" x="5684"/>
        <item h="1" m="1" x="5685"/>
        <item h="1" m="1" x="5075"/>
        <item h="1" m="1" x="4385"/>
        <item h="1" m="1" x="4225"/>
        <item h="1" m="1" x="5486"/>
        <item h="1" m="1" x="4217"/>
        <item h="1" m="1" x="4226"/>
        <item h="1" m="1" x="4221"/>
        <item h="1" m="1" x="4222"/>
        <item h="1" m="1" x="4224"/>
        <item h="1" m="1" x="5687"/>
        <item h="1" m="1" x="4511"/>
        <item h="1" m="1" x="4512"/>
        <item h="1" m="1" x="5689"/>
        <item h="1" m="1" x="5690"/>
        <item h="1" m="1" x="5691"/>
        <item h="1" m="1" x="5692"/>
        <item h="1" m="1" x="4469"/>
        <item h="1" m="1" x="4470"/>
        <item h="1" m="1" x="5694"/>
        <item h="1" m="1" x="5490"/>
        <item h="1" m="1" x="5491"/>
        <item h="1" m="1" x="5696"/>
        <item h="1" m="1" x="4351"/>
        <item h="1" m="1" x="5702"/>
        <item h="1" m="1" x="5512"/>
        <item h="1" m="1" x="4227"/>
        <item h="1" m="1" x="4223"/>
        <item h="1" m="1" x="5652"/>
        <item h="1" m="1" x="5706"/>
        <item h="1" m="1" x="5709"/>
        <item h="1" m="1" x="5711"/>
        <item h="1" m="1" x="5712"/>
        <item h="1" m="1" x="5530"/>
        <item h="1" m="1" x="5440"/>
        <item h="1" m="1" x="5543"/>
        <item h="1" m="1" x="5371"/>
        <item h="1" x="402"/>
        <item h="1" m="1" x="5548"/>
        <item h="1" m="1" x="5549"/>
        <item h="1" m="1" x="5552"/>
        <item h="1" m="1" x="1620"/>
        <item h="1" m="1" x="5553"/>
        <item h="1" m="1" x="5554"/>
        <item h="1" m="1" x="5380"/>
        <item h="1" m="1" x="5454"/>
        <item h="1" m="1" x="5557"/>
        <item h="1" m="1" x="5384"/>
        <item h="1" m="1" x="2813"/>
        <item h="1" m="1" x="5154"/>
        <item h="1" m="1" x="5155"/>
        <item h="1" m="1" x="5561"/>
        <item h="1" m="1" x="5563"/>
        <item h="1" m="1" x="5567"/>
        <item h="1" m="1" x="5390"/>
        <item h="1" m="1" x="5568"/>
        <item h="1" m="1" x="5572"/>
        <item h="1" m="1" x="1997"/>
        <item h="1" m="1" x="5573"/>
        <item h="1" m="1" x="5574"/>
        <item h="1" m="1" x="5466"/>
        <item h="1" m="1" x="5467"/>
        <item h="1" m="1" x="5468"/>
        <item h="1" m="1" x="5575"/>
        <item h="1" m="1" x="5319"/>
        <item h="1" m="1" x="5576"/>
        <item h="1" m="1" x="561"/>
        <item h="1" m="1" x="5579"/>
        <item h="1" m="1" x="2638"/>
        <item h="1" m="1" x="5585"/>
        <item h="1" m="1" x="5589"/>
        <item h="1" m="1" x="5591"/>
        <item h="1" m="1" x="5177"/>
        <item h="1" m="1" x="5595"/>
        <item h="1" m="1" x="5596"/>
        <item h="1" m="1" x="5598"/>
        <item h="1" m="1" x="5599"/>
        <item h="1" m="1" x="872"/>
        <item h="1" m="1" x="5607"/>
        <item h="1" m="1" x="5611"/>
        <item h="1" m="1" x="5612"/>
        <item h="1" m="1" x="5614"/>
        <item h="1" m="1" x="5615"/>
        <item h="1" m="1" x="5617"/>
        <item h="1" m="1" x="5623"/>
        <item h="1" m="1" x="5477"/>
        <item h="1" m="1" x="5404"/>
        <item h="1" m="1" x="5479"/>
        <item h="1" m="1" x="5624"/>
        <item h="1" m="1" x="5625"/>
        <item h="1" m="1" x="5626"/>
        <item h="1" m="1" x="4402"/>
        <item h="1" m="1" x="5627"/>
        <item h="1" m="1" x="5353"/>
        <item h="1" m="1" x="5628"/>
        <item h="1" m="1" x="5080"/>
        <item h="1" m="1" x="4220"/>
        <item h="1" m="1" x="5630"/>
        <item h="1" m="1" x="5631"/>
        <item h="1" m="1" x="4307"/>
        <item h="1" m="1" x="4256"/>
        <item h="1" m="1" x="4253"/>
        <item h="1" m="1" x="5633"/>
        <item h="1" m="1" x="5634"/>
        <item h="1" m="1" x="5635"/>
        <item h="1" m="1" x="5636"/>
        <item h="1" m="1" x="5637"/>
        <item h="1" m="1" x="5638"/>
        <item h="1" m="1" x="5639"/>
        <item h="1" m="1" x="5641"/>
        <item h="1" m="1" x="4543"/>
        <item h="1" m="1" x="5642"/>
        <item h="1" m="1" x="5643"/>
        <item h="1" m="1" x="5644"/>
        <item h="1" m="1" x="5497"/>
        <item h="1" m="1" x="5647"/>
        <item h="1" m="1" x="5648"/>
        <item h="1" m="1" x="5649"/>
        <item h="1" m="1" x="5650"/>
        <item h="1" m="1" x="5651"/>
        <item h="1" m="1" x="5653"/>
        <item h="1" m="1" x="5267"/>
        <item h="1" m="1" x="5654"/>
        <item h="1" m="1" x="5655"/>
        <item h="1" m="1" x="5657"/>
        <item h="1" m="1" x="5658"/>
        <item h="1" m="1" x="5289"/>
        <item h="1" m="1" x="5291"/>
        <item h="1" m="1" x="3636"/>
        <item h="1" m="1" x="5538"/>
        <item h="1" m="1" x="4984"/>
        <item h="1" m="1" x="5443"/>
        <item h="1" m="1" x="440"/>
        <item h="1" m="1" x="5445"/>
        <item h="1" m="1" x="5297"/>
        <item h="1" m="1" x="5446"/>
        <item h="1" m="1" x="5372"/>
        <item h="1" m="1" x="5140"/>
        <item h="1" m="1" x="5298"/>
        <item h="1" m="1" x="5447"/>
        <item h="1" m="1" x="494"/>
        <item h="1" m="1" x="5375"/>
        <item h="1" m="1" x="5146"/>
        <item h="1" m="1" x="5306"/>
        <item h="1" m="1" x="5453"/>
        <item h="1" m="1" x="5455"/>
        <item h="1" m="1" x="4700"/>
        <item h="1" m="1" x="5381"/>
        <item h="1" m="1" x="5457"/>
        <item h="1" m="1" x="5382"/>
        <item h="1" m="1" x="5458"/>
        <item h="1" m="1" x="5459"/>
        <item h="1" m="1" x="5391"/>
        <item h="1" m="1" x="5392"/>
        <item h="1" m="1" x="5460"/>
        <item h="1" m="1" x="5461"/>
        <item h="1" m="1" x="5385"/>
        <item h="1" m="1" x="5386"/>
        <item h="1" m="1" x="5165"/>
        <item h="1" m="1" x="5314"/>
        <item h="1" m="1" x="5313"/>
        <item h="1" m="1" x="5016"/>
        <item h="1" m="1" x="4809"/>
        <item h="1" m="1" x="4808"/>
        <item h="1" m="1" x="5020"/>
        <item h="1" m="1" x="5019"/>
        <item h="1" m="1" x="5393"/>
        <item h="1" m="1" x="5182"/>
        <item h="1" m="1" x="5040"/>
        <item h="1" m="1" x="5041"/>
        <item h="1" m="1" x="5043"/>
        <item h="1" m="1" x="5042"/>
        <item h="1" m="1" x="5472"/>
        <item h="1" m="1" x="5185"/>
        <item h="1" m="1" x="5473"/>
        <item h="1" m="1" x="5475"/>
        <item h="1" m="1" x="5399"/>
        <item h="1" m="1" x="5401"/>
        <item h="1" m="1" x="5402"/>
        <item h="1" m="1" x="5069"/>
        <item h="1" m="1" x="5333"/>
        <item h="1" m="1" x="5070"/>
        <item h="1" m="1" x="4589"/>
        <item h="1" m="1" x="5207"/>
        <item h="1" m="1" x="5480"/>
        <item h="1" m="1" x="5481"/>
        <item h="1" m="1" x="5482"/>
        <item h="1" m="1" x="4439"/>
        <item h="1" m="1" x="5484"/>
        <item h="1" m="1" x="5487"/>
        <item h="1" m="1" x="5101"/>
        <item h="1" m="1" x="5489"/>
        <item h="1" m="1" x="5221"/>
        <item h="1" m="1" x="5492"/>
        <item h="1" m="1" x="5493"/>
        <item h="1" m="1" x="5494"/>
        <item h="1" m="1" x="5499"/>
        <item h="1" m="1" x="5502"/>
        <item h="1" m="1" x="5257"/>
        <item h="1" m="1" x="5509"/>
        <item h="1" m="1" x="5511"/>
        <item h="1" m="1" x="5259"/>
        <item h="1" m="1" x="5433"/>
        <item h="1" m="1" x="5513"/>
        <item h="1" m="1" x="5286"/>
        <item h="1" m="1" x="5516"/>
        <item h="1" m="1" x="5525"/>
        <item h="1" m="1" x="4773"/>
        <item h="1" m="1" x="4774"/>
        <item h="1" m="1" x="4986"/>
        <item h="1" m="1" x="5294"/>
        <item h="1" m="1" x="437"/>
        <item h="1" m="1" x="5365"/>
        <item h="1" m="1" x="5366"/>
        <item h="1" m="1" x="5367"/>
        <item h="1" m="1" x="4993"/>
        <item h="1" m="1" x="5373"/>
        <item h="1" m="1" x="5142"/>
        <item h="1" m="1" x="5141"/>
        <item h="1" m="1" x="5300"/>
        <item h="1" m="1" x="5301"/>
        <item h="1" m="1" x="5303"/>
        <item h="1" m="1" x="5307"/>
        <item h="1" m="1" x="5150"/>
        <item h="1" m="1" x="5151"/>
        <item h="1" m="1" x="2323"/>
        <item h="1" m="1" x="2156"/>
        <item h="1" m="1" x="5156"/>
        <item h="1" m="1" x="5157"/>
        <item h="1" m="1" x="4921"/>
        <item h="1" m="1" x="5383"/>
        <item h="1" x="277"/>
        <item h="1" m="1" x="5311"/>
        <item h="1" m="1" x="5387"/>
        <item h="1" m="1" x="5389"/>
        <item h="1" m="1" x="5321"/>
        <item h="1" m="1" x="1873"/>
        <item h="1" m="1" x="5169"/>
        <item h="1" m="1" x="5173"/>
        <item h="1" m="1" x="4707"/>
        <item h="1" m="1" x="5326"/>
        <item h="1" m="1" x="5180"/>
        <item h="1" m="1" x="5048"/>
        <item h="1" m="1" x="5184"/>
        <item h="1" m="1" x="5051"/>
        <item h="1" m="1" x="5397"/>
        <item h="1" m="1" x="5398"/>
        <item h="1" m="1" x="3039"/>
        <item h="1" m="1" x="5332"/>
        <item h="1" m="1" x="5400"/>
        <item h="1" m="1" x="5403"/>
        <item h="1" m="1" x="5405"/>
        <item h="1" m="1" x="5406"/>
        <item h="1" m="1" x="5407"/>
        <item h="1" m="1" x="5076"/>
        <item h="1" m="1" x="5408"/>
        <item h="1" m="1" x="4431"/>
        <item h="1" m="1" x="3968"/>
        <item h="1" m="1" x="5409"/>
        <item h="1" m="1" x="5341"/>
        <item h="1" m="1" x="5410"/>
        <item h="1" m="1" x="5411"/>
        <item h="1" m="1" x="4721"/>
        <item h="1" m="1" x="5412"/>
        <item h="1" m="1" x="5413"/>
        <item h="1" m="1" x="5414"/>
        <item h="1" m="1" x="5415"/>
        <item h="1" m="1" x="5416"/>
        <item h="1" m="1" x="5417"/>
        <item h="1" m="1" x="5421"/>
        <item h="1" m="1" x="5422"/>
        <item h="1" m="1" x="4228"/>
        <item h="1" m="1" x="5423"/>
        <item h="1" m="1" x="5424"/>
        <item h="1" m="1" x="5425"/>
        <item h="1" m="1" x="5426"/>
        <item h="1" m="1" x="4540"/>
        <item h="1" m="1" x="5428"/>
        <item h="1" m="1" x="5429"/>
        <item h="1" m="1" x="5434"/>
        <item h="1" m="1" x="5435"/>
        <item h="1" m="1" x="5436"/>
        <item h="1" m="1" x="5437"/>
        <item h="1" m="1" x="4913"/>
        <item h="1" m="1" x="5361"/>
        <item h="1" m="1" x="5441"/>
        <item h="1" m="1" x="3500"/>
        <item h="1" m="1" x="5442"/>
        <item h="1" m="1" x="5296"/>
        <item h="1" m="1" x="5143"/>
        <item h="1" m="1" x="5302"/>
        <item h="1" m="1" x="4999"/>
        <item h="1" m="1" x="5304"/>
        <item h="1" m="1" x="5305"/>
        <item h="1" m="1" x="5009"/>
        <item h="1" m="1" x="4922"/>
        <item h="1" m="1" x="5308"/>
        <item h="1" m="1" x="5121"/>
        <item h="1" m="1" x="5006"/>
        <item h="1" m="1" x="5007"/>
        <item h="1" m="1" x="5309"/>
        <item h="1" m="1" x="5164"/>
        <item h="1" m="1" x="5310"/>
        <item h="1" m="1" x="5312"/>
        <item h="1" m="1" x="5315"/>
        <item h="1" m="1" x="5317"/>
        <item h="1" m="1" x="3983"/>
        <item h="1" x="70"/>
        <item h="1" m="1" x="5021"/>
        <item h="1" m="1" x="5022"/>
        <item h="1" m="1" x="5028"/>
        <item h="1" m="1" x="5029"/>
        <item h="1" m="1" x="4817"/>
        <item h="1" m="1" x="5324"/>
        <item h="1" m="1" x="5176"/>
        <item h="1" m="1" x="5325"/>
        <item h="1" m="1" x="5181"/>
        <item h="1" m="1" x="4825"/>
        <item h="1" m="1" x="5179"/>
        <item h="1" m="1" x="5039"/>
        <item h="1" m="1" x="5327"/>
        <item h="1" m="1" x="5188"/>
        <item h="1" m="1" x="5328"/>
        <item h="1" m="1" x="4823"/>
        <item h="1" m="1" x="5189"/>
        <item h="1" m="1" x="5330"/>
        <item h="1" m="1" x="5331"/>
        <item h="1" m="1" x="5071"/>
        <item h="1" m="1" x="5204"/>
        <item h="1" m="1" x="5335"/>
        <item h="1" m="1" x="4711"/>
        <item h="1" m="1" x="5336"/>
        <item h="1" m="1" x="5338"/>
        <item h="1" m="1" x="4430"/>
        <item h="1" m="1" x="5342"/>
        <item h="1" m="1" x="4728"/>
        <item h="1" m="1" x="4729"/>
        <item h="1" m="1" x="5343"/>
        <item h="1" m="1" x="5344"/>
        <item h="1" m="1" x="5345"/>
        <item h="1" m="1" x="5346"/>
        <item h="1" m="1" x="5348"/>
        <item h="1" m="1" x="5349"/>
        <item h="1" m="1" x="5212"/>
        <item h="1" m="1" x="5213"/>
        <item h="1" m="1" x="5350"/>
        <item h="1" m="1" x="5099"/>
        <item h="1" m="1" x="5351"/>
        <item h="1" m="1" x="5352"/>
        <item h="1" m="1" x="4462"/>
        <item h="1" m="1" x="4463"/>
        <item h="1" m="1" x="4229"/>
        <item h="1" m="1" x="4757"/>
        <item h="1" m="1" x="5266"/>
        <item h="1" m="1" x="5356"/>
        <item h="1" m="1" x="5357"/>
        <item h="1" m="1" x="5282"/>
        <item h="1" m="1" x="5283"/>
        <item h="1" m="1" x="5124"/>
        <item h="1" m="1" x="5287"/>
        <item h="1" m="1" x="5362"/>
        <item h="1" m="1" x="5363"/>
        <item h="1" m="1" x="5133"/>
        <item h="1" m="1" x="4985"/>
        <item h="1" m="1" x="4988"/>
        <item h="1" m="1" x="4990"/>
        <item h="1" m="1" x="4438"/>
        <item h="1" m="1" x="4688"/>
        <item h="1" m="1" x="4991"/>
        <item h="1" m="1" x="5136"/>
        <item h="1" m="1" x="5138"/>
        <item h="1" m="1" x="4771"/>
        <item h="1" m="1" x="5144"/>
        <item h="1" m="1" x="5145"/>
        <item h="1" m="1" x="5149"/>
        <item h="1" m="1" x="5152"/>
        <item h="1" m="1" x="5005"/>
        <item h="1" m="1" x="4798"/>
        <item h="1" m="1" x="5014"/>
        <item h="1" m="1" x="2173"/>
        <item h="1" m="1" x="2174"/>
        <item h="1" m="1" x="1871"/>
        <item h="1" m="1" x="2175"/>
        <item h="1" m="1" x="5013"/>
        <item h="1" m="1" x="5167"/>
        <item h="1" m="1" x="5170"/>
        <item h="1" m="1" x="5172"/>
        <item h="1" m="1" x="5032"/>
        <item h="1" m="1" x="5033"/>
        <item h="1" m="1" x="5175"/>
        <item h="1" m="1" x="4836"/>
        <item h="1" m="1" x="5190"/>
        <item h="1" m="1" x="5191"/>
        <item h="1" m="1" x="5053"/>
        <item h="1" m="1" x="4932"/>
        <item h="1" m="1" x="5063"/>
        <item h="1" m="1" x="5059"/>
        <item h="1" m="1" x="5062"/>
        <item h="1" m="1" x="5061"/>
        <item h="1" m="1" x="5060"/>
        <item h="1" m="1" x="3918"/>
        <item h="1" m="1" x="5192"/>
        <item h="1" m="1" x="5193"/>
        <item h="1" m="1" x="5195"/>
        <item h="1" m="1" x="5196"/>
        <item h="1" m="1" x="5197"/>
        <item h="1" m="1" x="5198"/>
        <item h="1" m="1" x="5199"/>
        <item h="1" m="1" x="5200"/>
        <item h="1" m="1" x="5201"/>
        <item h="1" m="1" x="5202"/>
        <item h="1" m="1" x="5203"/>
        <item h="1" m="1" x="4710"/>
        <item h="1" m="1" x="5208"/>
        <item h="1" m="1" x="5209"/>
        <item h="1" m="1" x="5210"/>
        <item h="1" m="1" x="5211"/>
        <item h="1" m="1" x="4387"/>
        <item h="1" m="1" x="4950"/>
        <item h="1" m="1" x="4949"/>
        <item h="1" m="1" x="5082"/>
        <item h="1" m="1" x="4219"/>
        <item h="1" m="1" x="4955"/>
        <item h="1" m="1" x="4389"/>
        <item h="1" m="1" x="5083"/>
        <item h="1" m="1" x="4722"/>
        <item h="1" m="1" x="5214"/>
        <item h="1" m="1" x="5215"/>
        <item h="1" m="1" x="5216"/>
        <item h="1" m="1" x="5217"/>
        <item h="1" m="1" x="5218"/>
        <item h="1" m="1" x="5220"/>
        <item h="1" m="1" x="5104"/>
        <item h="1" m="1" x="5222"/>
        <item h="1" m="1" x="5223"/>
        <item h="1" m="1" x="5224"/>
        <item h="1" m="1" x="5225"/>
        <item h="1" m="1" x="5226"/>
        <item h="1" m="1" x="5227"/>
        <item h="1" m="1" x="5228"/>
        <item h="1" m="1" x="5229"/>
        <item h="1" m="1" x="5230"/>
        <item h="1" m="1" x="5231"/>
        <item h="1" m="1" x="5232"/>
        <item h="1" m="1" x="5233"/>
        <item h="1" m="1" x="5234"/>
        <item h="1" m="1" x="5235"/>
        <item h="1" m="1" x="5236"/>
        <item h="1" m="1" x="5237"/>
        <item h="1" m="1" x="5238"/>
        <item h="1" m="1" x="5239"/>
        <item h="1" m="1" x="5240"/>
        <item h="1" m="1" x="5241"/>
        <item h="1" m="1" x="5242"/>
        <item h="1" m="1" x="5243"/>
        <item h="1" m="1" x="5244"/>
        <item h="1" m="1" x="5245"/>
        <item h="1" m="1" x="5246"/>
        <item h="1" m="1" x="5247"/>
        <item h="1" m="1" x="5248"/>
        <item h="1" m="1" x="5249"/>
        <item h="1" m="1" x="2728"/>
        <item h="1" m="1" x="5250"/>
        <item h="1" m="1" x="5251"/>
        <item h="1" m="1" x="5252"/>
        <item h="1" m="1" x="5253"/>
        <item h="1" m="1" x="5254"/>
        <item h="1" m="1" x="4588"/>
        <item h="1" m="1" x="4409"/>
        <item h="1" m="1" x="4386"/>
        <item h="1" m="1" x="5258"/>
        <item h="1" m="1" x="5260"/>
        <item h="1" m="1" x="5262"/>
        <item h="1" m="1" x="5263"/>
        <item h="1" m="1" x="5264"/>
        <item h="1" m="1" x="5265"/>
        <item h="1" m="1" x="2929"/>
        <item h="1" m="1" x="4218"/>
        <item h="1" m="1" x="5268"/>
        <item h="1" m="1" x="5269"/>
        <item h="1" m="1" x="5270"/>
        <item h="1" m="1" x="5271"/>
        <item h="1" m="1" x="5272"/>
        <item h="1" m="1" x="5273"/>
        <item h="1" m="1" x="5274"/>
        <item h="1" m="1" x="5275"/>
        <item h="1" m="1" x="5276"/>
        <item h="1" m="1" x="5277"/>
        <item h="1" m="1" x="5278"/>
        <item h="1" m="1" x="5279"/>
        <item h="1" m="1" x="5280"/>
        <item h="1" m="1" x="5281"/>
        <item h="1" m="1" x="4458"/>
        <item h="1" m="1" x="5284"/>
        <item h="1" m="1" x="5285"/>
        <item h="1" m="1" x="4457"/>
        <item h="1" m="1" x="5288"/>
        <item h="1" m="1" x="1346"/>
        <item h="1" m="1" x="4316"/>
        <item h="1" m="1" x="4992"/>
        <item h="1" m="1" x="4994"/>
        <item h="1" m="1" x="4995"/>
        <item h="1" x="167"/>
        <item h="1" m="1" x="4996"/>
        <item h="1" m="1" x="4997"/>
        <item h="1" m="1" x="4998"/>
        <item h="1" m="1" x="5001"/>
        <item h="1" m="1" x="4919"/>
        <item h="1" m="1" x="5008"/>
        <item h="1" m="1" x="4794"/>
        <item h="1" m="1" x="5011"/>
        <item h="1" m="1" x="5012"/>
        <item h="1" m="1" x="1279"/>
        <item h="1" m="1" x="5015"/>
        <item h="1" m="1" x="4812"/>
        <item h="1" m="1" x="5023"/>
        <item h="1" m="1" x="5024"/>
        <item h="1" m="1" x="5025"/>
        <item h="1" m="1" x="5026"/>
        <item h="1" m="1" x="5027"/>
        <item h="1" m="1" x="5030"/>
        <item h="1" m="1" x="5031"/>
        <item h="1" m="1" x="5034"/>
        <item h="1" m="1" x="5035"/>
        <item h="1" m="1" x="5036"/>
        <item h="1" m="1" x="5037"/>
        <item h="1" m="1" x="5044"/>
        <item h="1" m="1" x="5046"/>
        <item h="1" m="1" x="5047"/>
        <item h="1" m="1" x="5049"/>
        <item h="1" m="1" x="4591"/>
        <item h="1" m="1" x="5054"/>
        <item h="1" m="1" x="5055"/>
        <item h="1" m="1" x="5056"/>
        <item h="1" m="1" x="5057"/>
        <item h="1" m="1" x="5058"/>
        <item h="1" m="1" x="4845"/>
        <item h="1" m="1" x="5064"/>
        <item h="1" m="1" x="5065"/>
        <item h="1" m="1" x="5066"/>
        <item h="1" m="1" x="4931"/>
        <item h="1" m="1" x="5067"/>
        <item h="1" m="1" x="5068"/>
        <item h="1" m="1" x="4487"/>
        <item h="1" m="1" x="4933"/>
        <item h="1" m="1" x="4250"/>
        <item h="1" m="1" x="4246"/>
        <item h="1" m="1" x="5072"/>
        <item h="1" m="1" x="5073"/>
        <item h="1" m="1" x="5074"/>
        <item h="1" m="1" x="4862"/>
        <item h="1" m="1" x="4861"/>
        <item h="1" m="1" x="4524"/>
        <item h="1" m="1" x="4432"/>
        <item h="1" m="1" x="5077"/>
        <item h="1" m="1" x="5078"/>
        <item h="1" m="1" x="5079"/>
        <item h="1" m="1" x="5081"/>
        <item h="1" m="1" x="4451"/>
        <item h="1" m="1" x="4252"/>
        <item h="1" m="1" x="5084"/>
        <item h="1" m="1" x="5085"/>
        <item h="1" m="1" x="4888"/>
        <item h="1" m="1" x="5086"/>
        <item h="1" m="1" x="5087"/>
        <item h="1" m="1" x="5088"/>
        <item h="1" m="1" x="5089"/>
        <item h="1" m="1" x="5090"/>
        <item h="1" m="1" x="5091"/>
        <item h="1" m="1" x="5092"/>
        <item h="1" m="1" x="5094"/>
        <item h="1" m="1" x="4041"/>
        <item h="1" m="1" x="4727"/>
        <item h="1" m="1" x="5095"/>
        <item h="1" m="1" x="5096"/>
        <item h="1" m="1" x="4959"/>
        <item h="1" m="1" x="4960"/>
        <item h="1" m="1" x="4526"/>
        <item h="1" m="1" x="5098"/>
        <item h="1" m="1" x="5100"/>
        <item h="1" m="1" x="4373"/>
        <item h="1" m="1" x="5102"/>
        <item h="1" m="1" x="5103"/>
        <item h="1" m="1" x="4606"/>
        <item h="1" m="1" x="4598"/>
        <item h="1" m="1" x="4464"/>
        <item h="1" m="1" x="5108"/>
        <item h="1" m="1" x="4582"/>
        <item h="1" m="1" x="5109"/>
        <item h="1" m="1" x="5110"/>
        <item h="1" m="1" x="5113"/>
        <item h="1" m="1" x="5114"/>
        <item h="1" m="1" x="5115"/>
        <item h="1" m="1" x="5116"/>
        <item h="1" m="1" x="5117"/>
        <item h="1" m="1" x="5118"/>
        <item h="1" m="1" x="4581"/>
        <item h="1" m="1" x="5122"/>
        <item h="1" m="1" x="5125"/>
        <item h="1" m="1" x="4259"/>
        <item h="1" m="1" x="5134"/>
        <item h="1" m="1" x="4779"/>
        <item h="1" m="1" x="4782"/>
        <item h="1" m="1" x="4915"/>
        <item h="1" m="1" x="4784"/>
        <item h="1" m="1" x="4916"/>
        <item h="1" m="1" x="4917"/>
        <item h="1" m="1" x="4918"/>
        <item h="1" m="1" x="1622"/>
        <item h="1" m="1" x="4789"/>
        <item h="1" m="1" x="4790"/>
        <item h="1" m="1" x="4920"/>
        <item h="1" m="1" x="4791"/>
        <item h="1" m="1" x="4701"/>
        <item h="1" m="1" x="871"/>
        <item h="1" x="43"/>
        <item h="1" m="1" x="4923"/>
        <item h="1" m="1" x="4924"/>
        <item h="1" m="1" x="4925"/>
        <item h="1" m="1" x="4926"/>
        <item h="1" m="1" x="4801"/>
        <item h="1" m="1" x="4802"/>
        <item h="1" m="1" x="4806"/>
        <item h="1" m="1" x="4807"/>
        <item h="1" m="1" x="4805"/>
        <item h="1" m="1" x="1024"/>
        <item h="1" m="1" x="4810"/>
        <item h="1" m="1" x="4811"/>
        <item h="1" m="1" x="4813"/>
        <item h="1" m="1" x="4826"/>
        <item h="1" m="1" x="4827"/>
        <item h="1" m="1" x="4828"/>
        <item h="1" m="1" x="4829"/>
        <item h="1" m="1" x="4929"/>
        <item h="1" m="1" x="4593"/>
        <item h="1" m="1" x="3927"/>
        <item h="1" m="1" x="4930"/>
        <item h="1" m="1" x="4844"/>
        <item h="1" m="1" x="4840"/>
        <item h="1" m="1" x="4847"/>
        <item h="1" m="1" x="4848"/>
        <item h="1" m="1" x="4849"/>
        <item h="1" m="1" x="4850"/>
        <item h="1" m="1" x="4854"/>
        <item h="1" m="1" x="4837"/>
        <item h="1" m="1" x="4838"/>
        <item h="1" m="1" x="4934"/>
        <item h="1" m="1" x="4935"/>
        <item h="1" m="1" x="4936"/>
        <item h="1" m="1" x="4937"/>
        <item h="1" m="1" x="4938"/>
        <item h="1" m="1" x="4939"/>
        <item h="1" m="1" x="4940"/>
        <item h="1" m="1" x="4942"/>
        <item h="1" m="1" x="4262"/>
        <item h="1" m="1" x="4452"/>
        <item h="1" m="1" x="4943"/>
        <item h="1" m="1" x="4944"/>
        <item h="1" m="1" x="4945"/>
        <item h="1" m="1" x="4946"/>
        <item h="1" m="1" x="4947"/>
        <item h="1" m="1" x="4265"/>
        <item h="1" m="1" x="4525"/>
        <item h="1" m="1" x="4951"/>
        <item h="1" m="1" x="4952"/>
        <item h="1" m="1" x="4953"/>
        <item h="1" m="1" x="4954"/>
        <item h="1" m="1" x="4956"/>
        <item h="1" m="1" x="4957"/>
        <item h="1" m="1" x="4958"/>
        <item h="1" m="1" x="4961"/>
        <item h="1" m="1" x="4962"/>
        <item h="1" m="1" x="4963"/>
        <item h="1" m="1" x="4964"/>
        <item h="1" m="1" x="4518"/>
        <item h="1" m="1" x="4965"/>
        <item h="1" m="1" x="4966"/>
        <item h="1" m="1" x="4967"/>
        <item h="1" m="1" x="4968"/>
        <item h="1" m="1" x="4272"/>
        <item h="1" m="1" x="4266"/>
        <item h="1" m="1" x="4270"/>
        <item h="1" m="1" x="4268"/>
        <item h="1" m="1" x="4557"/>
        <item h="1" m="1" x="4550"/>
        <item h="1" m="1" x="4340"/>
        <item h="1" m="1" x="4341"/>
        <item h="1" m="1" x="4371"/>
        <item h="1" m="1" x="4969"/>
        <item h="1" m="1" x="2609"/>
        <item h="1" m="1" x="4352"/>
        <item h="1" m="1" x="4342"/>
        <item h="1" m="1" x="4971"/>
        <item h="1" m="1" x="4972"/>
        <item h="1" m="1" x="4465"/>
        <item h="1" m="1" x="4414"/>
        <item h="1" m="1" x="4415"/>
        <item h="1" m="1" x="4416"/>
        <item h="1" m="1" x="4903"/>
        <item h="1" m="1" x="3473"/>
        <item h="1" m="1" x="4974"/>
        <item h="1" m="1" x="4975"/>
        <item h="1" m="1" x="4976"/>
        <item h="1" m="1" x="4977"/>
        <item h="1" m="1" x="4978"/>
        <item h="1" m="1" x="4979"/>
        <item h="1" m="1" x="4980"/>
        <item h="1" m="1" x="4403"/>
        <item h="1" m="1" x="4981"/>
        <item h="1" m="1" x="4453"/>
        <item h="1" m="1" x="4982"/>
        <item h="1" m="1" x="4983"/>
        <item h="1" m="1" x="4780"/>
        <item h="1" m="1" x="1467"/>
        <item h="1" m="1" x="4192"/>
        <item h="1" m="1" x="4785"/>
        <item h="1" m="1" x="4786"/>
        <item h="1" m="1" x="4147"/>
        <item h="1" m="1" x="4692"/>
        <item h="1" m="1" x="4693"/>
        <item h="1" m="1" x="4522"/>
        <item h="1" m="1" x="4697"/>
        <item h="1" m="1" x="4702"/>
        <item h="1" m="1" x="4792"/>
        <item h="1" m="1" x="4503"/>
        <item h="1" m="1" x="4795"/>
        <item h="1" m="1" x="4796"/>
        <item h="1" m="1" x="4797"/>
        <item h="1" m="1" x="4799"/>
        <item h="1" m="1" x="4800"/>
        <item h="1" m="1" x="3904"/>
        <item h="1" m="1" x="4679"/>
        <item h="1" m="1" x="4207"/>
        <item h="1" m="1" x="4541"/>
        <item h="1" m="1" x="4814"/>
        <item h="1" m="1" x="4815"/>
        <item h="1" m="1" x="4816"/>
        <item h="1" m="1" x="1011"/>
        <item h="1" m="1" x="4818"/>
        <item h="1" m="1" x="4820"/>
        <item h="1" m="1" x="4821"/>
        <item h="1" m="1" x="4822"/>
        <item h="1" m="1" x="4830"/>
        <item h="1" m="1" x="4831"/>
        <item h="1" m="1" x="4832"/>
        <item h="1" m="1" x="4833"/>
        <item h="1" m="1" x="4834"/>
        <item h="1" m="1" x="4835"/>
        <item h="1" m="1" x="1547"/>
        <item h="1" x="206"/>
        <item h="1" m="1" x="4600"/>
        <item h="1" m="1" x="4839"/>
        <item h="1" m="1" x="4842"/>
        <item h="1" m="1" x="4843"/>
        <item h="1" m="1" x="4846"/>
        <item h="1" m="1" x="4851"/>
        <item h="1" m="1" x="4852"/>
        <item h="1" m="1" x="4853"/>
        <item h="1" m="1" x="4562"/>
        <item h="1" m="1" x="4856"/>
        <item h="1" m="1" x="4857"/>
        <item h="1" m="1" x="4858"/>
        <item h="1" m="1" x="4859"/>
        <item h="1" m="1" x="4860"/>
        <item h="1" m="1" x="4216"/>
        <item h="1" m="1" x="4260"/>
        <item h="1" m="1" x="4863"/>
        <item h="1" m="1" x="4864"/>
        <item h="1" m="1" x="4865"/>
        <item h="1" m="1" x="4866"/>
        <item h="1" m="1" x="4867"/>
        <item h="1" m="1" x="4868"/>
        <item h="1" m="1" x="4869"/>
        <item h="1" m="1" x="4871"/>
        <item h="1" m="1" x="4872"/>
        <item h="1" m="1" x="4873"/>
        <item h="1" m="1" x="4874"/>
        <item h="1" m="1" x="4875"/>
        <item h="1" m="1" x="4876"/>
        <item h="1" m="1" x="4877"/>
        <item h="1" m="1" x="4878"/>
        <item h="1" m="1" x="4879"/>
        <item h="1" m="1" x="4372"/>
        <item h="1" m="1" x="4880"/>
        <item h="1" m="1" x="1414"/>
        <item h="1" m="1" x="4506"/>
        <item h="1" m="1" x="4508"/>
        <item h="1" m="1" x="4682"/>
        <item h="1" m="1" x="4882"/>
        <item h="1" m="1" x="4269"/>
        <item h="1" m="1" x="4883"/>
        <item h="1" m="1" x="4884"/>
        <item h="1" m="1" x="4681"/>
        <item h="1" m="1" x="4885"/>
        <item h="1" m="1" x="4236"/>
        <item h="1" m="1" x="4886"/>
        <item h="1" m="1" x="4887"/>
        <item h="1" m="1" x="4889"/>
        <item h="1" m="1" x="4890"/>
        <item h="1" m="1" x="4891"/>
        <item h="1" m="1" x="4892"/>
        <item h="1" m="1" x="4893"/>
        <item h="1" m="1" x="4894"/>
        <item h="1" m="1" x="4398"/>
        <item h="1" m="1" x="4895"/>
        <item h="1" m="1" x="4896"/>
        <item h="1" m="1" x="4897"/>
        <item h="1" m="1" x="4898"/>
        <item h="1" m="1" x="4899"/>
        <item h="1" m="1" x="4900"/>
        <item h="1" m="1" x="4901"/>
        <item h="1" m="1" x="4902"/>
        <item h="1" m="1" x="4745"/>
        <item h="1" m="1" x="4746"/>
        <item h="1" m="1" x="4747"/>
        <item h="1" m="1" x="4379"/>
        <item h="1" m="1" x="4904"/>
        <item h="1" m="1" x="4905"/>
        <item h="1" m="1" x="4906"/>
        <item h="1" m="1" x="4907"/>
        <item h="1" m="1" x="3784"/>
        <item h="1" m="1" x="4766"/>
        <item h="1" m="1" x="4712"/>
        <item h="1" m="1" x="4908"/>
        <item h="1" m="1" x="4215"/>
        <item h="1" m="1" x="4243"/>
        <item h="1" m="1" x="4909"/>
        <item h="1" m="1" x="4912"/>
        <item h="1" m="1" x="4667"/>
        <item h="1" m="1" x="4671"/>
        <item h="1" m="1" x="4672"/>
        <item h="1" m="1" x="4689"/>
        <item h="1" m="1" x="4690"/>
        <item h="1" m="1" x="4691"/>
        <item h="1" m="1" x="1906"/>
        <item h="1" m="1" x="782"/>
        <item h="1" m="1" x="781"/>
        <item h="1" m="1" x="4185"/>
        <item h="1" m="1" x="4695"/>
        <item h="1" m="1" x="4696"/>
        <item h="1" m="1" x="4329"/>
        <item h="1" m="1" x="4658"/>
        <item h="1" m="1" x="4698"/>
        <item h="1" m="1" x="4699"/>
        <item h="1" m="1" x="4703"/>
        <item h="1" m="1" x="3668"/>
        <item h="1" m="1" x="4477"/>
        <item h="1" m="1" x="4677"/>
        <item h="1" m="1" x="3158"/>
        <item h="1" m="1" x="3910"/>
        <item h="1" m="1" x="4705"/>
        <item h="1" m="1" x="4555"/>
        <item h="1" m="1" x="4556"/>
        <item h="1" m="1" x="4706"/>
        <item h="1" m="1" x="3594"/>
        <item h="1" m="1" x="4709"/>
        <item h="1" m="1" x="4563"/>
        <item h="1" m="1" x="4564"/>
        <item h="1" m="1" x="4565"/>
        <item h="1" m="1" x="3793"/>
        <item h="1" m="1" x="4713"/>
        <item h="1" m="1" x="4715"/>
        <item h="1" m="1" x="4716"/>
        <item h="1" m="1" x="4717"/>
        <item h="1" m="1" x="4393"/>
        <item h="1" m="1" x="4718"/>
        <item h="1" m="1" x="4720"/>
        <item h="1" m="1" x="4238"/>
        <item h="1" m="1" x="3726"/>
        <item h="1" m="1" x="4723"/>
        <item h="1" m="1" x="4724"/>
        <item h="1" m="1" x="4725"/>
        <item h="1" m="1" x="4726"/>
        <item h="1" m="1" x="4730"/>
        <item h="1" m="1" x="4731"/>
        <item h="1" m="1" x="4732"/>
        <item h="1" m="1" x="4733"/>
        <item h="1" m="1" x="4734"/>
        <item h="1" m="1" x="4735"/>
        <item h="1" m="1" x="4736"/>
        <item h="1" m="1" x="4738"/>
        <item h="1" m="1" x="4505"/>
        <item h="1" m="1" x="4739"/>
        <item h="1" m="1" x="4740"/>
        <item h="1" m="1" x="4741"/>
        <item h="1" m="1" x="4374"/>
        <item h="1" m="1" x="4748"/>
        <item h="1" m="1" x="3810"/>
        <item h="1" m="1" x="4528"/>
        <item h="1" m="1" x="4251"/>
        <item h="1" m="1" x="4751"/>
        <item h="1" m="1" x="4753"/>
        <item h="1" m="1" x="4754"/>
        <item h="1" m="1" x="4755"/>
        <item h="1" m="1" x="4756"/>
        <item h="1" m="1" x="4037"/>
        <item h="1" m="1" x="4758"/>
        <item h="1" m="1" x="4759"/>
        <item h="1" m="1" x="4760"/>
        <item h="1" m="1" x="4761"/>
        <item h="1" m="1" x="4762"/>
        <item h="1" m="1" x="4763"/>
        <item h="1" m="1" x="4764"/>
        <item h="1" m="1" x="4765"/>
        <item h="1" m="1" x="4767"/>
        <item h="1" m="1" x="4214"/>
        <item h="1" m="1" x="4768"/>
        <item h="1" m="1" x="4025"/>
        <item h="1" m="1" x="4775"/>
        <item h="1" m="1" x="4776"/>
        <item h="1" m="1" x="4184"/>
        <item h="1" m="1" x="4022"/>
        <item h="1" m="1" x="4607"/>
        <item h="1" m="1" x="4609"/>
        <item h="1" m="1" x="4234"/>
        <item h="1" m="1" x="4232"/>
        <item h="1" m="1" x="4233"/>
        <item h="1" m="1" x="4230"/>
        <item h="1" m="1" x="4231"/>
        <item h="1" m="1" x="4610"/>
        <item h="1" m="1" x="4611"/>
        <item h="1" m="1" x="4612"/>
        <item h="1" m="1" x="4613"/>
        <item h="1" m="1" x="4614"/>
        <item h="1" m="1" x="4257"/>
        <item h="1" m="1" x="4263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4624"/>
        <item h="1" m="1" x="4625"/>
        <item h="1" m="1" x="4626"/>
        <item h="1" m="1" x="4627"/>
        <item h="1" m="1" x="4628"/>
        <item h="1" m="1" x="4629"/>
        <item h="1" m="1" x="4630"/>
        <item h="1" m="1" x="4631"/>
        <item h="1" m="1" x="4632"/>
        <item h="1" m="1" x="4633"/>
        <item h="1" m="1" x="4634"/>
        <item h="1" m="1" x="4290"/>
        <item h="1" m="1" x="4636"/>
        <item h="1" m="1" x="4637"/>
        <item h="1" m="1" x="4638"/>
        <item h="1" m="1" x="4639"/>
        <item h="1" m="1" x="4640"/>
        <item h="1" m="1" x="4641"/>
        <item h="1" m="1" x="4642"/>
        <item h="1" m="1" x="4643"/>
        <item h="1" m="1" x="4644"/>
        <item h="1" m="1" x="4645"/>
        <item h="1" m="1" x="4646"/>
        <item h="1" m="1" x="4647"/>
        <item h="1" m="1" x="4648"/>
        <item h="1" m="1" x="4649"/>
        <item h="1" m="1" x="4305"/>
        <item h="1" m="1" x="4650"/>
        <item h="1" m="1" x="4651"/>
        <item h="1" m="1" x="4652"/>
        <item h="1" m="1" x="4653"/>
        <item h="1" m="1" x="4654"/>
        <item h="1" m="1" x="4180"/>
        <item h="1" m="1" x="4655"/>
        <item h="1" m="1" x="3667"/>
        <item h="1" m="1" x="4324"/>
        <item h="1" m="1" x="4325"/>
        <item h="1" m="1" x="4656"/>
        <item h="1" m="1" x="4657"/>
        <item h="1" m="1" x="4333"/>
        <item h="1" m="1" x="4659"/>
        <item h="1" m="1" x="4660"/>
        <item h="1" m="1" x="4661"/>
        <item h="1" m="1" x="4662"/>
        <item h="1" m="1" x="4663"/>
        <item h="1" m="1" x="4363"/>
        <item h="1" m="1" x="4664"/>
        <item h="1" m="1" x="3878"/>
        <item h="1" m="1" x="4665"/>
        <item h="1" m="1" x="4391"/>
        <item h="1" m="1" x="4396"/>
        <item h="1" m="1" x="4399"/>
        <item h="1" m="1" x="4407"/>
        <item h="1" m="1" x="3761"/>
        <item h="1" m="1" x="4075"/>
        <item h="1" m="1" x="3771"/>
        <item h="1" m="1" x="4673"/>
        <item h="1" m="1" x="4474"/>
        <item h="1" m="1" x="4475"/>
        <item h="1" m="1" x="4480"/>
        <item h="1" m="1" x="4482"/>
        <item h="1" m="1" x="4678"/>
        <item h="1" m="1" x="2636"/>
        <item h="1" m="1" x="4680"/>
        <item h="1" m="1" x="4497"/>
        <item h="1" m="1" x="4504"/>
        <item h="1" m="1" x="4507"/>
        <item h="1" m="1" x="4521"/>
        <item h="1" m="1" x="4108"/>
        <item h="1" m="1" x="4683"/>
        <item h="1" m="1" x="4560"/>
        <item h="1" m="1" x="4559"/>
        <item h="1" m="1" x="4558"/>
        <item h="1" m="1" x="4569"/>
        <item h="1" m="1" x="4575"/>
        <item h="1" m="1" x="4579"/>
        <item h="1" m="1" x="1574"/>
        <item h="1" m="1" x="4685"/>
        <item h="1" m="1" x="4592"/>
        <item h="1" m="1" x="4596"/>
        <item h="1" m="1" x="1623"/>
        <item h="1" m="1" x="4687"/>
        <item h="1" m="1" x="4602"/>
        <item h="1" m="1" x="4603"/>
        <item h="1" m="1" x="992"/>
        <item h="1" m="1" x="4235"/>
        <item h="1" m="1" x="4237"/>
        <item h="1" m="1" x="4148"/>
        <item h="1" m="1" x="4254"/>
        <item h="1" m="1" x="4255"/>
        <item h="1" m="1" x="2071"/>
        <item h="1" m="1" x="4273"/>
        <item h="1" m="1" x="4274"/>
        <item h="1" m="1" x="4275"/>
        <item h="1" m="1" x="4276"/>
        <item h="1" m="1" x="4277"/>
        <item h="1" m="1" x="4278"/>
        <item h="1" m="1" x="4279"/>
        <item h="1" m="1" x="4280"/>
        <item h="1" m="1" x="4281"/>
        <item h="1" m="1" x="4282"/>
        <item h="1" m="1" x="4283"/>
        <item h="1" m="1" x="1919"/>
        <item h="1" m="1" x="4284"/>
        <item h="1" m="1" x="4285"/>
        <item h="1" m="1" x="4286"/>
        <item h="1" m="1" x="4287"/>
        <item h="1" m="1" x="4288"/>
        <item h="1" m="1" x="4289"/>
        <item h="1" m="1" x="4291"/>
        <item h="1" m="1" x="4292"/>
        <item h="1" m="1" x="4293"/>
        <item h="1" m="1" x="4294"/>
        <item h="1" m="1" x="4295"/>
        <item h="1" m="1" x="4296"/>
        <item h="1" m="1" x="2086"/>
        <item h="1" m="1" x="4297"/>
        <item h="1" m="1" x="4298"/>
        <item h="1" m="1" x="4299"/>
        <item h="1" m="1" x="4300"/>
        <item h="1" m="1" x="4301"/>
        <item h="1" m="1" x="4302"/>
        <item h="1" m="1" x="4303"/>
        <item h="1" m="1" x="4304"/>
        <item h="1" m="1" x="3387"/>
        <item h="1" m="1" x="4311"/>
        <item h="1" m="1" x="4312"/>
        <item h="1" m="1" x="4313"/>
        <item h="1" m="1" x="4319"/>
        <item h="1" m="1" x="3869"/>
        <item h="1" m="1" x="4187"/>
        <item h="1" m="1" x="3666"/>
        <item h="1" m="1" x="4327"/>
        <item h="1" m="1" x="4344"/>
        <item h="1" m="1" x="4345"/>
        <item h="1" m="1" x="4016"/>
        <item h="1" m="1" x="780"/>
        <item h="1" m="1" x="4365"/>
        <item h="1" m="1" x="4367"/>
        <item h="1" m="1" x="4368"/>
        <item h="1" m="1" x="4390"/>
        <item h="1" m="1" x="4395"/>
        <item h="1" m="1" x="4401"/>
        <item h="1" m="1" x="4417"/>
        <item h="1" m="1" x="4418"/>
        <item h="1" m="1" x="4419"/>
        <item h="1" m="1" x="4447"/>
        <item h="1" m="1" x="3765"/>
        <item h="1" m="1" x="3766"/>
        <item h="1" m="1" x="4456"/>
        <item h="1" m="1" x="4468"/>
        <item h="1" m="1" x="1972"/>
        <item h="1" m="1" x="4473"/>
        <item h="1" m="1" x="2779"/>
        <item h="1" m="1" x="4478"/>
        <item h="1" m="1" x="4479"/>
        <item h="1" m="1" x="4481"/>
        <item h="1" m="1" x="4483"/>
        <item h="1" m="1" x="4484"/>
        <item h="1" m="1" x="4485"/>
        <item h="1" m="1" x="4496"/>
        <item h="1" m="1" x="4096"/>
        <item h="1" m="1" x="4498"/>
        <item h="1" m="1" x="4499"/>
        <item h="1" m="1" x="4500"/>
        <item h="1" m="1" x="4501"/>
        <item h="1" m="1" x="4502"/>
        <item h="1" m="1" x="4509"/>
        <item h="1" m="1" x="4513"/>
        <item h="1" m="1" x="4514"/>
        <item h="1" m="1" x="4515"/>
        <item h="1" m="1" x="4516"/>
        <item h="1" m="1" x="4517"/>
        <item h="1" x="428"/>
        <item h="1" m="1" x="4529"/>
        <item h="1" m="1" x="4531"/>
        <item h="1" m="1" x="4015"/>
        <item h="1" m="1" x="3673"/>
        <item h="1" m="1" x="4542"/>
        <item h="1" m="1" x="4545"/>
        <item h="1" m="1" x="4566"/>
        <item h="1" m="1" x="4567"/>
        <item h="1" m="1" x="4571"/>
        <item h="1" m="1" x="4572"/>
        <item h="1" m="1" x="4573"/>
        <item h="1" m="1" x="4574"/>
        <item h="1" m="1" x="3806"/>
        <item h="1" m="1" x="4577"/>
        <item h="1" m="1" x="4597"/>
        <item h="1" m="1" x="4599"/>
        <item h="1" m="1" x="4137"/>
        <item h="1" m="1" x="4138"/>
        <item h="1" m="1" x="4139"/>
        <item h="1" m="1" x="4140"/>
        <item h="1" m="1" x="3665"/>
        <item h="1" m="1" x="4141"/>
        <item h="1" m="1" x="4142"/>
        <item h="1" m="1" x="4143"/>
        <item h="1" m="1" x="4144"/>
        <item h="1" m="1" x="4145"/>
        <item h="1" m="1" x="4146"/>
        <item h="1" m="1" x="4149"/>
        <item h="1" m="1" x="4150"/>
        <item h="1" m="1" x="4151"/>
        <item h="1" m="1" x="4153"/>
        <item h="1" m="1" x="4154"/>
        <item h="1" m="1" x="4155"/>
        <item h="1" m="1" x="4156"/>
        <item h="1" m="1" x="4157"/>
        <item h="1" m="1" x="4158"/>
        <item h="1" m="1" x="3406"/>
        <item h="1" m="1" x="4159"/>
        <item h="1" m="1" x="4160"/>
        <item h="1" m="1" x="4161"/>
        <item h="1" m="1" x="4162"/>
        <item h="1" m="1" x="4163"/>
        <item h="1" m="1" x="4164"/>
        <item h="1" m="1" x="4166"/>
        <item h="1" m="1" x="4167"/>
        <item h="1" m="1" x="4168"/>
        <item h="1" m="1" x="4169"/>
        <item h="1" m="1" x="4170"/>
        <item h="1" m="1" x="4171"/>
        <item h="1" m="1" x="4172"/>
        <item h="1" m="1" x="4173"/>
        <item h="1" m="1" x="4174"/>
        <item h="1" m="1" x="4175"/>
        <item h="1" m="1" x="4176"/>
        <item h="1" m="1" x="4177"/>
        <item h="1" m="1" x="4178"/>
        <item h="1" m="1" x="4179"/>
        <item h="1" m="1" x="3849"/>
        <item h="1" m="1" x="3626"/>
        <item h="1" m="1" x="4186"/>
        <item h="1" m="1" x="4188"/>
        <item h="1" m="1" x="4189"/>
        <item h="1" m="1" x="4190"/>
        <item h="1" m="1" x="4191"/>
        <item h="1" m="1" x="4063"/>
        <item h="1" m="1" x="4071"/>
        <item h="1" m="1" x="4068"/>
        <item h="1" m="1" x="4194"/>
        <item h="1" m="1" x="4074"/>
        <item h="1" m="1" x="3764"/>
        <item h="1" m="1" x="4078"/>
        <item h="1" m="1" x="3884"/>
        <item h="1" m="1" x="3888"/>
        <item h="1" m="1" x="3889"/>
        <item h="1" m="1" x="3890"/>
        <item h="1" m="1" x="4081"/>
        <item h="1" m="1" x="4082"/>
        <item h="1" m="1" x="4083"/>
        <item h="1" m="1" x="4088"/>
        <item h="1" m="1" x="4094"/>
        <item h="1" m="1" x="4091"/>
        <item h="1" m="1" x="4199"/>
        <item h="1" m="1" x="4200"/>
        <item h="1" m="1" x="4201"/>
        <item h="1" m="1" x="4202"/>
        <item h="1" m="1" x="4203"/>
        <item h="1" x="264"/>
        <item h="1" m="1" x="4205"/>
        <item h="1" m="1" x="4206"/>
        <item h="1" m="1" x="4107"/>
        <item h="1" m="1" x="4106"/>
        <item h="1" m="1" x="4208"/>
        <item h="1" m="1" x="4209"/>
        <item h="1" m="1" x="4210"/>
        <item h="1" m="1" x="4109"/>
        <item h="1" m="1" x="3912"/>
        <item h="1" m="1" x="3913"/>
        <item h="1" m="1" x="4111"/>
        <item h="1" m="1" x="4114"/>
        <item h="1" m="1" x="3916"/>
        <item h="1" m="1" x="3917"/>
        <item h="1" m="1" x="4119"/>
        <item h="1" m="1" x="4118"/>
        <item h="1" m="1" x="4121"/>
        <item h="1" m="1" x="4127"/>
        <item h="1" m="1" x="4014"/>
        <item h="1" m="1" x="1247"/>
        <item h="1" m="1" x="3593"/>
        <item h="1" m="1" x="2637"/>
        <item h="1" m="1" x="4128"/>
        <item h="1" m="1" x="4013"/>
        <item h="1" m="1" x="4012"/>
        <item h="1" m="1" x="4211"/>
        <item h="1" m="1" x="4212"/>
        <item h="1" m="1" x="3677"/>
        <item h="1" m="1" x="3436"/>
        <item h="1" m="1" x="4020"/>
        <item h="1" m="1" x="3683"/>
        <item h="1" m="1" x="3684"/>
        <item h="1" m="1" x="3687"/>
        <item h="1" m="1" x="4021"/>
        <item h="1" m="1" x="4023"/>
        <item h="1" m="1" x="3846"/>
        <item h="1" m="1" x="4024"/>
        <item h="1" m="1" x="4026"/>
        <item h="1" m="1" x="4027"/>
        <item h="1" m="1" x="4028"/>
        <item h="1" m="1" x="4029"/>
        <item h="1" m="1" x="4030"/>
        <item h="1" m="1" x="4007"/>
        <item h="1" m="1" x="4031"/>
        <item h="1" m="1" x="4006"/>
        <item h="1" m="1" x="3395"/>
        <item h="1" m="1" x="4032"/>
        <item h="1" m="1" x="4033"/>
        <item h="1" m="1" x="4034"/>
        <item h="1" m="1" x="4035"/>
        <item h="1" m="1" x="3507"/>
        <item h="1" m="1" x="4036"/>
        <item h="1" m="1" x="4038"/>
        <item h="1" m="1" x="4011"/>
        <item h="1" m="1" x="3095"/>
        <item h="1" m="1" x="4039"/>
        <item h="1" m="1" x="4040"/>
        <item h="1" m="1" x="4042"/>
        <item h="1" m="1" x="4004"/>
        <item h="1" m="1" x="4043"/>
        <item h="1" m="1" x="4044"/>
        <item h="1" m="1" x="4045"/>
        <item h="1" m="1" x="4046"/>
        <item h="1" m="1" x="4047"/>
        <item h="1" m="1" x="4048"/>
        <item h="1" m="1" x="4050"/>
        <item h="1" m="1" x="4051"/>
        <item h="1" m="1" x="3702"/>
        <item h="1" m="1" x="4053"/>
        <item h="1" m="1" x="4054"/>
        <item h="1" m="1" x="4055"/>
        <item h="1" m="1" x="4056"/>
        <item h="1" m="1" x="4057"/>
        <item h="1" m="1" x="4009"/>
        <item h="1" m="1" x="4008"/>
        <item h="1" m="1" x="4058"/>
        <item h="1" m="1" x="4059"/>
        <item h="1" m="1" x="4060"/>
        <item h="1" m="1" x="3868"/>
        <item h="1" m="1" x="4005"/>
        <item h="1" m="1" x="4061"/>
        <item h="1" m="1" x="4010"/>
        <item h="1" m="1" x="3875"/>
        <item h="1" m="1" x="2635"/>
        <item h="1" m="1" x="4062"/>
        <item h="1" m="1" x="4064"/>
        <item h="1" m="1" x="4065"/>
        <item h="1" m="1" x="4066"/>
        <item h="1" m="1" x="3737"/>
        <item h="1" m="1" x="4072"/>
        <item h="1" m="1" x="4076"/>
        <item h="1" m="1" x="4077"/>
        <item h="1" m="1" x="3769"/>
        <item h="1" m="1" x="4079"/>
        <item h="1" m="1" x="3773"/>
        <item h="1" m="1" x="4080"/>
        <item h="1" m="1" x="4084"/>
        <item h="1" m="1" x="4085"/>
        <item h="1" m="1" x="4086"/>
        <item h="1" m="1" x="4087"/>
        <item h="1" m="1" x="4089"/>
        <item h="1" m="1" x="4090"/>
        <item h="1" m="1" x="4093"/>
        <item h="1" m="1" x="1276"/>
        <item h="1" m="1" x="4095"/>
        <item h="1" m="1" x="3662"/>
        <item h="1" m="1" x="4097"/>
        <item h="1" m="1" x="4098"/>
        <item h="1" m="1" x="4099"/>
        <item h="1" m="1" x="4100"/>
        <item h="1" m="1" x="4101"/>
        <item h="1" m="1" x="4102"/>
        <item h="1" m="1" x="4103"/>
        <item h="1" m="1" x="4104"/>
        <item h="1" m="1" x="1429"/>
        <item h="1" m="1" x="3789"/>
        <item h="1" m="1" x="3790"/>
        <item h="1" m="1" x="4110"/>
        <item h="1" m="1" x="4112"/>
        <item h="1" m="1" x="4113"/>
        <item h="1" m="1" x="4116"/>
        <item h="1" m="1" x="4117"/>
        <item h="1" m="1" x="4120"/>
        <item h="1" m="1" x="3178"/>
        <item h="1" m="1" x="4122"/>
        <item h="1" m="1" x="4123"/>
        <item h="1" m="1" x="4124"/>
        <item h="1" m="1" x="4125"/>
        <item h="1" m="1" x="4126"/>
        <item h="1" m="1" x="4129"/>
        <item h="1" m="1" x="4130"/>
        <item h="1" m="1" x="4131"/>
        <item h="1" m="1" x="4132"/>
        <item h="1" m="1" x="4133"/>
        <item h="1" m="1" x="4134"/>
        <item h="1" m="1" x="4135"/>
        <item h="1" m="1" x="4136"/>
        <item h="1" m="1" x="3982"/>
        <item h="1" m="1" x="3685"/>
        <item h="1" m="1" x="3960"/>
        <item h="1" m="1" x="3843"/>
        <item h="1" m="1" x="3625"/>
        <item h="1" m="1" x="3959"/>
        <item h="1" m="1" x="3692"/>
        <item h="1" m="1" x="3850"/>
        <item h="1" m="1" x="3934"/>
        <item h="1" m="1" x="3938"/>
        <item h="1" m="1" x="3998"/>
        <item h="1" m="1" x="3992"/>
        <item h="1" m="1" x="3991"/>
        <item h="1" m="1" x="3978"/>
        <item h="1" m="1" x="3990"/>
        <item h="1" m="1" x="3989"/>
        <item h="1" m="1" x="3988"/>
        <item h="1" m="1" x="3987"/>
        <item h="1" m="1" x="3986"/>
        <item h="1" m="1" x="4003"/>
        <item h="1" m="1" x="4002"/>
        <item h="1" m="1" x="4001"/>
        <item h="1" m="1" x="3970"/>
        <item h="1" m="1" x="3969"/>
        <item h="1" m="1" x="3999"/>
        <item h="1" m="1" x="1762"/>
        <item h="1" m="1" x="3967"/>
        <item h="1" m="1" x="3965"/>
        <item h="1" m="1" x="3976"/>
        <item h="1" m="1" x="3975"/>
        <item h="1" m="1" x="3973"/>
        <item h="1" m="1" x="3974"/>
        <item h="1" m="1" x="3701"/>
        <item h="1" m="1" x="3972"/>
        <item h="1" m="1" x="3971"/>
        <item h="1" m="1" x="3981"/>
        <item h="1" m="1" x="3980"/>
        <item h="1" m="1" x="3979"/>
        <item h="1" m="1" x="3957"/>
        <item h="1" m="1" x="3956"/>
        <item h="1" m="1" x="3955"/>
        <item h="1" m="1" x="3939"/>
        <item h="1" m="1" x="3718"/>
        <item h="1" m="1" x="2148"/>
        <item h="1" m="1" x="3949"/>
        <item h="1" m="1" x="3719"/>
        <item h="1" m="1" x="3866"/>
        <item h="1" m="1" x="3954"/>
        <item h="1" m="1" x="3953"/>
        <item h="1" m="1" x="3964"/>
        <item h="1" m="1" x="3963"/>
        <item h="1" m="1" x="3962"/>
        <item h="1" m="1" x="3961"/>
        <item h="1" m="1" x="3952"/>
        <item h="1" m="1" x="3951"/>
        <item h="1" m="1" x="3661"/>
        <item h="1" m="1" x="3874"/>
        <item h="1" m="1" x="3984"/>
        <item h="1" m="1" x="3993"/>
        <item h="1" m="1" x="3877"/>
        <item h="1" m="1" x="3739"/>
        <item h="1" m="1" x="3742"/>
        <item h="1" m="1" x="1339"/>
        <item h="1" m="1" x="3881"/>
        <item h="1" m="1" x="3933"/>
        <item h="1" m="1" x="3937"/>
        <item h="1" m="1" x="3772"/>
        <item h="1" m="1" x="3948"/>
        <item h="1" m="1" x="3947"/>
        <item h="1" m="1" x="3946"/>
        <item h="1" m="1" x="3945"/>
        <item h="1" m="1" x="3997"/>
        <item h="1" m="1" x="3996"/>
        <item h="1" m="1" x="3901"/>
        <item h="1" m="1" x="3900"/>
        <item h="1" m="1" x="2963"/>
        <item h="1" m="1" x="3899"/>
        <item h="1" m="1" x="3994"/>
        <item h="1" m="1" x="991"/>
        <item h="1" m="1" x="3935"/>
        <item h="1" m="1" x="3966"/>
        <item h="1" m="1" x="3786"/>
        <item h="1" m="1" x="3785"/>
        <item h="1" m="1" x="3958"/>
        <item h="1" m="1" x="4000"/>
        <item h="1" m="1" x="3908"/>
        <item h="1" m="1" x="3792"/>
        <item h="1" m="1" x="3660"/>
        <item h="1" m="1" x="3985"/>
        <item h="1" m="1" x="3943"/>
        <item h="1" m="1" x="3942"/>
        <item h="1" m="1" x="3995"/>
        <item h="1" m="1" x="3659"/>
        <item h="1" m="1" x="3941"/>
        <item h="1" m="1" x="3919"/>
        <item h="1" m="1" x="3932"/>
        <item h="1" m="1" x="3807"/>
        <item h="1" m="1" x="3592"/>
        <item h="1" m="1" x="3950"/>
        <item h="1" m="1" x="2134"/>
        <item h="1" m="1" x="3676"/>
        <item h="1" m="1" x="3682"/>
        <item h="1" m="1" x="3815"/>
        <item h="1" m="1" x="3816"/>
        <item h="1" m="1" x="3817"/>
        <item h="1" m="1" x="3818"/>
        <item h="1" m="1" x="3819"/>
        <item h="1" m="1" x="2079"/>
        <item h="1" m="1" x="3821"/>
        <item h="1" m="1" x="3822"/>
        <item h="1" m="1" x="3823"/>
        <item h="1" m="1" x="3824"/>
        <item h="1" m="1" x="3825"/>
        <item h="1" m="1" x="2074"/>
        <item h="1" m="1" x="3826"/>
        <item h="1" m="1" x="3827"/>
        <item h="1" m="1" x="3828"/>
        <item h="1" m="1" x="3829"/>
        <item h="1" m="1" x="3830"/>
        <item h="1" m="1" x="3831"/>
        <item h="1" m="1" x="3832"/>
        <item h="1" m="1" x="3833"/>
        <item h="1" m="1" x="3834"/>
        <item h="1" m="1" x="3835"/>
        <item h="1" m="1" x="3836"/>
        <item h="1" m="1" x="3837"/>
        <item h="1" m="1" x="3838"/>
        <item h="1" m="1" x="3839"/>
        <item h="1" m="1" x="3840"/>
        <item h="1" m="1" x="3841"/>
        <item h="1" m="1" x="3842"/>
        <item h="1" m="1" x="3844"/>
        <item h="1" m="1" x="3845"/>
        <item h="1" m="1" x="1527"/>
        <item h="1" m="1" x="3694"/>
        <item h="1" m="1" x="3627"/>
        <item h="1" m="1" x="3634"/>
        <item h="1" m="1" x="3847"/>
        <item h="1" m="1" x="3848"/>
        <item h="1" m="1" x="2425"/>
        <item h="1" m="1" x="3700"/>
        <item h="1" m="1" x="3851"/>
        <item h="1" m="1" x="3852"/>
        <item h="1" m="1" x="3853"/>
        <item h="1" m="1" x="3854"/>
        <item h="1" m="1" x="3855"/>
        <item h="1" m="1" x="3856"/>
        <item h="1" m="1" x="3857"/>
        <item h="1" m="1" x="3858"/>
        <item h="1" m="1" x="3699"/>
        <item h="1" m="1" x="3859"/>
        <item h="1" m="1" x="3695"/>
        <item h="1" m="1" x="3860"/>
        <item h="1" m="1" x="3696"/>
        <item h="1" m="1" x="3861"/>
        <item h="1" m="1" x="3862"/>
        <item h="1" m="1" x="3863"/>
        <item h="1" m="1" x="3864"/>
        <item h="1" m="1" x="3865"/>
        <item h="1" m="1" x="3697"/>
        <item h="1" m="1" x="3698"/>
        <item h="1" m="1" x="3459"/>
        <item h="1" m="1" x="1621"/>
        <item h="1" m="1" x="1619"/>
        <item h="1" m="1" x="3628"/>
        <item h="1" m="1" x="706"/>
        <item h="1" m="1" x="3867"/>
        <item h="1" m="1" x="3871"/>
        <item h="1" m="1" x="3872"/>
        <item h="1" m="1" x="3655"/>
        <item h="1" m="1" x="3732"/>
        <item h="1" m="1" x="3733"/>
        <item h="1" m="1" x="3734"/>
        <item h="1" m="1" x="3735"/>
        <item h="1" m="1" x="2640"/>
        <item h="1" m="1" x="3879"/>
        <item h="1" m="1" x="3740"/>
        <item h="1" m="1" x="3880"/>
        <item h="1" m="1" x="3746"/>
        <item h="1" m="1" x="3747"/>
        <item h="1" m="1" x="3748"/>
        <item h="1" m="1" x="3749"/>
        <item h="1" m="1" x="3759"/>
        <item h="1" m="1" x="3302"/>
        <item h="1" m="1" x="3763"/>
        <item h="1" m="1" x="3885"/>
        <item h="1" m="1" x="3892"/>
        <item h="1" m="1" x="3893"/>
        <item h="1" m="1" x="3894"/>
        <item h="1" m="1" x="3898"/>
        <item h="1" m="1" x="755"/>
        <item h="1" m="1" x="3902"/>
        <item h="1" m="1" x="3778"/>
        <item h="1" m="1" x="2222"/>
        <item h="1" m="1" x="3782"/>
        <item h="1" m="1" x="3165"/>
        <item h="1" m="1" x="1565"/>
        <item h="1" m="1" x="3905"/>
        <item h="1" m="1" x="3906"/>
        <item h="1" m="1" x="3791"/>
        <item h="1" m="1" x="3914"/>
        <item h="1" m="1" x="3794"/>
        <item h="1" m="1" x="3915"/>
        <item h="1" m="1" x="3795"/>
        <item h="1" m="1" x="3799"/>
        <item h="1" m="1" x="3805"/>
        <item h="1" m="1" x="3801"/>
        <item h="1" m="1" x="3802"/>
        <item h="1" m="1" x="3803"/>
        <item h="1" m="1" x="3804"/>
        <item h="1" m="1" x="3920"/>
        <item h="1" m="1" x="3921"/>
        <item h="1" m="1" x="3494"/>
        <item h="1" m="1" x="3922"/>
        <item h="1" m="1" x="3923"/>
        <item h="1" m="1" x="3924"/>
        <item h="1" m="1" x="3926"/>
        <item h="1" m="1" x="3928"/>
        <item h="1" m="1" x="3929"/>
        <item h="1" m="1" x="3930"/>
        <item h="1" m="1" x="3931"/>
        <item h="1" m="1" x="3337"/>
        <item h="1" m="1" x="3813"/>
        <item h="1" m="1" x="3814"/>
        <item h="1" m="1" x="3642"/>
        <item h="1" m="1" x="3674"/>
        <item h="1" m="1" x="3675"/>
        <item h="1" m="1" x="3193"/>
        <item h="1" m="1" x="3678"/>
        <item h="1" m="1" x="3679"/>
        <item h="1" m="1" x="3680"/>
        <item h="1" m="1" x="3663"/>
        <item h="1" m="1" x="3686"/>
        <item h="1" m="1" x="3640"/>
        <item h="1" m="1" x="3689"/>
        <item h="1" m="1" x="3690"/>
        <item h="1" m="1" x="3691"/>
        <item h="1" m="1" x="3639"/>
        <item h="1" m="1" x="3693"/>
        <item h="1" m="1" x="3658"/>
        <item h="1" m="1" x="3703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712"/>
        <item h="1" m="1" x="3713"/>
        <item h="1" m="1" x="3714"/>
        <item h="1" m="1" x="3715"/>
        <item h="1" m="1" x="3716"/>
        <item h="1" m="1" x="3647"/>
        <item h="1" m="1" x="3717"/>
        <item h="1" m="1" x="3720"/>
        <item h="1" m="1" x="3670"/>
        <item h="1" m="1" x="1224"/>
        <item h="1" m="1" x="1225"/>
        <item h="1" m="1" x="1223"/>
        <item h="1" m="1" x="3722"/>
        <item h="1" m="1" x="3723"/>
        <item h="1" m="1" x="3724"/>
        <item h="1" m="1" x="3725"/>
        <item h="1" m="1" x="3649"/>
        <item h="1" m="1" x="3648"/>
        <item h="1" m="1" x="3653"/>
        <item h="1" m="1" x="3652"/>
        <item h="1" m="1" x="3730"/>
        <item h="1" m="1" x="3638"/>
        <item h="1" m="1" x="1726"/>
        <item h="1" m="1" x="3731"/>
        <item h="1" m="1" x="3736"/>
        <item h="1" m="1" x="2139"/>
        <item h="1" m="1" x="3738"/>
        <item h="1" m="1" x="779"/>
        <item h="1" m="1" x="3148"/>
        <item h="1" m="1" x="3741"/>
        <item h="1" m="1" x="3743"/>
        <item h="1" m="1" x="3744"/>
        <item h="1" m="1" x="3745"/>
        <item h="1" m="1" x="3750"/>
        <item h="1" m="1" x="3751"/>
        <item h="1" m="1" x="3752"/>
        <item h="1" m="1" x="3477"/>
        <item h="1" m="1" x="3754"/>
        <item h="1" m="1" x="3480"/>
        <item h="1" m="1" x="3762"/>
        <item h="1" m="1" x="3770"/>
        <item h="1" m="1" x="3774"/>
        <item h="1" m="1" x="3776"/>
        <item h="1" x="159"/>
        <item h="1" m="1" x="3777"/>
        <item h="1" m="1" x="3284"/>
        <item h="1" m="1" x="3779"/>
        <item h="1" m="1" x="3780"/>
        <item h="1" m="1" x="3657"/>
        <item h="1" m="1" x="3656"/>
        <item h="1" m="1" x="3573"/>
        <item h="1" m="1" x="1836"/>
        <item h="1" m="1" x="3163"/>
        <item h="1" m="1" x="3781"/>
        <item h="1" m="1" x="3783"/>
        <item h="1" m="1" x="3160"/>
        <item h="1" m="1" x="1566"/>
        <item h="1" m="1" x="3788"/>
        <item h="1" m="1" x="3489"/>
        <item h="1" m="1" x="3490"/>
        <item h="1" m="1" x="3641"/>
        <item h="1" m="1" x="2786"/>
        <item h="1" m="1" x="3796"/>
        <item h="1" m="1" x="3797"/>
        <item h="1" m="1" x="3798"/>
        <item h="1" m="1" x="3305"/>
        <item h="1" m="1" x="3800"/>
        <item h="1" m="1" x="3323"/>
        <item h="1" m="1" x="3435"/>
        <item h="1" m="1" x="3434"/>
        <item h="1" m="1" x="3811"/>
        <item h="1" m="1" x="3812"/>
        <item h="1" m="1" x="2395"/>
        <item h="1" m="1" x="3191"/>
        <item h="1" m="1" x="3617"/>
        <item h="1" m="1" x="3606"/>
        <item h="1" m="1" x="3607"/>
        <item h="1" m="1" x="3084"/>
        <item h="1" m="1" x="2258"/>
        <item h="1" m="1" x="3624"/>
        <item h="1" m="1" x="3651"/>
        <item h="1" m="1" x="3615"/>
        <item h="1" m="1" x="3635"/>
        <item h="1" m="1" x="3345"/>
        <item h="1" m="1" x="3616"/>
        <item h="1" m="1" x="3610"/>
        <item h="1" m="1" x="3612"/>
        <item h="1" m="1" x="3637"/>
        <item h="1" m="1" x="3622"/>
        <item h="1" m="1" x="3524"/>
        <item h="1" m="1" x="3525"/>
        <item h="1" m="1" x="3618"/>
        <item h="1" m="1" x="3608"/>
        <item h="1" m="1" x="3521"/>
        <item h="1" m="1" x="3611"/>
        <item h="1" m="1" x="3613"/>
        <item h="1" m="1" x="3650"/>
        <item h="1" m="1" x="3541"/>
        <item h="1" m="1" x="3545"/>
        <item h="1" m="1" x="3475"/>
        <item h="1" m="1" x="2781"/>
        <item h="1" m="1" x="2782"/>
        <item h="1" m="1" x="3542"/>
        <item h="1" m="1" x="3543"/>
        <item h="1" m="1" x="2789"/>
        <item h="1" m="1" x="3549"/>
        <item h="1" m="1" x="3623"/>
        <item h="1" m="1" x="3614"/>
        <item h="1" m="1" x="3630"/>
        <item h="1" m="1" x="3609"/>
        <item h="1" m="1" x="3632"/>
        <item h="1" m="1" x="3631"/>
        <item h="1" x="270"/>
        <item h="1" m="1" x="3560"/>
        <item h="1" m="1" x="3559"/>
        <item h="1" m="1" x="3562"/>
        <item h="1" m="1" x="3431"/>
        <item h="1" m="1" x="3629"/>
        <item h="1" m="1" x="3621"/>
        <item h="1" m="1" x="3671"/>
        <item h="1" m="1" x="3568"/>
        <item h="1" m="1" x="1401"/>
        <item h="1" m="1" x="1402"/>
        <item h="1" m="1" x="3042"/>
        <item h="1" m="1" x="3575"/>
        <item h="1" m="1" x="3574"/>
        <item h="1" m="1" x="3643"/>
        <item h="1" m="1" x="1948"/>
        <item h="1" m="1" x="1835"/>
        <item h="1" m="1" x="3033"/>
        <item h="1" m="1" x="2784"/>
        <item h="1" m="1" x="1469"/>
        <item h="1" m="1" x="2785"/>
        <item h="1" m="1" x="3578"/>
        <item h="1" m="1" x="3579"/>
        <item h="1" m="1" x="3580"/>
        <item h="1" m="1" x="3582"/>
        <item h="1" m="1" x="3583"/>
        <item h="1" m="1" x="3318"/>
        <item h="1" m="1" x="3588"/>
        <item h="1" m="1" x="3589"/>
        <item h="1" m="1" x="3590"/>
        <item h="1" m="1" x="3591"/>
        <item h="1" m="1" x="3432"/>
        <item h="1" m="1" x="3645"/>
        <item h="1" m="1" x="3644"/>
        <item h="1" m="1" x="3595"/>
        <item h="1" m="1" x="3596"/>
        <item h="1" m="1" x="3597"/>
        <item h="1" m="1" x="3620"/>
        <item h="1" m="1" x="3619"/>
        <item h="1" m="1" x="3633"/>
        <item h="1" m="1" x="3599"/>
        <item h="1" m="1" x="3601"/>
        <item h="1" m="1" x="3602"/>
        <item h="1" m="1" x="2406"/>
        <item h="1" m="1" x="3603"/>
        <item h="1" m="1" x="3604"/>
        <item h="1" m="1" x="3333"/>
        <item h="1" m="1" x="3340"/>
        <item h="1" m="1" x="3600"/>
        <item h="1" m="1" x="3496"/>
        <item h="1" m="1" x="3497"/>
        <item h="1" m="1" x="3498"/>
        <item h="1" m="1" x="3499"/>
        <item h="1" m="1" x="3501"/>
        <item h="1" m="1" x="1180"/>
        <item h="1" m="1" x="1181"/>
        <item h="1" m="1" x="3503"/>
        <item h="1" m="1" x="3504"/>
        <item h="1" m="1" x="3505"/>
        <item h="1" m="1" x="3506"/>
        <item h="1" m="1" x="3508"/>
        <item h="1" m="1" x="3452"/>
        <item h="1" m="1" x="3453"/>
        <item h="1" m="1" x="3510"/>
        <item h="1" m="1" x="3511"/>
        <item h="1" m="1" x="3512"/>
        <item h="1" m="1" x="3513"/>
        <item h="1" m="1" x="3202"/>
        <item h="1" m="1" x="3097"/>
        <item h="1" m="1" x="3514"/>
        <item h="1" m="1" x="3515"/>
        <item h="1" m="1" x="3516"/>
        <item h="1" m="1" x="3518"/>
        <item h="1" m="1" x="3519"/>
        <item h="1" m="1" x="3096"/>
        <item h="1" m="1" x="3522"/>
        <item h="1" m="1" x="3523"/>
        <item h="1" m="1" x="3526"/>
        <item h="1" m="1" x="3527"/>
        <item h="1" m="1" x="3528"/>
        <item h="1" m="1" x="3448"/>
        <item h="1" m="1" x="3449"/>
        <item h="1" m="1" x="3529"/>
        <item h="1" m="1" x="3098"/>
        <item h="1" m="1" x="3530"/>
        <item h="1" m="1" x="3531"/>
        <item h="1" m="1" x="3532"/>
        <item h="1" m="1" x="3534"/>
        <item h="1" m="1" x="3535"/>
        <item h="1" m="1" x="3538"/>
        <item h="1" m="1" x="3539"/>
        <item h="1" m="1" x="3540"/>
        <item h="1" m="1" x="2796"/>
        <item h="1" m="1" x="3544"/>
        <item h="1" m="1" x="3547"/>
        <item h="1" m="1" x="3548"/>
        <item h="1" m="1" x="3265"/>
        <item h="1" m="1" x="3429"/>
        <item h="1" m="1" x="3550"/>
        <item h="1" m="1" x="3551"/>
        <item h="1" m="1" x="3552"/>
        <item h="1" m="1" x="3553"/>
        <item h="1" m="1" x="3554"/>
        <item h="1" m="1" x="3555"/>
        <item h="1" m="1" x="3556"/>
        <item h="1" m="1" x="3557"/>
        <item h="1" m="1" x="3558"/>
        <item h="1" m="1" x="1351"/>
        <item h="1" m="1" x="1352"/>
        <item h="1" m="1" x="3476"/>
        <item h="1" m="1" x="3561"/>
        <item h="1" m="1" x="1248"/>
        <item h="1" m="1" x="3563"/>
        <item h="1" m="1" x="3564"/>
        <item h="1" m="1" x="3565"/>
        <item h="1" m="1" x="3566"/>
        <item h="1" m="1" x="3567"/>
        <item h="1" m="1" x="3486"/>
        <item h="1" m="1" x="3280"/>
        <item h="1" m="1" x="3283"/>
        <item h="1" m="1" x="1399"/>
        <item h="1" m="1" x="2461"/>
        <item h="1" m="1" x="3569"/>
        <item h="1" m="1" x="3570"/>
        <item h="1" m="1" x="3571"/>
        <item h="1" x="369"/>
        <item h="1" m="1" x="3159"/>
        <item h="1" m="1" x="3430"/>
        <item h="1" m="1" x="3034"/>
        <item h="1" m="1" x="1944"/>
        <item h="1" m="1" x="1834"/>
        <item h="1" m="1" x="2180"/>
        <item h="1" m="1" x="3169"/>
        <item h="1" m="1" x="3576"/>
        <item h="1" m="1" x="3577"/>
        <item h="1" x="83"/>
        <item h="1" m="1" x="2027"/>
        <item h="1" m="1" x="2802"/>
        <item h="1" m="1" x="3581"/>
        <item h="1" m="1" x="3584"/>
        <item h="1" m="1" x="3493"/>
        <item h="1" m="1" x="3585"/>
        <item h="1" m="1" x="3586"/>
        <item h="1" m="1" x="3587"/>
        <item h="1" m="1" x="3183"/>
        <item h="1" m="1" x="3598"/>
        <item h="1" m="1" x="1205"/>
        <item h="1" m="1" x="1738"/>
        <item h="1" m="1" x="1739"/>
        <item h="1" m="1" x="3605"/>
        <item h="1" m="1" x="3437"/>
        <item h="1" m="1" x="3438"/>
        <item h="1" m="1" x="3195"/>
        <item h="1" m="1" x="776"/>
        <item h="1" m="1" x="3439"/>
        <item h="1" m="1" x="3440"/>
        <item h="1" m="1" x="3441"/>
        <item h="1" m="1" x="3442"/>
        <item h="1" m="1" x="3443"/>
        <item h="1" m="1" x="3444"/>
        <item h="1" m="1" x="3445"/>
        <item h="1" m="1" x="3100"/>
        <item h="1" m="1" x="3446"/>
        <item h="1" m="1" x="3447"/>
        <item h="1" m="1" x="3450"/>
        <item h="1" m="1" x="3451"/>
        <item h="1" m="1" x="3099"/>
        <item h="1" m="1" x="3454"/>
        <item h="1" m="1" x="3455"/>
        <item h="1" m="1" x="3457"/>
        <item h="1" m="1" x="3458"/>
        <item h="1" m="1" x="3460"/>
        <item h="1" m="1" x="3461"/>
        <item h="1" m="1" x="3462"/>
        <item h="1" m="1" x="3463"/>
        <item h="1" x="349"/>
        <item h="1" m="1" x="3236"/>
        <item h="1" m="1" x="3465"/>
        <item h="1" m="1" x="3466"/>
        <item h="1" m="1" x="3467"/>
        <item h="1" m="1" x="3468"/>
        <item h="1" m="1" x="3469"/>
        <item h="1" m="1" x="3470"/>
        <item h="1" m="1" x="3471"/>
        <item h="1" m="1" x="3472"/>
        <item h="1" m="1" x="1250"/>
        <item h="1" m="1" x="2798"/>
        <item h="1" m="1" x="3248"/>
        <item h="1" m="1" x="3254"/>
        <item h="1" m="1" x="3252"/>
        <item h="1" m="1" x="3255"/>
        <item h="1" m="1" x="3257"/>
        <item h="1" m="1" x="3258"/>
        <item h="1" m="1" x="470"/>
        <item h="1" m="1" x="1259"/>
        <item h="1" m="1" x="3423"/>
        <item h="1" m="1" x="3478"/>
        <item h="1" m="1" x="3482"/>
        <item h="1" m="1" x="3483"/>
        <item h="1" m="1" x="3421"/>
        <item h="1" m="1" x="3419"/>
        <item h="1" m="1" x="3425"/>
        <item h="1" m="1" x="3422"/>
        <item h="1" m="1" x="3424"/>
        <item h="1" m="1" x="3484"/>
        <item h="1" m="1" x="3277"/>
        <item h="1" m="1" x="2718"/>
        <item h="1" m="1" x="3279"/>
        <item h="1" m="1" x="3281"/>
        <item h="1" m="1" x="3420"/>
        <item h="1" m="1" x="3289"/>
        <item h="1" m="1" x="3487"/>
        <item h="1" m="1" x="3348"/>
        <item h="1" m="1" x="1853"/>
        <item h="1" m="1" x="3035"/>
        <item h="1" m="1" x="3426"/>
        <item h="1" m="1" x="3040"/>
        <item h="1" m="1" x="3296"/>
        <item h="1" m="1" x="1443"/>
        <item h="1" m="1" x="3488"/>
        <item h="1" m="1" x="3491"/>
        <item h="1" m="1" x="3492"/>
        <item h="1" m="1" x="3307"/>
        <item h="1" m="1" x="3308"/>
        <item h="1" m="1" x="3309"/>
        <item h="1" m="1" x="3310"/>
        <item h="1" m="1" x="3314"/>
        <item h="1" m="1" x="3315"/>
        <item h="1" m="1" x="3319"/>
        <item h="1" m="1" x="3418"/>
        <item h="1" m="1" x="3427"/>
        <item h="1" m="1" x="2049"/>
        <item h="1" m="1" x="3495"/>
        <item h="1" m="1" x="3327"/>
        <item h="1" m="1" x="3339"/>
        <item h="1" m="1" x="3417"/>
        <item h="1" m="1" x="3338"/>
        <item h="1" m="1" x="3331"/>
        <item h="1" m="1" x="3332"/>
        <item h="1" m="1" x="1518"/>
        <item h="1" m="1" x="2040"/>
        <item h="1" m="1" x="1725"/>
        <item h="1" m="1" x="3336"/>
        <item h="1" m="1" x="3400"/>
        <item h="1" m="1" x="3200"/>
        <item h="1" m="1" x="3199"/>
        <item h="1" m="1" x="3344"/>
        <item h="1" m="1" x="3196"/>
        <item h="1" m="1" x="3197"/>
        <item h="1" m="1" x="3198"/>
        <item h="1" m="1" x="3410"/>
        <item h="1" m="1" x="3349"/>
        <item h="1" m="1" x="1141"/>
        <item h="1" m="1" x="3407"/>
        <item h="1" m="1" x="3416"/>
        <item h="1" m="1" x="1441"/>
        <item h="1" m="1" x="3211"/>
        <item h="1" m="1" x="3353"/>
        <item h="1" m="1" x="3352"/>
        <item h="1" m="1" x="3351"/>
        <item h="1" m="1" x="3350"/>
        <item h="1" m="1" x="3212"/>
        <item h="1" m="1" x="3343"/>
        <item h="1" m="1" x="3342"/>
        <item h="1" m="1" x="3341"/>
        <item h="1" m="1" x="3213"/>
        <item h="1" m="1" x="3210"/>
        <item h="1" m="1" x="3209"/>
        <item h="1" m="1" x="3356"/>
        <item h="1" m="1" x="3370"/>
        <item h="1" m="1" x="3380"/>
        <item h="1" m="1" x="3206"/>
        <item h="1" m="1" x="3381"/>
        <item h="1" m="1" x="3208"/>
        <item h="1" m="1" x="2735"/>
        <item h="1" m="1" x="3207"/>
        <item h="1" m="1" x="3390"/>
        <item h="1" m="1" x="3389"/>
        <item h="1" m="1" x="3388"/>
        <item h="1" m="1" x="3386"/>
        <item h="1" m="1" x="3409"/>
        <item h="1" m="1" x="3411"/>
        <item h="1" m="1" x="3203"/>
        <item h="1" m="1" x="3408"/>
        <item h="1" m="1" x="3415"/>
        <item h="1" m="1" x="3414"/>
        <item h="1" m="1" x="3413"/>
        <item h="1" m="1" x="3204"/>
        <item h="1" m="1" x="3401"/>
        <item h="1" m="1" x="3396"/>
        <item h="1" m="1" x="3397"/>
        <item h="1" m="1" x="3205"/>
        <item h="1" m="1" x="3394"/>
        <item h="1" m="1" x="3378"/>
        <item h="1" m="1" x="3379"/>
        <item h="1" m="1" x="3369"/>
        <item h="1" m="1" x="3368"/>
        <item h="1" m="1" x="3374"/>
        <item h="1" m="1" x="3405"/>
        <item h="1" m="1" x="3237"/>
        <item h="1" m="1" x="3241"/>
        <item h="1" m="1" x="3355"/>
        <item h="1" m="1" x="2645"/>
        <item h="1" m="1" x="2315"/>
        <item h="1" m="1" x="3385"/>
        <item h="1" m="1" x="3384"/>
        <item h="1" m="1" x="3256"/>
        <item h="1" m="1" x="3249"/>
        <item h="1" m="1" x="3347"/>
        <item h="1" m="1" x="3250"/>
        <item h="1" m="1" x="1252"/>
        <item h="1" m="1" x="3366"/>
        <item h="1" m="1" x="3264"/>
        <item h="1" m="1" x="3262"/>
        <item h="1" m="1" x="1280"/>
        <item h="1" m="1" x="3404"/>
        <item h="1" m="1" x="3403"/>
        <item h="1" m="1" x="3402"/>
        <item h="1" m="1" x="3361"/>
        <item h="1" m="1" x="2264"/>
        <item h="1" m="1" x="3269"/>
        <item h="1" m="1" x="451"/>
        <item h="1" m="1" x="3358"/>
        <item h="1" m="1" x="1373"/>
        <item h="1" m="1" x="3399"/>
        <item h="1" m="1" x="3382"/>
        <item h="1" m="1" x="3359"/>
        <item h="1" m="1" x="3398"/>
        <item h="1" m="1" x="3367"/>
        <item h="1" m="1" x="2400"/>
        <item h="1" m="1" x="2372"/>
        <item h="1" m="1" x="1391"/>
        <item h="1" m="1" x="3278"/>
        <item h="1" m="1" x="2003"/>
        <item h="1" m="1" x="2647"/>
        <item h="1" m="1" x="3286"/>
        <item h="1" m="1" x="3392"/>
        <item h="1" m="1" x="3282"/>
        <item h="1" m="1" x="3285"/>
        <item h="1" m="1" x="1405"/>
        <item h="1" m="1" x="1404"/>
        <item h="1" m="1" x="553"/>
        <item h="1" m="1" x="3293"/>
        <item h="1" m="1" x="1413"/>
        <item h="1" m="1" x="1668"/>
        <item h="1" m="1" x="2179"/>
        <item h="1" m="1" x="554"/>
        <item h="1" m="1" x="555"/>
        <item h="1" m="1" x="556"/>
        <item h="1" m="1" x="3041"/>
        <item h="1" m="1" x="3412"/>
        <item h="1" m="1" x="2544"/>
        <item h="1" m="1" x="3297"/>
        <item h="1" m="1" x="3171"/>
        <item h="1" m="1" x="3298"/>
        <item h="1" m="1" x="3299"/>
        <item h="1" m="1" x="3300"/>
        <item h="1" m="1" x="3383"/>
        <item h="1" m="1" x="3301"/>
        <item h="1" m="1" x="2800"/>
        <item h="1" m="1" x="3346"/>
        <item h="1" m="1" x="3376"/>
        <item h="1" m="1" x="3375"/>
        <item h="1" m="1" x="3363"/>
        <item h="1" m="1" x="3362"/>
        <item h="1" m="1" x="802"/>
        <item h="1" m="1" x="3313"/>
        <item h="1" m="1" x="3304"/>
        <item h="1" m="1" x="3306"/>
        <item h="1" m="1" x="3320"/>
        <item h="1" m="1" x="3321"/>
        <item h="1" m="1" x="3316"/>
        <item h="1" m="1" x="3393"/>
        <item h="1" m="1" x="3182"/>
        <item h="1" m="1" x="3365"/>
        <item h="1" m="1" x="3364"/>
        <item h="1" m="1" x="1653"/>
        <item h="1" m="1" x="3373"/>
        <item h="1" m="1" x="3335"/>
        <item h="1" m="1" x="3372"/>
        <item h="1" m="1" x="3329"/>
        <item h="1" m="1" x="3330"/>
        <item h="1" m="1" x="2020"/>
        <item h="1" m="1" x="3371"/>
        <item h="1" m="1" x="3328"/>
        <item h="1" m="1" x="3077"/>
        <item h="1" m="1" x="3194"/>
        <item h="1" m="1" x="1524"/>
        <item h="1" m="1" x="1525"/>
        <item h="1" m="1" x="3214"/>
        <item h="1" m="1" x="3215"/>
        <item h="1" m="1" x="3216"/>
        <item h="1" m="1" x="3217"/>
        <item h="1" m="1" x="3219"/>
        <item h="1" m="1" x="3220"/>
        <item h="1" m="1" x="3221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2835"/>
        <item h="1" m="1" x="3235"/>
        <item h="1" m="1" x="3128"/>
        <item h="1" m="1" x="3129"/>
        <item h="1" m="1" x="3238"/>
        <item h="1" m="1" x="3239"/>
        <item h="1" m="1" x="3240"/>
        <item h="1" m="1" x="3242"/>
        <item h="1" m="1" x="3244"/>
        <item h="1" m="1" x="2319"/>
        <item h="1" m="1" x="2318"/>
        <item h="1" m="1" x="3136"/>
        <item h="1" m="1" x="3137"/>
        <item h="1" m="1" x="3135"/>
        <item h="1" m="1" x="534"/>
        <item h="1" m="1" x="3143"/>
        <item h="1" m="1" x="2646"/>
        <item h="1" m="1" x="533"/>
        <item h="1" m="1" x="518"/>
        <item h="1" m="1" x="2799"/>
        <item h="1" m="1" x="2803"/>
        <item h="1" m="1" x="3251"/>
        <item h="1" m="1" x="3253"/>
        <item h="1" m="1" x="3144"/>
        <item h="1" m="1" x="477"/>
        <item h="1" m="1" x="480"/>
        <item h="1" m="1" x="479"/>
        <item h="1" m="1" x="3259"/>
        <item h="1" m="1" x="3260"/>
        <item h="1" m="1" x="2792"/>
        <item h="1" m="1" x="1258"/>
        <item h="1" m="1" x="3261"/>
        <item h="1" m="1" x="3009"/>
        <item h="1" m="1" x="2793"/>
        <item h="1" m="1" x="2794"/>
        <item h="1" m="1" x="3147"/>
        <item h="1" m="1" x="1323"/>
        <item h="1" m="1" x="1322"/>
        <item h="1" m="1" x="1314"/>
        <item h="1" m="1" x="1320"/>
        <item h="1" m="1" x="1321"/>
        <item h="1" m="1" x="1308"/>
        <item h="1" m="1" x="1309"/>
        <item h="1" m="1" x="1334"/>
        <item h="1" m="1" x="1326"/>
        <item h="1" m="1" x="1327"/>
        <item h="1" m="1" x="1325"/>
        <item h="1" m="1" x="1328"/>
        <item h="1" m="1" x="1329"/>
        <item h="1" m="1" x="1324"/>
        <item h="1" m="1" x="1289"/>
        <item h="1" m="1" x="1293"/>
        <item h="1" m="1" x="1290"/>
        <item h="1" m="1" x="1291"/>
        <item h="1" m="1" x="1292"/>
        <item h="1" m="1" x="1294"/>
        <item h="1" m="1" x="1295"/>
        <item h="1" m="1" x="1296"/>
        <item h="1" m="1" x="2795"/>
        <item h="1" m="1" x="3266"/>
        <item h="1" m="1" x="3267"/>
        <item h="1" m="1" x="3268"/>
        <item h="1" m="1" x="1372"/>
        <item h="1" m="1" x="3274"/>
        <item h="1" m="1" x="3275"/>
        <item h="1" m="1" x="3276"/>
        <item h="1" m="1" x="1390"/>
        <item h="1" m="1" x="2171"/>
        <item h="1" m="1" x="2172"/>
        <item h="1" m="1" x="3288"/>
        <item h="1" m="1" x="3290"/>
        <item h="1" m="1" x="3157"/>
        <item h="1" m="1" x="3291"/>
        <item h="1" m="1" x="3292"/>
        <item h="1" m="1" x="1403"/>
        <item h="1" m="1" x="1660"/>
        <item h="1" m="1" x="3294"/>
        <item h="1" m="1" x="1947"/>
        <item h="1" m="1" x="1838"/>
        <item h="1" m="1" x="3164"/>
        <item h="1" m="1" x="3036"/>
        <item h="1" m="1" x="3037"/>
        <item h="1" m="1" x="2545"/>
        <item h="1" m="1" x="3303"/>
        <item h="1" m="1" x="3311"/>
        <item h="1" m="1" x="3312"/>
        <item h="1" m="1" x="3317"/>
        <item h="1" m="1" x="3322"/>
        <item h="1" m="1" x="1720"/>
        <item h="1" m="1" x="1721"/>
        <item h="1" m="1" x="3181"/>
        <item h="1" m="1" x="3185"/>
        <item h="1" m="1" x="3326"/>
        <item h="1" m="1" x="2469"/>
        <item h="1" m="1" x="3334"/>
        <item h="1" m="1" x="3066"/>
        <item h="1" m="1" x="3073"/>
        <item h="1" m="1" x="3074"/>
        <item h="1" m="1" x="3075"/>
        <item h="1" m="1" x="3076"/>
        <item h="1" m="1" x="3078"/>
        <item h="1" m="1" x="3079"/>
        <item h="1" m="1" x="3080"/>
        <item h="1" m="1" x="3081"/>
        <item h="1" m="1" x="3082"/>
        <item h="1" m="1" x="3083"/>
        <item h="1" m="1" x="3085"/>
        <item h="1" m="1" x="3086"/>
        <item h="1" m="1" x="3087"/>
        <item h="1" m="1" x="3089"/>
        <item h="1" m="1" x="3090"/>
        <item h="1" m="1" x="2675"/>
        <item h="1" m="1" x="3091"/>
        <item h="1" m="1" x="3092"/>
        <item h="1" m="1" x="3093"/>
        <item h="1" m="1" x="3094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9"/>
        <item h="1" m="1" x="3110"/>
        <item h="1" m="1" x="3111"/>
        <item h="1" m="1" x="3112"/>
        <item h="1" m="1" x="3113"/>
        <item h="1" m="1" x="3114"/>
        <item h="1" m="1" x="3115"/>
        <item h="1" m="1" x="3116"/>
        <item h="1" m="1" x="3117"/>
        <item h="1" m="1" x="3118"/>
        <item h="1" m="1" x="3119"/>
        <item h="1" m="1" x="3120"/>
        <item h="1" m="1" x="3121"/>
        <item h="1" m="1" x="3123"/>
        <item h="1" m="1" x="3124"/>
        <item h="1" m="1" x="3127"/>
        <item h="1" m="1" x="3131"/>
        <item h="1" m="1" x="1034"/>
        <item h="1" m="1" x="3132"/>
        <item h="1" m="1" x="3133"/>
        <item h="1" m="1" x="3134"/>
        <item h="1" m="1" x="3138"/>
        <item h="1" m="1" x="3139"/>
        <item h="1" m="1" x="3142"/>
        <item h="1" m="1" x="2814"/>
        <item h="1" m="1" x="2998"/>
        <item h="1" m="1" x="2317"/>
        <item h="1" m="1" x="3002"/>
        <item h="1" m="1" x="3145"/>
        <item h="1" m="1" x="3146"/>
        <item h="1" m="1" x="2316"/>
        <item h="1" m="1" x="2807"/>
        <item h="1" m="1" x="2808"/>
        <item h="1" m="1" x="2809"/>
        <item h="1" m="1" x="2810"/>
        <item h="1" m="1" x="3004"/>
        <item h="1" m="1" x="3005"/>
        <item h="1" m="1" x="2811"/>
        <item h="1" m="1" x="1287"/>
        <item h="1" m="1" x="1288"/>
        <item h="1" m="1" x="1284"/>
        <item h="1" m="1" x="1285"/>
        <item h="1" m="1" x="1286"/>
        <item h="1" m="1" x="3149"/>
        <item h="1" m="1" x="3150"/>
        <item h="1" m="1" x="2547"/>
        <item h="1" m="1" x="3151"/>
        <item h="1" m="1" x="3152"/>
        <item h="1" m="1" x="3153"/>
        <item h="1" m="1" x="442"/>
        <item h="1" m="1" x="3154"/>
        <item h="1" m="1" x="3155"/>
        <item h="1" m="1" x="1371"/>
        <item h="1" m="1" x="3020"/>
        <item h="1" m="1" x="3021"/>
        <item h="1" m="1" x="3024"/>
        <item h="1" m="1" x="3156"/>
        <item h="1" m="1" x="2660"/>
        <item h="1" m="1" x="1657"/>
        <item h="1" x="148"/>
        <item h="1" m="1" x="3029"/>
        <item h="1" m="1" x="3030"/>
        <item h="1" m="1" x="3031"/>
        <item h="1" m="1" x="3032"/>
        <item h="1" m="1" x="3162"/>
        <item h="1" m="1" x="1983"/>
        <item h="1" m="1" x="3166"/>
        <item h="1" m="1" x="3167"/>
        <item h="1" m="1" x="3170"/>
        <item h="1" m="1" x="3172"/>
        <item h="1" m="1" x="3174"/>
        <item h="1" m="1" x="3175"/>
        <item h="1" m="1" x="3176"/>
        <item h="1" m="1" x="631"/>
        <item h="1" m="1" x="3058"/>
        <item h="1" m="1" x="2828"/>
        <item h="1" m="1" x="3060"/>
        <item h="1" x="254"/>
        <item h="1" m="1" x="777"/>
        <item h="1" m="1" x="1722"/>
        <item h="1" m="1" x="3186"/>
        <item h="1" m="1" x="3187"/>
        <item h="1" m="1" x="3188"/>
        <item h="1" m="1" x="3189"/>
        <item h="1" m="1" x="3190"/>
        <item h="1" m="1" x="2017"/>
        <item h="1" m="1" x="3072"/>
        <item h="1" m="1" x="1519"/>
        <item h="1" m="1" x="3065"/>
        <item h="1" m="1" x="2823"/>
        <item h="1" m="1" x="3071"/>
        <item h="1" m="1" x="3067"/>
        <item h="1" m="1" x="2279"/>
        <item h="1" m="1" x="2280"/>
        <item h="1" m="1" x="2839"/>
        <item h="1" m="1" x="2932"/>
        <item h="1" m="1" x="749"/>
        <item h="1" m="1" x="2933"/>
        <item h="1" m="1" x="2934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1169"/>
        <item h="1" m="1" x="2556"/>
        <item h="1" m="1" x="2946"/>
        <item h="1" m="1" x="2947"/>
        <item h="1" m="1" x="2948"/>
        <item h="1" m="1" x="2949"/>
        <item h="1" m="1" x="2190"/>
        <item h="1" m="1" x="2191"/>
        <item h="1" m="1" x="1915"/>
        <item h="1" m="1" x="2950"/>
        <item h="1" m="1" x="2656"/>
        <item h="1" m="1" x="2951"/>
        <item h="1" m="1" x="2952"/>
        <item h="1" m="1" x="2677"/>
        <item h="1" m="1" x="2953"/>
        <item h="1" m="1" x="2954"/>
        <item h="1" m="1" x="2955"/>
        <item h="1" m="1" x="2956"/>
        <item h="1" m="1" x="2561"/>
        <item h="1" m="1" x="2957"/>
        <item h="1" m="1" x="2958"/>
        <item h="1" m="1" x="2959"/>
        <item h="1" m="1" x="2960"/>
        <item h="1" m="1" x="2961"/>
        <item h="1" m="1" x="2962"/>
        <item h="1" m="1" x="2964"/>
        <item h="1" m="1" x="2966"/>
        <item h="1" m="1" x="2967"/>
        <item h="1" m="1" x="2968"/>
        <item h="1" m="1" x="2969"/>
        <item h="1" m="1" x="2970"/>
        <item h="1" m="1" x="2971"/>
        <item h="1" m="1" x="2972"/>
        <item h="1" m="1" x="2973"/>
        <item h="1" m="1" x="2974"/>
        <item h="1" m="1" x="2976"/>
        <item h="1" m="1" x="2977"/>
        <item h="1" m="1" x="2832"/>
        <item h="1" m="1" x="2978"/>
        <item h="1" m="1" x="2979"/>
        <item h="1" m="1" x="2833"/>
        <item h="1" m="1" x="2980"/>
        <item h="1" m="1" x="2981"/>
        <item h="1" m="1" x="2982"/>
        <item h="1" m="1" x="2349"/>
        <item h="1" m="1" x="2837"/>
        <item h="1" m="1" x="2836"/>
        <item h="1" m="1" x="2983"/>
        <item h="1" m="1" x="2546"/>
        <item h="1" m="1" x="2984"/>
        <item h="1" m="1" x="2985"/>
        <item h="1" m="1" x="2649"/>
        <item h="1" m="1" x="2986"/>
        <item h="1" m="1" x="2987"/>
        <item h="1" m="1" x="2988"/>
        <item h="1" m="1" x="2989"/>
        <item h="1" m="1" x="1231"/>
        <item h="1" m="1" x="1230"/>
        <item h="1" m="1" x="1229"/>
        <item h="1" m="1" x="2838"/>
        <item h="1" m="1" x="2990"/>
        <item h="1" m="1" x="2991"/>
        <item h="1" m="1" x="1235"/>
        <item h="1" m="1" x="2994"/>
        <item h="1" m="1" x="2996"/>
        <item h="1" m="1" x="2657"/>
        <item h="1" m="1" x="2999"/>
        <item h="1" m="1" x="1544"/>
        <item h="1" m="1" x="3003"/>
        <item h="1" m="1" x="478"/>
        <item h="1" m="1" x="3006"/>
        <item h="1" m="1" x="3007"/>
        <item h="1" m="1" x="3008"/>
        <item h="1" m="1" x="3010"/>
        <item h="1" m="1" x="3011"/>
        <item h="1" m="1" x="2667"/>
        <item h="1" x="129"/>
        <item h="1" m="1" x="3013"/>
        <item h="1" m="1" x="3014"/>
        <item h="1" m="1" x="1331"/>
        <item h="1" m="1" x="1315"/>
        <item h="1" m="1" x="1316"/>
        <item h="1" m="1" x="3015"/>
        <item h="1" m="1" x="2650"/>
        <item h="1" m="1" x="3016"/>
        <item h="1" m="1" x="2805"/>
        <item h="1" m="1" x="3017"/>
        <item h="1" m="1" x="2321"/>
        <item h="1" m="1" x="3018"/>
        <item h="1" m="1" x="3019"/>
        <item h="1" m="1" x="2559"/>
        <item h="1" m="1" x="2840"/>
        <item h="1" m="1" x="3022"/>
        <item h="1" m="1" x="3023"/>
        <item h="1" m="1" x="3025"/>
        <item h="1" m="1" x="2659"/>
        <item h="1" m="1" x="2231"/>
        <item h="1" m="1" x="1400"/>
        <item h="1" m="1" x="3028"/>
        <item h="1" m="1" x="3043"/>
        <item h="1" m="1" x="2178"/>
        <item h="1" m="1" x="3046"/>
        <item h="1" m="1" x="751"/>
        <item h="1" m="1" x="3047"/>
        <item h="1" m="1" x="2815"/>
        <item h="1" m="1" x="3048"/>
        <item h="1" m="1" x="2816"/>
        <item h="1" m="1" x="2817"/>
        <item h="1" m="1" x="1732"/>
        <item h="1" m="1" x="3049"/>
        <item h="1" m="1" x="3050"/>
        <item h="1" m="1" x="3051"/>
        <item h="1" m="1" x="3052"/>
        <item h="1" m="1" x="3053"/>
        <item h="1" m="1" x="3054"/>
        <item h="1" m="1" x="3055"/>
        <item h="1" m="1" x="3056"/>
        <item h="1" m="1" x="3057"/>
        <item h="1" m="1" x="3061"/>
        <item h="1" m="1" x="3062"/>
        <item h="1" m="1" x="2818"/>
        <item h="1" m="1" x="2663"/>
        <item h="1" m="1" x="3063"/>
        <item h="1" m="1" x="2664"/>
        <item h="1" m="1" x="2662"/>
        <item h="1" m="1" x="2661"/>
        <item h="1" m="1" x="2265"/>
        <item h="1" m="1" x="2266"/>
        <item h="1" m="1" x="2821"/>
        <item h="1" m="1" x="1734"/>
        <item h="1" m="1" x="1727"/>
        <item h="1" m="1" x="3068"/>
        <item h="1" m="1" x="3069"/>
        <item h="1" m="1" x="3070"/>
        <item h="1" m="1" x="627"/>
        <item h="1" m="1" x="2224"/>
        <item h="1" m="1" x="500"/>
        <item h="1" m="1" x="1949"/>
        <item h="1" m="1" x="1847"/>
        <item h="1" m="1" x="2654"/>
        <item h="1" m="1" x="1848"/>
        <item h="1" m="1" x="2337"/>
        <item h="1" m="1" x="1850"/>
        <item h="1" m="1" x="2819"/>
        <item h="1" m="1" x="2820"/>
        <item h="1" m="1" x="2824"/>
        <item h="1" m="1" x="2825"/>
        <item h="1" m="1" x="2826"/>
        <item h="1" m="1" x="2827"/>
        <item h="1" m="1" x="2669"/>
        <item h="1" m="1" x="2070"/>
        <item h="1" m="1" x="666"/>
        <item h="1" m="1" x="1416"/>
        <item h="1" m="1" x="1411"/>
        <item h="1" m="1" x="1415"/>
        <item h="1" m="1" x="2829"/>
        <item h="1" m="1" x="2831"/>
        <item h="1" m="1" x="1410"/>
        <item h="1" m="1" x="2499"/>
        <item h="1" m="1" x="2681"/>
        <item h="1" m="1" x="2680"/>
        <item h="1" m="1" x="2834"/>
        <item h="1" m="1" x="766"/>
        <item h="1" m="1" x="1946"/>
        <item h="1" m="1" x="1945"/>
        <item h="1" m="1" x="2205"/>
        <item h="1" m="1" x="2841"/>
        <item h="1" m="1" x="2842"/>
        <item h="1" m="1" x="2843"/>
        <item h="1" m="1" x="1468"/>
        <item h="1" m="1" x="2845"/>
        <item h="1" m="1" x="2846"/>
        <item h="1" m="1" x="2848"/>
        <item h="1" m="1" x="2849"/>
        <item h="1" m="1" x="2325"/>
        <item h="1" m="1" x="2850"/>
        <item h="1" m="1" x="1222"/>
        <item h="1" m="1" x="2851"/>
        <item h="1" m="1" x="2852"/>
        <item h="1" m="1" x="2651"/>
        <item h="1" m="1" x="2853"/>
        <item h="1" m="1" x="2856"/>
        <item h="1" m="1" x="2857"/>
        <item h="1" m="1" x="2858"/>
        <item h="1" m="1" x="2329"/>
        <item h="1" m="1" x="2330"/>
        <item h="1" m="1" x="2331"/>
        <item h="1" m="1" x="2332"/>
        <item h="1" m="1" x="2859"/>
        <item h="1" m="1" x="2334"/>
        <item h="1" m="1" x="2860"/>
        <item h="1" m="1" x="2861"/>
        <item h="1" m="1" x="2655"/>
        <item h="1" m="1" x="2335"/>
        <item h="1" m="1" x="2336"/>
        <item h="1" m="1" x="2862"/>
        <item h="1" m="1" x="2863"/>
        <item h="1" m="1" x="2553"/>
        <item h="1" m="1" x="2554"/>
        <item h="1" m="1" x="2573"/>
        <item h="1" m="1" x="2864"/>
        <item h="1" m="1" x="535"/>
        <item h="1" m="1" x="2865"/>
        <item h="1" m="1" x="2866"/>
        <item h="1" m="1" x="2176"/>
        <item h="1" m="1" x="2867"/>
        <item h="1" m="1" x="2868"/>
        <item h="1" m="1" x="2869"/>
        <item h="1" m="1" x="2870"/>
        <item h="1" m="1" x="2871"/>
        <item h="1" m="1" x="1045"/>
        <item h="1" m="1" x="2873"/>
        <item h="1" m="1" x="2875"/>
        <item h="1" m="1" x="2876"/>
        <item h="1" m="1" x="2877"/>
        <item h="1" m="1" x="2878"/>
        <item h="1" m="1" x="2879"/>
        <item h="1" m="1" x="1674"/>
        <item h="1" m="1" x="2880"/>
        <item h="1" m="1" x="2881"/>
        <item h="1" m="1" x="2882"/>
        <item h="1" m="1" x="2682"/>
        <item h="1" m="1" x="2883"/>
        <item h="1" m="1" x="2884"/>
        <item h="1" m="1" x="2885"/>
        <item h="1" m="1" x="2886"/>
        <item h="1" m="1" x="2887"/>
        <item h="1" m="1" x="2551"/>
        <item h="1" m="1" x="2888"/>
        <item h="1" m="1" x="2668"/>
        <item h="1" m="1" x="2671"/>
        <item h="1" m="1" x="2670"/>
        <item h="1" m="1" x="2558"/>
        <item h="1" m="1" x="2673"/>
        <item h="1" m="1" x="1336"/>
        <item h="1" m="1" x="1227"/>
        <item h="1" m="1" x="1226"/>
        <item h="1" m="1" x="1440"/>
        <item h="1" m="1" x="2676"/>
        <item h="1" m="1" x="2889"/>
        <item h="1" m="1" x="1281"/>
        <item h="1" m="1" x="1282"/>
        <item h="1" m="1" x="1904"/>
        <item h="1" m="1" x="2890"/>
        <item h="1" m="1" x="2892"/>
        <item h="1" m="1" x="2893"/>
        <item h="1" m="1" x="2894"/>
        <item h="1" m="1" x="1283"/>
        <item h="1" m="1" x="2093"/>
        <item h="1" m="1" x="2895"/>
        <item h="1" m="1" x="2286"/>
        <item h="1" m="1" x="1421"/>
        <item h="1" m="1" x="2897"/>
        <item h="1" m="1" x="2102"/>
        <item h="1" m="1" x="2103"/>
        <item h="1" m="1" x="2104"/>
        <item h="1" m="1" x="2106"/>
        <item h="1" m="1" x="2107"/>
        <item h="1" m="1" x="2898"/>
        <item h="1" m="1" x="2899"/>
        <item h="1" m="1" x="2110"/>
        <item h="1" m="1" x="2115"/>
        <item h="1" m="1" x="2113"/>
        <item h="1" m="1" x="2114"/>
        <item h="1" m="1" x="2111"/>
        <item h="1" m="1" x="2112"/>
        <item h="1" m="1" x="2900"/>
        <item h="1" m="1" x="2562"/>
        <item h="1" m="1" x="2901"/>
        <item h="1" m="1" x="2902"/>
        <item h="1" m="1" x="2903"/>
        <item h="1" m="1" x="2904"/>
        <item h="1" m="1" x="2905"/>
        <item h="1" m="1" x="2679"/>
        <item h="1" m="1" x="2678"/>
        <item h="1" m="1" x="2906"/>
        <item h="1" m="1" x="2131"/>
        <item h="1" m="1" x="2907"/>
        <item h="1" m="1" x="2350"/>
        <item h="1" m="1" x="2352"/>
        <item h="1" m="1" x="2351"/>
        <item h="1" m="1" x="2775"/>
        <item h="1" m="1" x="2910"/>
        <item h="1" m="1" x="1562"/>
        <item h="1" m="1" x="2912"/>
        <item h="1" m="1" x="2913"/>
        <item h="1" m="1" x="2914"/>
        <item h="1" m="1" x="2915"/>
        <item h="1" m="1" x="2916"/>
        <item h="1" m="1" x="2918"/>
        <item h="1" m="1" x="1350"/>
        <item h="1" m="1" x="2919"/>
        <item h="1" m="1" x="2920"/>
        <item h="1" m="1" x="2921"/>
        <item h="1" m="1" x="2922"/>
        <item h="1" m="1" x="2923"/>
        <item h="1" m="1" x="2924"/>
        <item h="1" m="1" x="2765"/>
        <item h="1" m="1" x="2925"/>
        <item h="1" m="1" x="2926"/>
        <item h="1" m="1" x="2927"/>
        <item h="1" m="1" x="2928"/>
        <item h="1" m="1" x="2930"/>
        <item h="1" m="1" x="2931"/>
        <item h="1" m="1" x="947"/>
        <item h="1" m="1" x="2672"/>
        <item h="1" m="1" x="2683"/>
        <item h="1" m="1" x="2685"/>
        <item h="1" m="1" x="452"/>
        <item h="1" m="1" x="2686"/>
        <item h="1" m="1" x="2687"/>
        <item h="1" m="1" x="2688"/>
        <item h="1" m="1" x="2548"/>
        <item h="1" m="1" x="2689"/>
        <item h="1" m="1" x="2500"/>
        <item h="1" m="1" x="501"/>
        <item h="1" m="1" x="2691"/>
        <item h="1" m="1" x="2693"/>
        <item h="1" m="1" x="2694"/>
        <item h="1" m="1" x="2695"/>
        <item h="1" m="1" x="2220"/>
        <item h="1" m="1" x="2697"/>
        <item h="1" m="1" x="2698"/>
        <item h="1" m="1" x="2699"/>
        <item h="1" m="1" x="2700"/>
        <item h="1" m="1" x="2702"/>
        <item h="1" m="1" x="2549"/>
        <item h="1" m="1" x="2582"/>
        <item h="1" m="1" x="2338"/>
        <item h="1" m="1" x="2703"/>
        <item h="1" m="1" x="2704"/>
        <item h="1" m="1" x="2705"/>
        <item h="1" m="1" x="2706"/>
        <item h="1" m="1" x="2707"/>
        <item h="1" m="1" x="2708"/>
        <item h="1" m="1" x="2709"/>
        <item h="1" m="1" x="2355"/>
        <item h="1" m="1" x="1036"/>
        <item h="1" m="1" x="2710"/>
        <item h="1" m="1" x="2339"/>
        <item h="1" m="1" x="2713"/>
        <item h="1" m="1" x="545"/>
        <item h="1" m="1" x="2714"/>
        <item h="1" m="1" x="547"/>
        <item h="1" m="1" x="2340"/>
        <item h="1" m="1" x="2715"/>
        <item h="1" m="1" x="2716"/>
        <item h="1" m="1" x="2552"/>
        <item h="1" m="1" x="1115"/>
        <item h="1" m="1" x="1699"/>
        <item h="1" m="1" x="2243"/>
        <item h="1" m="1" x="2719"/>
        <item h="1" m="1" x="2720"/>
        <item h="1" m="1" x="2721"/>
        <item h="1" m="1" x="2722"/>
        <item h="1" m="1" x="2723"/>
        <item h="1" m="1" x="2725"/>
        <item h="1" m="1" x="2347"/>
        <item h="1" m="1" x="2726"/>
        <item h="1" m="1" x="1577"/>
        <item h="1" m="1" x="2727"/>
        <item h="1" m="1" x="1362"/>
        <item h="1" m="1" x="2729"/>
        <item h="1" m="1" x="2557"/>
        <item h="1" m="1" x="2730"/>
        <item h="1" m="1" x="2731"/>
        <item h="1" m="1" x="1348"/>
        <item h="1" m="1" x="1349"/>
        <item h="1" m="1" x="2732"/>
        <item h="1" m="1" x="2733"/>
        <item h="1" m="1" x="2734"/>
        <item h="1" m="1" x="2736"/>
        <item h="1" m="1" x="2737"/>
        <item h="1" m="1" x="2738"/>
        <item h="1" m="1" x="2560"/>
        <item h="1" m="1" x="2739"/>
        <item h="1" m="1" x="2740"/>
        <item h="1" m="1" x="2741"/>
        <item h="1" m="1" x="675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705"/>
        <item h="1" m="1" x="1275"/>
        <item h="1" m="1" x="1508"/>
        <item h="1" m="1" x="2750"/>
        <item h="1" m="1" x="737"/>
        <item h="1" m="1" x="2752"/>
        <item h="1" m="1" x="2753"/>
        <item h="1" m="1" x="2754"/>
        <item h="1" m="1" x="2755"/>
        <item h="1" m="1" x="2756"/>
        <item h="1" m="1" x="2757"/>
        <item h="1" m="1" x="2758"/>
        <item h="1" m="1" x="2759"/>
        <item h="1" m="1" x="2563"/>
        <item h="1" m="1" x="2760"/>
        <item h="1" m="1" x="2569"/>
        <item h="1" m="1" x="2761"/>
        <item h="1" m="1" x="2762"/>
        <item h="1" m="1" x="2564"/>
        <item h="1" m="1" x="2763"/>
        <item h="1" m="1" x="2764"/>
        <item h="1" m="1" x="2565"/>
        <item h="1" m="1" x="2626"/>
        <item h="1" m="1" x="2567"/>
        <item h="1" m="1" x="2568"/>
        <item h="1" m="1" x="2570"/>
        <item h="1" m="1" x="768"/>
        <item h="1" m="1" x="2572"/>
        <item h="1" m="1" x="2766"/>
        <item h="1" m="1" x="2767"/>
        <item h="1" m="1" x="2768"/>
        <item h="1" m="1" x="2769"/>
        <item h="1" m="1" x="2770"/>
        <item h="1" m="1" x="2771"/>
        <item h="1" m="1" x="2772"/>
        <item h="1" m="1" x="2773"/>
        <item h="1" m="1" x="2774"/>
        <item h="1" m="1" x="2574"/>
        <item h="1" m="1" x="2776"/>
        <item h="1" m="1" x="2777"/>
        <item h="1" m="1" x="2778"/>
        <item h="1" m="1" x="2630"/>
        <item h="1" m="1" x="487"/>
        <item h="1" m="1" x="2505"/>
        <item h="1" m="1" x="1957"/>
        <item h="1" m="1" x="2326"/>
        <item h="1" m="1" x="2216"/>
        <item h="1" m="1" x="2576"/>
        <item h="1" m="1" x="2388"/>
        <item h="1" m="1" x="2577"/>
        <item h="1" m="1" x="506"/>
        <item h="1" m="1" x="2333"/>
        <item h="1" m="1" x="1986"/>
        <item h="1" m="1" x="2578"/>
        <item h="1" m="1" x="2579"/>
        <item h="1" m="1" x="2581"/>
        <item h="1" m="1" x="2583"/>
        <item h="1" m="1" x="2584"/>
        <item h="1" m="1" x="2507"/>
        <item h="1" m="1" x="2508"/>
        <item h="1" m="1" x="2585"/>
        <item h="1" m="1" x="2239"/>
        <item h="1" m="1" x="2341"/>
        <item h="1" m="1" x="2342"/>
        <item h="1" m="1" x="2007"/>
        <item h="1" m="1" x="2587"/>
        <item h="1" m="1" x="1099"/>
        <item h="1" m="1" x="2344"/>
        <item h="1" m="1" x="2588"/>
        <item h="1" m="1" x="2345"/>
        <item h="1" m="1" x="2346"/>
        <item h="1" m="1" x="2401"/>
        <item h="1" m="1" x="2245"/>
        <item h="1" m="1" x="2246"/>
        <item h="1" m="1" x="2247"/>
        <item h="1" m="1" x="2501"/>
        <item h="1" m="1" x="2413"/>
        <item h="1" m="1" x="630"/>
        <item h="1" m="1" x="2348"/>
        <item h="1" m="1" x="2416"/>
        <item h="1" m="1" x="2589"/>
        <item h="1" m="1" x="2590"/>
        <item h="1" m="1" x="2591"/>
        <item h="1" m="1" x="2592"/>
        <item h="1" m="1" x="2593"/>
        <item h="1" m="1" x="2595"/>
        <item h="1" m="1" x="2596"/>
        <item h="1" m="1" x="2597"/>
        <item h="1" m="1" x="2598"/>
        <item h="1" m="1" x="1360"/>
        <item h="1" m="1" x="2599"/>
        <item h="1" m="1" x="2600"/>
        <item h="1" m="1" x="2601"/>
        <item h="1" m="1" x="2602"/>
        <item h="1" m="1" x="2603"/>
        <item h="1" m="1" x="2605"/>
        <item h="1" m="1" x="2606"/>
        <item h="1" m="1" x="2502"/>
        <item h="1" m="1" x="2607"/>
        <item h="1" m="1" x="2518"/>
        <item h="1" m="1" x="1242"/>
        <item h="1" m="1" x="2608"/>
        <item h="1" m="1" x="2519"/>
        <item h="1" m="1" x="2610"/>
        <item h="1" m="1" x="2611"/>
        <item h="1" m="1" x="2108"/>
        <item h="1" m="1" x="2612"/>
        <item h="1" m="1" x="2613"/>
        <item h="1" m="1" x="2185"/>
        <item h="1" m="1" x="2614"/>
        <item h="1" m="1" x="2615"/>
        <item h="1" m="1" x="1920"/>
        <item h="1" m="1" x="2616"/>
        <item h="1" m="1" x="2617"/>
        <item h="1" m="1" x="2618"/>
        <item h="1" m="1" x="2619"/>
        <item h="1" m="1" x="2620"/>
        <item h="1" m="1" x="2621"/>
        <item h="1" m="1" x="2622"/>
        <item h="1" m="1" x="2623"/>
        <item h="1" m="1" x="2624"/>
        <item h="1" m="1" x="2625"/>
        <item h="1" m="1" x="2627"/>
        <item h="1" m="1" x="2628"/>
        <item h="1" m="1" x="2629"/>
        <item h="1" m="1" x="2631"/>
        <item h="1" m="1" x="2353"/>
        <item h="1" m="1" x="2088"/>
        <item h="1" m="1" x="2503"/>
        <item h="1" m="1" x="2206"/>
        <item h="1" m="1" x="2354"/>
        <item h="1" m="1" x="2356"/>
        <item h="1" m="1" x="927"/>
        <item h="1" m="1" x="2357"/>
        <item h="1" m="1" x="1646"/>
        <item h="1" m="1" x="1511"/>
        <item h="1" m="1" x="2210"/>
        <item h="1" m="1" x="2363"/>
        <item h="1" m="1" x="1255"/>
        <item h="1" m="1" x="1256"/>
        <item h="1" m="1" x="1257"/>
        <item h="1" m="1" x="502"/>
        <item h="1" m="1" x="2387"/>
        <item h="1" m="1" x="1234"/>
        <item h="1" m="1" x="2391"/>
        <item h="1" m="1" x="2506"/>
        <item h="1" m="1" x="2370"/>
        <item h="1" m="1" x="537"/>
        <item h="1" m="1" x="2229"/>
        <item h="1" m="1" x="2381"/>
        <item h="1" m="1" x="2378"/>
        <item h="1" m="1" x="2379"/>
        <item h="1" m="1" x="2380"/>
        <item h="1" m="1" x="2509"/>
        <item h="1" m="1" x="2382"/>
        <item h="1" m="1" x="2383"/>
        <item h="1" m="1" x="2384"/>
        <item h="1" m="1" x="2385"/>
        <item h="1" m="1" x="2396"/>
        <item h="1" m="1" x="2399"/>
        <item h="1" m="1" x="2402"/>
        <item h="1" m="1" x="2403"/>
        <item h="1" m="1" x="2404"/>
        <item h="1" m="1" x="2405"/>
        <item h="1" m="1" x="2407"/>
        <item h="1" m="1" x="2249"/>
        <item h="1" m="1" x="2409"/>
        <item h="1" m="1" x="2510"/>
        <item h="1" m="1" x="2414"/>
        <item h="1" m="1" x="2479"/>
        <item h="1" m="1" x="2420"/>
        <item h="1" m="1" x="2421"/>
        <item h="1" m="1" x="2418"/>
        <item h="1" m="1" x="2419"/>
        <item h="1" m="1" x="2422"/>
        <item h="1" m="1" x="2511"/>
        <item h="1" m="1" x="1357"/>
        <item h="1" m="1" x="2423"/>
        <item h="1" m="1" x="2512"/>
        <item h="1" m="1" x="2513"/>
        <item h="1" m="1" x="2514"/>
        <item h="1" m="1" x="2259"/>
        <item h="1" m="1" x="1786"/>
        <item h="1" m="1" x="2516"/>
        <item h="1" m="1" x="2517"/>
        <item h="1" m="1" x="1319"/>
        <item h="1" m="1" x="1318"/>
        <item h="1" m="1" x="2520"/>
        <item h="1" m="1" x="2521"/>
        <item h="1" m="1" x="2522"/>
        <item h="1" m="1" x="2523"/>
        <item h="1" m="1" x="2524"/>
        <item h="1" m="1" x="2525"/>
        <item h="1" m="1" x="2526"/>
        <item h="1" m="1" x="2527"/>
        <item h="1" m="1" x="2528"/>
        <item h="1" m="1" x="1353"/>
        <item h="1" m="1" x="1354"/>
        <item h="1" m="1" x="1376"/>
        <item h="1" m="1" x="2529"/>
        <item h="1" m="1" x="2530"/>
        <item h="1" m="1" x="2531"/>
        <item h="1" m="1" x="2450"/>
        <item h="1" m="1" x="2532"/>
        <item h="1" m="1" x="2533"/>
        <item h="1" m="1" x="2534"/>
        <item h="1" m="1" x="2535"/>
        <item h="1" m="1" x="2536"/>
        <item h="1" m="1" x="2537"/>
        <item h="1" m="1" x="2538"/>
        <item h="1" m="1" x="2539"/>
        <item h="1" m="1" x="774"/>
        <item h="1" m="1" x="2313"/>
        <item h="1" m="1" x="2540"/>
        <item h="1" m="1" x="2541"/>
        <item h="1" x="13"/>
        <item h="1" m="1" x="2359"/>
        <item h="1" m="1" x="2360"/>
        <item h="1" m="1" x="2361"/>
        <item h="1" m="1" x="2365"/>
        <item h="1" x="49"/>
        <item h="1" m="1" x="2366"/>
        <item h="1" m="1" x="2367"/>
        <item h="1" m="1" x="2368"/>
        <item h="1" m="1" x="2369"/>
        <item h="1" m="1" x="2241"/>
        <item h="1" m="1" x="2373"/>
        <item h="1" m="1" x="2374"/>
        <item h="1" m="1" x="2170"/>
        <item h="1" m="1" x="2375"/>
        <item h="1" m="1" x="2233"/>
        <item h="1" m="1" x="2386"/>
        <item h="1" m="1" x="2394"/>
        <item h="1" m="1" x="2397"/>
        <item h="1" m="1" x="2408"/>
        <item h="1" m="1" x="1991"/>
        <item h="1" m="1" x="2411"/>
        <item h="1" m="1" x="1666"/>
        <item h="1" m="1" x="2412"/>
        <item h="1" m="1" x="2415"/>
        <item h="1" m="1" x="1183"/>
        <item h="1" m="1" x="812"/>
        <item h="1" m="1" x="2253"/>
        <item h="1" m="1" x="2426"/>
        <item h="1" m="1" x="2427"/>
        <item h="1" m="1" x="2428"/>
        <item h="1" m="1" x="2429"/>
        <item h="1" m="1" x="2430"/>
        <item h="1" m="1" x="2269"/>
        <item h="1" m="1" x="2431"/>
        <item h="1" m="1" x="2432"/>
        <item h="1" m="1" x="2433"/>
        <item h="1" m="1" x="2434"/>
        <item h="1" m="1" x="2435"/>
        <item h="1" m="1" x="1497"/>
        <item h="1" m="1" x="1418"/>
        <item h="1" m="1" x="2436"/>
        <item h="1" m="1" x="2437"/>
        <item h="1" m="1" x="2438"/>
        <item h="1" m="1" x="1167"/>
        <item h="1" m="1" x="2439"/>
        <item h="1" m="1" x="2440"/>
        <item h="1" m="1" x="2441"/>
        <item h="1" m="1" x="2442"/>
        <item h="1" m="1" x="2443"/>
        <item h="1" m="1" x="2444"/>
        <item h="1" m="1" x="2445"/>
        <item h="1" m="1" x="994"/>
        <item h="1" m="1" x="2446"/>
        <item h="1" m="1" x="2447"/>
        <item h="1" m="1" x="2448"/>
        <item h="1" m="1" x="2449"/>
        <item h="1" m="1" x="2451"/>
        <item h="1" m="1" x="2452"/>
        <item h="1" m="1" x="2453"/>
        <item h="1" m="1" x="2454"/>
        <item h="1" m="1" x="2455"/>
        <item h="1" m="1" x="1052"/>
        <item h="1" m="1" x="2456"/>
        <item h="1" m="1" x="757"/>
        <item h="1" m="1" x="483"/>
        <item h="1" m="1" x="2457"/>
        <item h="1" m="1" x="2458"/>
        <item h="1" m="1" x="2459"/>
        <item h="1" m="1" x="2460"/>
        <item h="1" m="1" x="2462"/>
        <item h="1" m="1" x="2463"/>
        <item h="1" m="1" x="2464"/>
        <item h="1" m="1" x="2465"/>
        <item h="1" m="1" x="2466"/>
        <item h="1" m="1" x="2467"/>
        <item h="1" m="1" x="2468"/>
        <item h="1" m="1" x="1740"/>
        <item h="1" m="1" x="2470"/>
        <item h="1" m="1" x="2471"/>
        <item h="1" m="1" x="2472"/>
        <item h="1" m="1" x="2473"/>
        <item h="1" m="1" x="2474"/>
        <item h="1" m="1" x="2475"/>
        <item h="1" m="1" x="2476"/>
        <item h="1" m="1" x="2477"/>
        <item h="1" m="1" x="2478"/>
        <item h="1" m="1" x="2480"/>
        <item h="1" m="1" x="2481"/>
        <item h="1" m="1" x="2482"/>
        <item h="1" m="1" x="2483"/>
        <item h="1" m="1" x="2484"/>
        <item h="1" m="1" x="2485"/>
        <item h="1" m="1" x="2486"/>
        <item h="1" m="1" x="2487"/>
        <item h="1" m="1" x="2080"/>
        <item h="1" m="1" x="2488"/>
        <item h="1" m="1" x="2489"/>
        <item h="1" m="1" x="2490"/>
        <item h="1" m="1" x="2491"/>
        <item h="1" m="1" x="1425"/>
        <item h="1" m="1" x="1426"/>
        <item h="1" m="1" x="2492"/>
        <item h="1" m="1" x="1408"/>
        <item h="1" m="1" x="1423"/>
        <item h="1" m="1" x="2095"/>
        <item h="1" m="1" x="1446"/>
        <item h="1" m="1" x="1472"/>
        <item h="1" m="1" x="1356"/>
        <item h="1" m="1" x="2493"/>
        <item h="1" x="397"/>
        <item h="1" m="1" x="2494"/>
        <item h="1" m="1" x="2495"/>
        <item h="1" m="1" x="2496"/>
        <item h="1" m="1" x="2497"/>
        <item h="1" m="1" x="1122"/>
        <item h="1" m="1" x="2498"/>
        <item h="1" m="1" x="2141"/>
        <item h="1" m="1" x="1950"/>
        <item h="1" m="1" x="2207"/>
        <item h="1" m="1" x="2208"/>
        <item h="1" m="1" x="2209"/>
        <item h="1" m="1" x="1954"/>
        <item h="1" m="1" x="2143"/>
        <item h="1" m="1" x="2144"/>
        <item h="1" m="1" x="1956"/>
        <item h="1" m="1" x="2211"/>
        <item h="1" m="1" x="2212"/>
        <item h="1" m="1" x="2213"/>
        <item h="1" m="1" x="1968"/>
        <item h="1" m="1" x="944"/>
        <item h="1" x="48"/>
        <item h="1" m="1" x="2215"/>
        <item h="1" m="1" x="1795"/>
        <item h="1" m="1" x="1977"/>
        <item h="1" x="74"/>
        <item h="1" m="1" x="1625"/>
        <item h="1" m="1" x="2217"/>
        <item h="1" x="68"/>
        <item h="1" m="1" x="2140"/>
        <item h="1" m="1" x="2218"/>
        <item h="1" m="1" x="2219"/>
        <item h="1" m="1" x="2221"/>
        <item h="1" m="1" x="2152"/>
        <item h="1" m="1" x="2153"/>
        <item h="1" m="1" x="2154"/>
        <item h="1" m="1" x="2155"/>
        <item h="1" m="1" x="1985"/>
        <item h="1" m="1" x="1667"/>
        <item h="1" m="1" x="1988"/>
        <item h="1" m="1" x="2225"/>
        <item h="1" m="1" x="2226"/>
        <item h="1" m="1" x="1806"/>
        <item h="1" m="1" x="2159"/>
        <item h="1" m="1" x="1805"/>
        <item h="1" m="1" x="2142"/>
        <item h="1" m="1" x="1992"/>
        <item h="1" m="1" x="2161"/>
        <item h="1" m="1" x="2005"/>
        <item h="1" m="1" x="2001"/>
        <item h="1" m="1" x="2002"/>
        <item h="1" m="1" x="2227"/>
        <item h="1" m="1" x="2228"/>
        <item h="1" m="1" x="2235"/>
        <item h="1" m="1" x="2236"/>
        <item h="1" m="1" x="2238"/>
        <item h="1" x="198"/>
        <item h="1" m="1" x="2162"/>
        <item h="1" m="1" x="2240"/>
        <item h="1" m="1" x="1861"/>
        <item h="1" m="1" x="1628"/>
        <item h="1" m="1" x="2177"/>
        <item h="1" m="1" x="1999"/>
        <item h="1" m="1" x="572"/>
        <item h="1" m="1" x="2016"/>
        <item h="1" m="1" x="2019"/>
        <item h="1" m="1" x="2022"/>
        <item h="1" m="1" x="1695"/>
        <item h="1" m="1" x="2023"/>
        <item h="1" m="1" x="2244"/>
        <item h="1" m="1" x="2248"/>
        <item h="1" m="1" x="2250"/>
        <item h="1" m="1" x="1246"/>
        <item h="1" m="1" x="1718"/>
        <item h="1" m="1" x="2031"/>
        <item h="1" m="1" x="2047"/>
        <item h="1" m="1" x="2045"/>
        <item h="1" m="1" x="2251"/>
        <item h="1" m="1" x="2046"/>
        <item h="1" m="1" x="2043"/>
        <item h="1" m="1" x="1027"/>
        <item h="1" m="1" x="1498"/>
        <item h="1" m="1" x="1505"/>
        <item h="1" m="1" x="1506"/>
        <item h="1" m="1" x="1499"/>
        <item h="1" m="1" x="1500"/>
        <item h="1" m="1" x="1501"/>
        <item h="1" m="1" x="2252"/>
        <item h="1" m="1" x="2061"/>
        <item h="1" m="1" x="1639"/>
        <item h="1" m="1" x="2254"/>
        <item h="1" m="1" x="2255"/>
        <item h="1" m="1" x="2256"/>
        <item h="1" m="1" x="2257"/>
        <item h="1" m="1" x="2260"/>
        <item h="1" m="1" x="2261"/>
        <item h="1" m="1" x="2262"/>
        <item h="1" m="1" x="1458"/>
        <item h="1" m="1" x="2263"/>
        <item h="1" m="1" x="2184"/>
        <item h="1" m="1" x="1311"/>
        <item h="1" m="1" x="1504"/>
        <item h="1" m="1" x="1507"/>
        <item h="1" m="1" x="2267"/>
        <item h="1" m="1" x="2268"/>
        <item h="1" m="1" x="1509"/>
        <item h="1" m="1" x="2270"/>
        <item h="1" m="1" x="1173"/>
        <item h="1" m="1" x="2271"/>
        <item h="1" m="1" x="2272"/>
        <item h="1" m="1" x="2273"/>
        <item h="1" m="1" x="2274"/>
        <item h="1" m="1" x="2275"/>
        <item h="1" m="1" x="2276"/>
        <item h="1" m="1" x="1797"/>
        <item h="1" m="1" x="2277"/>
        <item h="1" m="1" x="2278"/>
        <item h="1" m="1" x="2281"/>
        <item h="1" m="1" x="663"/>
        <item h="1" m="1" x="2282"/>
        <item h="1" m="1" x="2283"/>
        <item h="1" m="1" x="1435"/>
        <item h="1" m="1" x="2284"/>
        <item h="1" m="1" x="2285"/>
        <item h="1" m="1" x="1444"/>
        <item h="1" m="1" x="1424"/>
        <item h="1" m="1" x="1807"/>
        <item h="1" m="1" x="2287"/>
        <item h="1" m="1" x="1422"/>
        <item h="1" m="1" x="1808"/>
        <item h="1" m="1" x="2096"/>
        <item h="1" m="1" x="2288"/>
        <item h="1" m="1" x="1671"/>
        <item h="1" m="1" x="2289"/>
        <item h="1" m="1" x="1447"/>
        <item h="1" m="1" x="2290"/>
        <item h="1" m="1" x="2291"/>
        <item h="1" m="1" x="2292"/>
        <item h="1" m="1" x="2293"/>
        <item h="1" m="1" x="1313"/>
        <item h="1" m="1" x="2294"/>
        <item h="1" m="1" x="1483"/>
        <item h="1" x="375"/>
        <item h="1" x="376"/>
        <item h="1" m="1" x="1433"/>
        <item h="1" m="1" x="1430"/>
        <item h="1" m="1" x="2295"/>
        <item h="1" m="1" x="2296"/>
        <item h="1" m="1" x="1182"/>
        <item h="1" m="1" x="1312"/>
        <item h="1" m="1" x="1121"/>
        <item h="1" m="1" x="2199"/>
        <item h="1" m="1" x="2297"/>
        <item h="1" m="1" x="1791"/>
        <item h="1" m="1" x="1374"/>
        <item h="1" m="1" x="2298"/>
        <item h="1" m="1" x="2300"/>
        <item h="1" m="1" x="2301"/>
        <item h="1" m="1" x="1059"/>
        <item h="1" m="1" x="2302"/>
        <item h="1" m="1" x="2303"/>
        <item h="1" m="1" x="2304"/>
        <item h="1" m="1" x="2305"/>
        <item h="1" m="1" x="1355"/>
        <item h="1" m="1" x="2307"/>
        <item h="1" m="1" x="2308"/>
        <item h="1" m="1" x="2309"/>
        <item h="1" m="1" x="2310"/>
        <item h="1" m="1" x="2311"/>
        <item h="1" m="1" x="1347"/>
        <item h="1" m="1" x="2312"/>
        <item h="1" x="412"/>
        <item h="1" m="1" x="1310"/>
        <item h="1" m="1" x="1936"/>
        <item h="1" m="1" x="1789"/>
        <item h="1" m="1" x="1943"/>
        <item h="1" m="1" x="1790"/>
        <item h="1" m="1" x="1787"/>
        <item h="1" m="1" x="791"/>
        <item h="1" m="1" x="1953"/>
        <item h="1" m="1" x="1826"/>
        <item h="1" m="1" x="1955"/>
        <item h="1" x="25"/>
        <item h="1" m="1" x="2145"/>
        <item h="1" m="1" x="1959"/>
        <item h="1" m="1" x="1958"/>
        <item h="1" m="1" x="1967"/>
        <item h="1" m="1" x="1969"/>
        <item h="1" m="1" x="2147"/>
        <item h="1" m="1" x="1974"/>
        <item h="1" m="1" x="1976"/>
        <item h="1" m="1" x="1626"/>
        <item h="1" m="1" x="1032"/>
        <item h="1" x="432"/>
        <item h="1" x="75"/>
        <item h="1" m="1" x="1979"/>
        <item h="1" m="1" x="1987"/>
        <item h="1" m="1" x="1842"/>
        <item h="1" m="1" x="1843"/>
        <item h="1" m="1" x="2157"/>
        <item h="1" m="1" x="2158"/>
        <item h="1" m="1" x="1993"/>
        <item h="1" m="1" x="2160"/>
        <item h="1" m="1" x="1865"/>
        <item h="1" m="1" x="2163"/>
        <item h="1" m="1" x="2164"/>
        <item h="1" m="1" x="2165"/>
        <item h="1" m="1" x="2166"/>
        <item h="1" m="1" x="1041"/>
        <item h="1" m="1" x="1998"/>
        <item h="1" m="1" x="2000"/>
        <item h="1" m="1" x="2167"/>
        <item h="1" m="1" x="2168"/>
        <item h="1" m="1" x="2169"/>
        <item h="1" m="1" x="2004"/>
        <item h="1" x="181"/>
        <item h="1" m="1" x="2014"/>
        <item h="1" m="1" x="2009"/>
        <item h="1" m="1" x="2011"/>
        <item h="1" x="201"/>
        <item h="1" m="1" x="2013"/>
        <item h="1" x="52"/>
        <item h="1" m="1" x="2021"/>
        <item h="1" m="1" x="1571"/>
        <item h="1" m="1" x="2025"/>
        <item h="1" m="1" x="2028"/>
        <item h="1" m="1" x="2034"/>
        <item h="1" m="1" x="2035"/>
        <item h="1" m="1" x="1729"/>
        <item h="1" x="268"/>
        <item h="1" m="1" x="1714"/>
        <item h="1" m="1" x="2052"/>
        <item h="1" m="1" x="2053"/>
        <item h="1" m="1" x="2044"/>
        <item h="1" x="310"/>
        <item h="1" m="1" x="2055"/>
        <item h="1" m="1" x="2056"/>
        <item h="1" m="1" x="2057"/>
        <item h="1" m="1" x="2058"/>
        <item h="1" m="1" x="2059"/>
        <item h="1" m="1" x="2066"/>
        <item h="1" m="1" x="2069"/>
        <item h="1" m="1" x="2181"/>
        <item h="1" m="1" x="2062"/>
        <item h="1" m="1" x="2183"/>
        <item h="1" x="333"/>
        <item h="1" m="1" x="2090"/>
        <item h="1" m="1" x="2186"/>
        <item h="1" m="1" x="1277"/>
        <item h="1" m="1" x="2187"/>
        <item h="1" m="1" x="2075"/>
        <item h="1" m="1" x="2188"/>
        <item h="1" m="1" x="2078"/>
        <item h="1" m="1" x="2189"/>
        <item h="1" m="1" x="1333"/>
        <item h="1" m="1" x="2192"/>
        <item h="1" m="1" x="2193"/>
        <item h="1" m="1" x="1305"/>
        <item h="1" m="1" x="2195"/>
        <item h="1" m="1" x="1332"/>
        <item h="1" m="1" x="2196"/>
        <item h="1" m="1" x="1298"/>
        <item h="1" m="1" x="2197"/>
        <item h="1" m="1" x="2198"/>
        <item h="1" m="1" x="1300"/>
        <item h="1" m="1" x="1303"/>
        <item h="1" m="1" x="1306"/>
        <item h="1" m="1" x="1304"/>
        <item h="1" m="1" x="1307"/>
        <item h="1" m="1" x="1299"/>
        <item h="1" m="1" x="1302"/>
        <item h="1" m="1" x="1301"/>
        <item h="1" m="1" x="1719"/>
        <item h="1" m="1" x="2125"/>
        <item h="1" m="1" x="2200"/>
        <item h="1" m="1" x="2127"/>
        <item h="1" m="1" x="2122"/>
        <item h="1" m="1" x="1925"/>
        <item h="1" m="1" x="2119"/>
        <item h="1" m="1" x="1297"/>
        <item h="1" m="1" x="2201"/>
        <item h="1" m="1" x="2203"/>
        <item h="1" m="1" x="2138"/>
        <item h="1" m="1" x="1951"/>
        <item h="1" m="1" x="1952"/>
        <item h="1" m="1" x="1057"/>
        <item h="1" m="1" x="1056"/>
        <item h="1" m="1" x="1960"/>
        <item h="1" m="1" x="1961"/>
        <item h="1" m="1" x="1962"/>
        <item h="1" m="1" x="1963"/>
        <item h="1" m="1" x="1964"/>
        <item h="1" m="1" x="473"/>
        <item h="1" m="1" x="1641"/>
        <item h="1" m="1" x="1966"/>
        <item h="1" m="1" x="1970"/>
        <item h="1" m="1" x="1971"/>
        <item h="1" m="1" x="1973"/>
        <item h="1" x="60"/>
        <item h="1" x="61"/>
        <item h="1" m="1" x="1975"/>
        <item h="1" m="1" x="1840"/>
        <item h="1" m="1" x="1984"/>
        <item h="1" m="1" x="1994"/>
        <item h="1" m="1" x="1995"/>
        <item h="1" m="1" x="1996"/>
        <item h="1" m="1" x="1867"/>
        <item h="1" m="1" x="2006"/>
        <item h="1" m="1" x="2012"/>
        <item h="1" m="1" x="2015"/>
        <item h="1" m="1" x="2018"/>
        <item h="1" m="1" x="586"/>
        <item h="1" m="1" x="1874"/>
        <item h="1" m="1" x="2024"/>
        <item h="1" m="1" x="2026"/>
        <item h="1" m="1" x="2032"/>
        <item h="1" m="1" x="2033"/>
        <item h="1" m="1" x="1878"/>
        <item h="1" m="1" x="2036"/>
        <item h="1" m="1" x="2037"/>
        <item h="1" m="1" x="1879"/>
        <item h="1" m="1" x="2038"/>
        <item h="1" m="1" x="2039"/>
        <item h="1" m="1" x="1877"/>
        <item h="1" m="1" x="2041"/>
        <item h="1" m="1" x="2048"/>
        <item h="1" m="1" x="2051"/>
        <item h="1" m="1" x="2054"/>
        <item h="1" m="1" x="1463"/>
        <item h="1" m="1" x="1662"/>
        <item h="1" m="1" x="2060"/>
        <item h="1" m="1" x="1888"/>
        <item h="1" m="1" x="2063"/>
        <item h="1" m="1" x="2064"/>
        <item h="1" m="1" x="2065"/>
        <item h="1" m="1" x="2067"/>
        <item h="1" m="1" x="2068"/>
        <item h="1" m="1" x="2072"/>
        <item h="1" m="1" x="2073"/>
        <item h="1" m="1" x="2076"/>
        <item h="1" m="1" x="2077"/>
        <item h="1" m="1" x="1899"/>
        <item h="1" m="1" x="2081"/>
        <item h="1" m="1" x="2082"/>
        <item h="1" m="1" x="2083"/>
        <item h="1" m="1" x="2084"/>
        <item h="1" m="1" x="2085"/>
        <item h="1" m="1" x="1330"/>
        <item h="1" m="1" x="1907"/>
        <item h="1" m="1" x="2087"/>
        <item h="1" m="1" x="1365"/>
        <item h="1" m="1" x="1143"/>
        <item h="1" m="1" x="1438"/>
        <item h="1" m="1" x="2089"/>
        <item h="1" m="1" x="1419"/>
        <item h="1" x="361"/>
        <item h="1" m="1" x="2091"/>
        <item h="1" m="1" x="1412"/>
        <item h="1" x="362"/>
        <item h="1" m="1" x="1409"/>
        <item h="1" m="1" x="2092"/>
        <item h="1" m="1" x="2094"/>
        <item h="1" m="1" x="2097"/>
        <item h="1" m="1" x="2098"/>
        <item h="1" m="1" x="2099"/>
        <item h="1" m="1" x="2105"/>
        <item h="1" m="1" x="1917"/>
        <item h="1" m="1" x="2117"/>
        <item h="1" m="1" x="1932"/>
        <item h="1" m="1" x="2118"/>
        <item h="1" m="1" x="1931"/>
        <item h="1" m="1" x="2120"/>
        <item h="1" m="1" x="2121"/>
        <item h="1" m="1" x="2123"/>
        <item h="1" m="1" x="2124"/>
        <item h="1" m="1" x="2126"/>
        <item h="1" m="1" x="1934"/>
        <item h="1" m="1" x="2129"/>
        <item h="1" m="1" x="2130"/>
        <item h="1" m="1" x="2132"/>
        <item h="1" m="1" x="2135"/>
        <item h="1" x="4"/>
        <item h="1" m="1" x="1822"/>
        <item h="1" m="1" x="1823"/>
        <item h="1" m="1" x="1824"/>
        <item h="1" m="1" x="1825"/>
        <item h="1" m="1" x="1647"/>
        <item h="1" m="1" x="1648"/>
        <item h="1" x="31"/>
        <item h="1" m="1" x="793"/>
        <item h="1" m="1" x="1827"/>
        <item h="1" m="1" x="1829"/>
        <item h="1" x="45"/>
        <item h="1" m="1" x="1636"/>
        <item h="1" m="1" x="1046"/>
        <item h="1" x="50"/>
        <item h="1" m="1" x="1831"/>
        <item h="1" m="1" x="505"/>
        <item h="1" m="1" x="1833"/>
        <item h="1" x="76"/>
        <item h="1" m="1" x="1837"/>
        <item h="1" m="1" x="1839"/>
        <item h="1" m="1" x="1841"/>
        <item h="1" m="1" x="1851"/>
        <item h="1" m="1" x="1852"/>
        <item h="1" m="1" x="1564"/>
        <item h="1" x="120"/>
        <item h="1" x="119"/>
        <item h="1" m="1" x="1854"/>
        <item h="1" m="1" x="1855"/>
        <item h="1" m="1" x="1856"/>
        <item h="1" m="1" x="1857"/>
        <item h="1" m="1" x="1858"/>
        <item h="1" m="1" x="801"/>
        <item h="1" m="1" x="1859"/>
        <item h="1" m="1" x="530"/>
        <item h="1" m="1" x="1862"/>
        <item h="1" m="1" x="1863"/>
        <item h="1" m="1" x="1864"/>
        <item h="1" m="1" x="1866"/>
        <item h="1" m="1" x="1042"/>
        <item h="1" m="1" x="1655"/>
        <item h="1" m="1" x="1656"/>
        <item h="1" x="180"/>
        <item h="1" m="1" x="1659"/>
        <item h="1" x="156"/>
        <item h="1" x="157"/>
        <item h="1" x="158"/>
        <item h="1" x="150"/>
        <item h="1" m="1" x="1869"/>
        <item h="1" m="1" x="1661"/>
        <item h="1" x="228"/>
        <item h="1" m="1" x="1633"/>
        <item h="1" m="1" x="1876"/>
        <item h="1" m="1" x="1673"/>
        <item h="1" m="1" x="1100"/>
        <item h="1" m="1" x="1691"/>
        <item h="1" m="1" x="1701"/>
        <item h="1" m="1" x="1702"/>
        <item h="1" m="1" x="1690"/>
        <item h="1" m="1" x="1692"/>
        <item h="1" m="1" x="1693"/>
        <item h="1" m="1" x="1694"/>
        <item h="1" m="1" x="1106"/>
        <item h="1" m="1" x="1816"/>
        <item h="1" m="1" x="809"/>
        <item h="1" m="1" x="810"/>
        <item h="1" m="1" x="1735"/>
        <item h="1" m="1" x="1736"/>
        <item h="1" m="1" x="1880"/>
        <item h="1" m="1" x="1881"/>
        <item h="1" m="1" x="1882"/>
        <item h="1" m="1" x="1689"/>
        <item h="1" m="1" x="1883"/>
        <item h="1" m="1" x="1678"/>
        <item h="1" m="1" x="1688"/>
        <item h="1" m="1" x="1683"/>
        <item h="1" x="312"/>
        <item h="1" m="1" x="1884"/>
        <item h="1" m="1" x="1885"/>
        <item h="1" m="1" x="1886"/>
        <item h="1" m="1" x="1887"/>
        <item h="1" m="1" x="1889"/>
        <item h="1" m="1" x="1890"/>
        <item h="1" m="1" x="1606"/>
        <item h="1" m="1" x="1607"/>
        <item h="1" x="107"/>
        <item h="1" m="1" x="1891"/>
        <item h="1" m="1" x="1892"/>
        <item h="1" m="1" x="1893"/>
        <item h="1" m="1" x="1894"/>
        <item h="1" m="1" x="1428"/>
        <item h="1" m="1" x="1895"/>
        <item h="1" m="1" x="831"/>
        <item h="1" m="1" x="1896"/>
        <item h="1" m="1" x="1898"/>
        <item h="1" m="1" x="1900"/>
        <item h="1" m="1" x="1901"/>
        <item h="1" m="1" x="1902"/>
        <item h="1" m="1" x="1903"/>
        <item h="1" m="1" x="1798"/>
        <item h="1" m="1" x="1905"/>
        <item h="1" m="1" x="1407"/>
        <item h="1" m="1" x="1908"/>
        <item h="1" m="1" x="1909"/>
        <item h="1" m="1" x="1437"/>
        <item h="1" m="1" x="1910"/>
        <item h="1" m="1" x="1448"/>
        <item h="1" m="1" x="1449"/>
        <item h="1" m="1" x="1436"/>
        <item h="1" m="1" x="1812"/>
        <item h="1" m="1" x="1911"/>
        <item h="1" x="335"/>
        <item h="1" x="336"/>
        <item h="1" m="1" x="1704"/>
        <item h="1" m="1" x="1815"/>
        <item h="1" m="1" x="1431"/>
        <item h="1" m="1" x="1460"/>
        <item h="1" m="1" x="1461"/>
        <item h="1" m="1" x="1912"/>
        <item h="1" m="1" x="1913"/>
        <item h="1" m="1" x="1914"/>
        <item h="1" m="1" x="1918"/>
        <item h="1" m="1" x="1921"/>
        <item h="1" m="1" x="1922"/>
        <item h="1" m="1" x="1923"/>
        <item h="1" m="1" x="1924"/>
        <item h="1" m="1" x="1926"/>
        <item h="1" m="1" x="1927"/>
        <item h="1" m="1" x="1928"/>
        <item h="1" m="1" x="1929"/>
        <item h="1" m="1" x="1930"/>
        <item h="1" m="1" x="1933"/>
        <item h="1" m="1" x="1935"/>
        <item h="1" m="1" x="1232"/>
        <item h="1" m="1" x="1233"/>
        <item h="1" m="1" x="1503"/>
        <item h="1" m="1" x="1937"/>
        <item h="1" m="1" x="1938"/>
        <item h="1" m="1" x="1939"/>
        <item h="1" m="1" x="1940"/>
        <item h="1" x="421"/>
        <item h="1" m="1" x="1715"/>
        <item h="1" x="418"/>
        <item h="1" m="1" x="949"/>
        <item h="1" x="202"/>
        <item h="1" m="1" x="1016"/>
        <item h="1" m="1" x="1741"/>
        <item h="1" m="1" x="1742"/>
        <item h="1" m="1" x="1743"/>
        <item h="1" m="1" x="1744"/>
        <item h="1" m="1" x="1119"/>
        <item h="1" m="1" x="1746"/>
        <item h="1" m="1" x="1748"/>
        <item h="1" m="1" x="794"/>
        <item h="1" m="1" x="1749"/>
        <item h="1" m="1" x="1750"/>
        <item h="1" m="1" x="1175"/>
        <item h="1" m="1" x="1176"/>
        <item h="1" m="1" x="1751"/>
        <item h="1" m="1" x="1752"/>
        <item h="1" m="1" x="1753"/>
        <item h="1" m="1" x="1754"/>
        <item h="1" m="1" x="1755"/>
        <item h="1" m="1" x="1756"/>
        <item h="1" m="1" x="1757"/>
        <item h="1" m="1" x="1758"/>
        <item h="1" m="1" x="1759"/>
        <item h="1" m="1" x="1760"/>
        <item h="1" m="1" x="1761"/>
        <item h="1" m="1" x="1763"/>
        <item h="1" m="1" x="1764"/>
        <item h="1" m="1" x="1765"/>
        <item h="1" m="1" x="1766"/>
        <item h="1" m="1" x="1767"/>
        <item h="1" m="1" x="1611"/>
        <item h="1" m="1" x="1612"/>
        <item h="1" m="1" x="1768"/>
        <item h="1" m="1" x="1769"/>
        <item h="1" m="1" x="1770"/>
        <item h="1" m="1" x="1771"/>
        <item h="1" m="1" x="1772"/>
        <item h="1" m="1" x="1773"/>
        <item h="1" m="1" x="1774"/>
        <item h="1" m="1" x="1775"/>
        <item h="1" m="1" x="1776"/>
        <item h="1" m="1" x="1777"/>
        <item h="1" m="1" x="1779"/>
        <item h="1" m="1" x="1780"/>
        <item h="1" m="1" x="1781"/>
        <item h="1" m="1" x="1782"/>
        <item h="1" m="1" x="1783"/>
        <item h="1" m="1" x="1616"/>
        <item h="1" m="1" x="1784"/>
        <item h="1" m="1" x="1541"/>
        <item h="1" m="1" x="1792"/>
        <item h="1" x="77"/>
        <item h="1" m="1" x="1793"/>
        <item h="1" m="1" x="1794"/>
        <item h="1" m="1" x="1627"/>
        <item h="1" x="73"/>
        <item h="1" m="1" x="803"/>
        <item h="1" m="1" x="1630"/>
        <item h="1" m="1" x="945"/>
        <item h="1" m="1" x="633"/>
        <item h="1" m="1" x="1796"/>
        <item h="1" m="1" x="977"/>
        <item h="1" m="1" x="1335"/>
        <item h="1" m="1" x="1644"/>
        <item h="1" m="1" x="1642"/>
        <item h="1" m="1" x="1643"/>
        <item h="1" m="1" x="1369"/>
        <item h="1" m="1" x="1799"/>
        <item h="1" m="1" x="1800"/>
        <item h="1" m="1" x="1801"/>
        <item h="1" m="1" x="1066"/>
        <item h="1" m="1" x="1652"/>
        <item h="1" m="1" x="538"/>
        <item h="1" m="1" x="1651"/>
        <item h="1" m="1" x="1397"/>
        <item h="1" x="153"/>
        <item h="1" x="179"/>
        <item h="1" x="178"/>
        <item h="1" m="1" x="1802"/>
        <item h="1" m="1" x="1406"/>
        <item h="1" m="1" x="1665"/>
        <item h="1" m="1" x="1551"/>
        <item h="1" m="1" x="1664"/>
        <item h="1" m="1" x="1450"/>
        <item h="1" m="1" x="1803"/>
        <item h="1" m="1" x="1439"/>
        <item h="1" m="1" x="1445"/>
        <item h="1" m="1" x="1804"/>
        <item h="1" x="102"/>
        <item h="1" m="1" x="1669"/>
        <item h="1" x="98"/>
        <item h="1" m="1" x="1563"/>
        <item h="1" m="1" x="1452"/>
        <item h="1" m="1" x="1453"/>
        <item h="1" m="1" x="1809"/>
        <item h="1" m="1" x="1810"/>
        <item h="1" m="1" x="1811"/>
        <item h="1" m="1" x="1813"/>
        <item h="1" m="1" x="1814"/>
        <item h="1" m="1" x="1672"/>
        <item h="1" m="1" x="1086"/>
        <item h="1" m="1" x="1087"/>
        <item h="1" m="1" x="1465"/>
        <item h="1" m="1" x="1464"/>
        <item h="1" x="223"/>
        <item h="1" m="1" x="1573"/>
        <item h="1" m="1" x="1679"/>
        <item h="1" m="1" x="1680"/>
        <item h="1" m="1" x="1681"/>
        <item h="1" m="1" x="1481"/>
        <item h="1" m="1" x="1700"/>
        <item h="1" m="1" x="1817"/>
        <item h="1" m="1" x="1502"/>
        <item h="1" m="1" x="1712"/>
        <item h="1" m="1" x="1713"/>
        <item h="1" x="411"/>
        <item h="1" m="1" x="1818"/>
        <item h="1" m="1" x="1820"/>
        <item h="1" m="1" x="1576"/>
        <item h="1" m="1" x="1737"/>
        <item h="1" m="1" x="1580"/>
        <item h="1" m="1" x="1728"/>
        <item h="1" m="1" x="1821"/>
        <item h="1" x="289"/>
        <item h="1" m="1" x="1116"/>
        <item h="1" m="1" x="1584"/>
        <item h="1" m="1" x="1585"/>
        <item h="1" m="1" x="1586"/>
        <item h="1" m="1" x="1137"/>
        <item h="1" m="1" x="1120"/>
        <item h="1" m="1" x="1134"/>
        <item h="1" m="1" x="1136"/>
        <item h="1" m="1" x="1135"/>
        <item h="1" m="1" x="1131"/>
        <item h="1" m="1" x="1133"/>
        <item h="1" m="1" x="1125"/>
        <item h="1" m="1" x="1126"/>
        <item h="1" m="1" x="1123"/>
        <item h="1" m="1" x="1132"/>
        <item h="1" m="1" x="1128"/>
        <item h="1" m="1" x="1129"/>
        <item h="1" m="1" x="1127"/>
        <item h="1" m="1" x="1130"/>
        <item h="1" m="1" x="1145"/>
        <item h="1" m="1" x="1151"/>
        <item h="1" m="1" x="1140"/>
        <item h="1" m="1" x="1147"/>
        <item h="1" m="1" x="1144"/>
        <item h="1" m="1" x="1149"/>
        <item h="1" m="1" x="1153"/>
        <item h="1" m="1" x="1146"/>
        <item h="1" m="1" x="1148"/>
        <item h="1" m="1" x="1161"/>
        <item h="1" m="1" x="1155"/>
        <item h="1" m="1" x="1156"/>
        <item h="1" m="1" x="1154"/>
        <item h="1" m="1" x="1159"/>
        <item h="1" m="1" x="1160"/>
        <item h="1" m="1" x="1152"/>
        <item h="1" m="1" x="1138"/>
        <item h="1" m="1" x="1139"/>
        <item h="1" m="1" x="1158"/>
        <item h="1" m="1" x="1157"/>
        <item h="1" m="1" x="1150"/>
        <item h="1" m="1" x="1142"/>
        <item h="1" m="1" x="1166"/>
        <item h="1" m="1" x="1165"/>
        <item h="1" m="1" x="795"/>
        <item h="1" m="1" x="1587"/>
        <item h="1" m="1" x="1168"/>
        <item h="1" m="1" x="1588"/>
        <item h="1" m="1" x="1172"/>
        <item h="1" m="1" x="1171"/>
        <item h="1" m="1" x="1590"/>
        <item h="1" m="1" x="1178"/>
        <item h="1" m="1" x="1179"/>
        <item h="1" x="80"/>
        <item h="1" m="1" x="1591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540"/>
        <item h="1" m="1" x="1601"/>
        <item h="1" m="1" x="1602"/>
        <item h="1" m="1" x="1603"/>
        <item h="1" m="1" x="1604"/>
        <item h="1" m="1" x="1605"/>
        <item h="1" m="1" x="1608"/>
        <item h="1" m="1" x="1609"/>
        <item h="1" m="1" x="1610"/>
        <item h="1" m="1" x="1614"/>
        <item h="1" m="1" x="1615"/>
        <item h="1" x="63"/>
        <item h="1" x="62"/>
        <item h="1" m="1" x="1228"/>
        <item h="1" m="1" x="704"/>
        <item h="1" m="1" x="1624"/>
        <item h="1" m="1" x="736"/>
        <item h="1" m="1" x="1238"/>
        <item h="1" x="130"/>
        <item h="1" m="1" x="1629"/>
        <item h="1" x="137"/>
        <item h="1" m="1" x="1631"/>
        <item h="1" m="1" x="1635"/>
        <item h="1" m="1" x="1254"/>
        <item h="1" m="1" x="1050"/>
        <item h="1" m="1" x="1637"/>
        <item h="1" m="1" x="1049"/>
        <item h="1" m="1" x="1274"/>
        <item h="1" m="1" x="1317"/>
        <item h="1" m="1" x="922"/>
        <item h="1" m="1" x="923"/>
        <item h="1" m="1" x="1341"/>
        <item h="1" m="1" x="1638"/>
        <item h="1" x="17"/>
        <item h="1" m="1" x="1640"/>
        <item h="1" m="1" x="1364"/>
        <item h="1" m="1" x="1058"/>
        <item h="1" x="425"/>
        <item h="1" m="1" x="445"/>
        <item h="1" x="21"/>
        <item h="1" x="20"/>
        <item h="1" m="1" x="1645"/>
        <item h="1" m="1" x="1649"/>
        <item h="1" m="1" x="1650"/>
        <item h="1" m="1" x="1377"/>
        <item h="1" m="1" x="1378"/>
        <item h="1" m="1" x="1379"/>
        <item h="1" x="396"/>
        <item h="1" m="1" x="727"/>
        <item h="1" m="1" x="1387"/>
        <item h="1" m="1" x="1380"/>
        <item h="1" m="1" x="1381"/>
        <item h="1" m="1" x="1654"/>
        <item h="1" x="161"/>
        <item h="1" m="1" x="1069"/>
        <item h="1" m="1" x="1555"/>
        <item h="1" m="1" x="1663"/>
        <item h="1" m="1" x="1417"/>
        <item h="1" m="1" x="1432"/>
        <item h="1" x="99"/>
        <item h="1" x="100"/>
        <item h="1" x="101"/>
        <item h="1" x="105"/>
        <item h="1" x="118"/>
        <item h="1" x="433"/>
        <item h="1" x="434"/>
        <item h="1" x="111"/>
        <item h="1" m="1" x="1559"/>
        <item h="1" m="1" x="1670"/>
        <item h="1" m="1" x="1560"/>
        <item h="1" m="1" x="1561"/>
        <item h="1" m="1" x="859"/>
        <item h="1" m="1" x="1442"/>
        <item h="1" m="1" x="1454"/>
        <item h="1" m="1" x="1457"/>
        <item h="1" m="1" x="1095"/>
        <item h="1" m="1" x="1675"/>
        <item h="1" m="1" x="1676"/>
        <item h="1" m="1" x="1677"/>
        <item h="1" m="1" x="1684"/>
        <item h="1" m="1" x="1685"/>
        <item h="1" m="1" x="1686"/>
        <item h="1" m="1" x="1687"/>
        <item h="1" m="1" x="1569"/>
        <item h="1" m="1" x="1696"/>
        <item h="1" m="1" x="1697"/>
        <item h="1" m="1" x="1698"/>
        <item h="1" m="1" x="1703"/>
        <item h="1" m="1" x="1705"/>
        <item h="1" m="1" x="1706"/>
        <item h="1" m="1" x="808"/>
        <item h="1" m="1" x="1707"/>
        <item h="1" m="1" x="1708"/>
        <item h="1" m="1" x="1710"/>
        <item h="1" m="1" x="1723"/>
        <item h="1" m="1" x="1575"/>
        <item h="1" m="1" x="1724"/>
        <item h="1" m="1" x="1579"/>
        <item h="1" x="290"/>
        <item h="1" m="1" x="1730"/>
        <item h="1" m="1" x="1731"/>
        <item h="1" m="1" x="1733"/>
        <item h="1" m="1" x="620"/>
        <item h="1" x="24"/>
        <item h="1" m="1" x="1117"/>
        <item h="1" m="1" x="1520"/>
        <item h="1" m="1" x="1521"/>
        <item h="1" m="1" x="1522"/>
        <item h="1" m="1" x="1523"/>
        <item h="1" m="1" x="1020"/>
        <item h="1" m="1" x="796"/>
        <item h="1" m="1" x="1528"/>
        <item h="1" x="54"/>
        <item h="1" x="55"/>
        <item h="1" x="56"/>
        <item h="1" m="1" x="1529"/>
        <item h="1" x="368"/>
        <item h="1" m="1" x="1177"/>
        <item h="1" m="1" x="1530"/>
        <item h="1" m="1" x="1531"/>
        <item h="1" m="1" x="1532"/>
        <item h="1" m="1" x="1533"/>
        <item h="1" m="1" x="1216"/>
        <item h="1" m="1" x="1534"/>
        <item h="1" m="1" x="1535"/>
        <item h="1" m="1" x="1536"/>
        <item h="1" m="1" x="1187"/>
        <item h="1" m="1" x="1188"/>
        <item h="1" m="1" x="1189"/>
        <item h="1" m="1" x="1215"/>
        <item h="1" m="1" x="1195"/>
        <item h="1" m="1" x="1214"/>
        <item h="1" m="1" x="1212"/>
        <item h="1" m="1" x="1213"/>
        <item h="1" m="1" x="1217"/>
        <item h="1" m="1" x="1218"/>
        <item h="1" m="1" x="1196"/>
        <item h="1" m="1" x="1537"/>
        <item h="1" m="1" x="1538"/>
        <item h="1" m="1" x="1539"/>
        <item h="1" m="1" x="1190"/>
        <item h="1" m="1" x="1204"/>
        <item h="1" m="1" x="1201"/>
        <item h="1" m="1" x="1202"/>
        <item h="1" m="1" x="1203"/>
        <item h="1" m="1" x="1197"/>
        <item h="1" m="1" x="1198"/>
        <item h="1" m="1" x="1199"/>
        <item h="1" m="1" x="1200"/>
        <item h="1" m="1" x="1206"/>
        <item h="1" x="354"/>
        <item h="1" m="1" x="1543"/>
        <item h="1" m="1" x="1239"/>
        <item h="1" m="1" x="595"/>
        <item h="1" m="1" x="1243"/>
        <item h="1" m="1" x="1244"/>
        <item h="1" m="1" x="1545"/>
        <item h="1" m="1" x="1253"/>
        <item h="1" x="42"/>
        <item h="1" m="1" x="1048"/>
        <item h="1" m="1" x="1260"/>
        <item h="1" m="1" x="1261"/>
        <item h="1" m="1" x="1262"/>
        <item h="1" m="1" x="1263"/>
        <item h="1" m="1" x="1264"/>
        <item h="1" m="1" x="1265"/>
        <item h="1" m="1" x="1273"/>
        <item h="1" m="1" x="1272"/>
        <item h="1" m="1" x="1269"/>
        <item h="1" m="1" x="1270"/>
        <item h="1" m="1" x="1271"/>
        <item h="1" m="1" x="1267"/>
        <item h="1" m="1" x="1268"/>
        <item h="1" x="311"/>
        <item h="1" m="1" x="925"/>
        <item h="1" x="35"/>
        <item h="1" m="1" x="1361"/>
        <item h="1" m="1" x="1382"/>
        <item h="1" m="1" x="1549"/>
        <item h="1" m="1" x="1396"/>
        <item h="1" x="165"/>
        <item h="1" m="1" x="1550"/>
        <item h="1" x="164"/>
        <item h="1" m="1" x="1398"/>
        <item h="1" m="1" x="1552"/>
        <item h="1" m="1" x="1553"/>
        <item h="1" m="1" x="1556"/>
        <item h="1" m="1" x="1558"/>
        <item h="1" m="1" x="1455"/>
        <item h="1" m="1" x="1456"/>
        <item h="1" m="1" x="1090"/>
        <item h="1" m="1" x="1462"/>
        <item h="1" m="1" x="1092"/>
        <item h="1" x="213"/>
        <item h="1" m="1" x="1567"/>
        <item h="1" m="1" x="1480"/>
        <item h="1" m="1" x="1568"/>
        <item h="1" m="1" x="1482"/>
        <item h="1" m="1" x="1570"/>
        <item h="1" m="1" x="1572"/>
        <item h="1" m="1" x="807"/>
        <item h="1" m="1" x="1496"/>
        <item h="1" m="1" x="599"/>
        <item h="1" x="298"/>
        <item h="1" x="299"/>
        <item h="1" m="1" x="1510"/>
        <item h="1" m="1" x="1581"/>
        <item h="1" m="1" x="1582"/>
        <item h="1" m="1" x="1583"/>
        <item h="1" m="1" x="1114"/>
        <item h="1" m="1" x="1118"/>
        <item h="1" m="1" x="1162"/>
        <item h="1" m="1" x="1163"/>
        <item h="1" m="1" x="1164"/>
        <item h="1" m="1" x="1170"/>
        <item h="1" m="1" x="1174"/>
        <item h="1" m="1" x="1184"/>
        <item h="1" m="1" x="1185"/>
        <item h="1" m="1" x="1186"/>
        <item h="1" x="330"/>
        <item h="1" m="1" x="1031"/>
        <item h="1" x="328"/>
        <item h="1" x="329"/>
        <item h="1" m="1" x="1191"/>
        <item h="1" m="1" x="1192"/>
        <item h="1" m="1" x="1193"/>
        <item h="1" m="1" x="1194"/>
        <item h="1" m="1" x="1207"/>
        <item h="1" m="1" x="1208"/>
        <item h="1" m="1" x="1209"/>
        <item h="1" m="1" x="1210"/>
        <item h="1" m="1" x="1211"/>
        <item h="1" m="1" x="1219"/>
        <item h="1" m="1" x="1221"/>
        <item h="1" m="1" x="1236"/>
        <item h="1" m="1" x="1237"/>
        <item h="1" x="237"/>
        <item h="1" m="1" x="863"/>
        <item h="1" m="1" x="536"/>
        <item h="1" m="1" x="1240"/>
        <item h="1" m="1" x="1241"/>
        <item h="1" m="1" x="1245"/>
        <item h="1" m="1" x="1107"/>
        <item h="1" m="1" x="523"/>
        <item h="1" m="1" x="1047"/>
        <item h="1" m="1" x="1051"/>
        <item h="1" m="1" x="1266"/>
        <item h="1" m="1" x="1278"/>
        <item h="1" x="122"/>
        <item h="1" x="59"/>
        <item h="1" m="1" x="1054"/>
        <item h="1" m="1" x="1337"/>
        <item h="1" m="1" x="1338"/>
        <item h="1" m="1" x="1340"/>
        <item h="1" m="1" x="792"/>
        <item h="1" m="1" x="1343"/>
        <item h="1" m="1" x="1344"/>
        <item h="1" m="1" x="1345"/>
        <item h="1" m="1" x="940"/>
        <item h="1" m="1" x="1366"/>
        <item h="1" m="1" x="1368"/>
        <item h="1" m="1" x="1375"/>
        <item h="1" m="1" x="703"/>
        <item h="1" m="1" x="1383"/>
        <item h="1" m="1" x="1384"/>
        <item h="1" m="1" x="1385"/>
        <item h="1" m="1" x="1386"/>
        <item h="1" m="1" x="1389"/>
        <item h="1" m="1" x="1392"/>
        <item h="1" m="1" x="1393"/>
        <item h="1" m="1" x="1394"/>
        <item h="1" m="1" x="1395"/>
        <item h="1" m="1" x="873"/>
        <item h="1" x="104"/>
        <item h="1" m="1" x="526"/>
        <item h="1" x="103"/>
        <item h="1" m="1" x="1434"/>
        <item h="1" m="1" x="1451"/>
        <item h="1" m="1" x="960"/>
        <item h="1" m="1" x="1009"/>
        <item h="1" m="1" x="1459"/>
        <item h="1" m="1" x="1091"/>
        <item h="1" m="1" x="1098"/>
        <item h="1" m="1" x="1093"/>
        <item h="1" x="36"/>
        <item h="1" m="1" x="589"/>
        <item h="1" m="1" x="465"/>
        <item h="1" m="1" x="1470"/>
        <item h="1" m="1" x="1471"/>
        <item h="1" m="1" x="1473"/>
        <item h="1" m="1" x="1474"/>
        <item h="1" m="1" x="1475"/>
        <item h="1" m="1" x="636"/>
        <item h="1" m="1" x="1476"/>
        <item h="1" m="1" x="1477"/>
        <item h="1" m="1" x="1478"/>
        <item h="1" m="1" x="1479"/>
        <item h="1" x="308"/>
        <item h="1" m="1" x="1486"/>
        <item h="1" m="1" x="1487"/>
        <item h="1" m="1" x="1488"/>
        <item h="1" m="1" x="628"/>
        <item h="1" m="1" x="1489"/>
        <item h="1" m="1" x="1490"/>
        <item h="1" m="1" x="1491"/>
        <item h="1" m="1" x="1492"/>
        <item h="1" m="1" x="585"/>
        <item h="1" m="1" x="1493"/>
        <item h="1" x="292"/>
        <item h="1" m="1" x="1494"/>
        <item h="1" m="1" x="820"/>
        <item h="1" m="1" x="1512"/>
        <item h="1" m="1" x="1513"/>
        <item h="1" m="1" x="1514"/>
        <item h="1" m="1" x="1515"/>
        <item h="1" m="1" x="1516"/>
        <item h="1" m="1" x="1517"/>
        <item h="1" m="1" x="1017"/>
        <item h="1" m="1" x="1018"/>
        <item h="1" m="1" x="1019"/>
        <item h="1" m="1" x="1021"/>
        <item h="1" m="1" x="1022"/>
        <item h="1" m="1" x="951"/>
        <item h="1" m="1" x="889"/>
        <item h="1" m="1" x="1023"/>
        <item h="1" m="1" x="1025"/>
        <item h="1" m="1" x="1026"/>
        <item h="1" m="1" x="1028"/>
        <item h="1" m="1" x="1029"/>
        <item h="1" m="1" x="963"/>
        <item h="1" m="1" x="1030"/>
        <item h="1" x="78"/>
        <item h="1" x="139"/>
        <item h="1" m="1" x="1033"/>
        <item h="1" x="131"/>
        <item h="1" m="1" x="954"/>
        <item h="1" m="1" x="955"/>
        <item h="1" m="1" x="953"/>
        <item h="1" m="1" x="865"/>
        <item h="1" m="1" x="1035"/>
        <item h="1" m="1" x="864"/>
        <item h="1" m="1" x="862"/>
        <item h="1" m="1" x="1037"/>
        <item h="1" m="1" x="1038"/>
        <item h="1" x="133"/>
        <item h="1" x="134"/>
        <item h="1" x="138"/>
        <item h="1" m="1" x="513"/>
        <item h="1" m="1" x="1040"/>
        <item h="1" m="1" x="1044"/>
        <item h="1" m="1" x="685"/>
        <item h="1" m="1" x="654"/>
        <item h="1" m="1" x="655"/>
        <item h="1" m="1" x="1053"/>
        <item h="1" x="231"/>
        <item h="1" x="232"/>
        <item h="1" x="233"/>
        <item h="1" x="234"/>
        <item h="1" m="1" x="740"/>
        <item h="1" m="1" x="692"/>
        <item h="1" m="1" x="438"/>
        <item h="1" m="1" x="688"/>
        <item h="1" x="30"/>
        <item h="1" m="1" x="1012"/>
        <item h="1" x="15"/>
        <item h="1" m="1" x="932"/>
        <item h="1" m="1" x="441"/>
        <item h="1" m="1" x="1055"/>
        <item h="1" m="1" x="933"/>
        <item h="1" m="1" x="934"/>
        <item h="1" m="1" x="722"/>
        <item h="1" x="5"/>
        <item h="1" x="2"/>
        <item h="1" x="1"/>
        <item h="1" m="1" x="1060"/>
        <item h="1" m="1" x="1061"/>
        <item h="1" m="1" x="1062"/>
        <item h="1" m="1" x="1063"/>
        <item h="1" m="1" x="1064"/>
        <item h="1" m="1" x="1068"/>
        <item h="1" x="195"/>
        <item h="1" x="176"/>
        <item h="1" x="72"/>
        <item h="1" x="196"/>
        <item h="1" x="146"/>
        <item h="1" x="169"/>
        <item h="1" x="163"/>
        <item h="1" x="205"/>
        <item h="1" m="1" x="557"/>
        <item h="1" x="108"/>
        <item h="1" x="109"/>
        <item h="1" x="110"/>
        <item h="1" m="1" x="712"/>
        <item h="1" m="1" x="1071"/>
        <item h="1" m="1" x="1072"/>
        <item h="1" m="1" x="1073"/>
        <item h="1" m="1" x="1075"/>
        <item h="1" m="1" x="1076"/>
        <item h="1" x="92"/>
        <item h="1" x="93"/>
        <item h="1" x="94"/>
        <item h="1" x="317"/>
        <item h="1" m="1" x="1077"/>
        <item h="1" m="1" x="1078"/>
        <item h="1" m="1" x="856"/>
        <item h="1" m="1" x="1080"/>
        <item h="1" m="1" x="1081"/>
        <item h="1" m="1" x="1082"/>
        <item h="1" m="1" x="1083"/>
        <item h="1" m="1" x="724"/>
        <item h="1" m="1" x="723"/>
        <item h="1" m="1" x="1084"/>
        <item h="1" m="1" x="1085"/>
        <item h="1" m="1" x="1015"/>
        <item h="1" m="1" x="1088"/>
        <item h="1" m="1" x="1089"/>
        <item h="1" m="1" x="577"/>
        <item h="1" m="1" x="578"/>
        <item h="1" m="1" x="565"/>
        <item h="1" m="1" x="972"/>
        <item h="1" m="1" x="567"/>
        <item h="1" m="1" x="1101"/>
        <item h="1" m="1" x="1102"/>
        <item h="1" m="1" x="1104"/>
        <item h="1" x="388"/>
        <item h="1" x="382"/>
        <item h="1" m="1" x="1108"/>
        <item h="1" m="1" x="1109"/>
        <item h="1" m="1" x="610"/>
        <item h="1" m="1" x="877"/>
        <item h="1" m="1" x="876"/>
        <item h="1" m="1" x="901"/>
        <item h="1" m="1" x="1111"/>
        <item h="1" m="1" x="582"/>
        <item h="1" m="1" x="1112"/>
        <item h="1" m="1" x="1113"/>
        <item h="1" x="18"/>
        <item h="1" m="1" x="926"/>
        <item h="1" m="1" x="928"/>
        <item h="1" m="1" x="929"/>
        <item h="1" m="1" x="930"/>
        <item h="1" m="1" x="931"/>
        <item h="1" x="37"/>
        <item h="1" m="1" x="458"/>
        <item h="1" m="1" x="459"/>
        <item h="1" m="1" x="468"/>
        <item h="1" m="1" x="797"/>
        <item h="1" m="1" x="935"/>
        <item h="1" m="1" x="471"/>
        <item h="1" m="1" x="938"/>
        <item h="1" m="1" x="939"/>
        <item h="1" m="1" x="798"/>
        <item h="1" m="1" x="941"/>
        <item h="1" m="1" x="942"/>
        <item h="1" m="1" x="943"/>
        <item h="1" m="1" x="948"/>
        <item h="1" m="1" x="512"/>
        <item h="1" m="1" x="514"/>
        <item h="1" x="79"/>
        <item h="1" m="1" x="952"/>
        <item h="1" x="136"/>
        <item h="1" m="1" x="867"/>
        <item h="1" m="1" x="539"/>
        <item h="1" m="1" x="956"/>
        <item h="1" x="173"/>
        <item h="1" x="172"/>
        <item h="1" x="174"/>
        <item h="1" m="1" x="854"/>
        <item h="1" m="1" x="861"/>
        <item h="1" m="1" x="560"/>
        <item h="1" m="1" x="575"/>
        <item h="1" m="1" x="564"/>
        <item h="1" x="226"/>
        <item h="1" x="227"/>
        <item h="1" m="1" x="588"/>
        <item h="1" m="1" x="593"/>
        <item h="1" m="1" x="600"/>
        <item h="1" m="1" x="608"/>
        <item h="1" m="1" x="612"/>
        <item h="1" x="272"/>
        <item h="1" m="1" x="550"/>
        <item h="1" m="1" x="959"/>
        <item h="1" x="306"/>
        <item h="1" m="1" x="961"/>
        <item h="1" m="1" x="962"/>
        <item h="1" x="318"/>
        <item h="1" m="1" x="882"/>
        <item h="1" m="1" x="964"/>
        <item h="1" m="1" x="965"/>
        <item h="1" m="1" x="966"/>
        <item h="1" m="1" x="967"/>
        <item h="1" m="1" x="968"/>
        <item h="1" m="1" x="881"/>
        <item h="1" m="1" x="969"/>
        <item h="1" m="1" x="970"/>
        <item h="1" m="1" x="971"/>
        <item h="1" m="1" x="973"/>
        <item h="1" m="1" x="822"/>
        <item h="1" m="1" x="974"/>
        <item h="1" m="1" x="976"/>
        <item h="1" x="344"/>
        <item h="1" m="1" x="978"/>
        <item h="1" m="1" x="979"/>
        <item h="1" m="1" x="980"/>
        <item h="1" m="1" x="687"/>
        <item h="1" m="1" x="981"/>
        <item h="1" m="1" x="982"/>
        <item h="1" m="1" x="983"/>
        <item h="1" m="1" x="984"/>
        <item h="1" m="1" x="985"/>
        <item h="1" m="1" x="679"/>
        <item h="1" m="1" x="986"/>
        <item h="1" m="1" x="987"/>
        <item h="1" m="1" x="837"/>
        <item h="1" x="377"/>
        <item h="1" x="378"/>
        <item h="1" m="1" x="988"/>
        <item h="1" m="1" x="989"/>
        <item h="1" x="398"/>
        <item h="1" m="1" x="990"/>
        <item h="1" m="1" x="995"/>
        <item h="1" m="1" x="996"/>
        <item h="1" m="1" x="997"/>
        <item h="1" m="1" x="998"/>
        <item h="1" m="1" x="999"/>
        <item h="1" m="1" x="1000"/>
        <item h="1" m="1" x="1001"/>
        <item h="1" m="1" x="1002"/>
        <item h="1" m="1" x="1003"/>
        <item h="1" m="1" x="1004"/>
        <item h="1" m="1" x="1005"/>
        <item h="1" m="1" x="1006"/>
        <item h="1" m="1" x="1007"/>
        <item h="1" m="1" x="1008"/>
        <item h="1" m="1" x="1013"/>
        <item h="1" m="1" x="787"/>
        <item h="1" m="1" x="1014"/>
        <item h="1" x="0"/>
        <item h="1" m="1" x="443"/>
        <item h="1" m="1" x="447"/>
        <item h="1" m="1" x="461"/>
        <item h="1" x="39"/>
        <item h="1" m="1" x="475"/>
        <item h="1" m="1" x="485"/>
        <item h="1" m="1" x="850"/>
        <item h="1" m="1" x="851"/>
        <item h="1" m="1" x="799"/>
        <item h="1" x="57"/>
        <item h="1" x="58"/>
        <item h="1" m="1" x="519"/>
        <item h="1" m="1" x="508"/>
        <item h="1" m="1" x="509"/>
        <item h="1" m="1" x="510"/>
        <item h="1" x="66"/>
        <item h="1" x="140"/>
        <item h="1" m="1" x="800"/>
        <item h="1" x="125"/>
        <item h="1" x="128"/>
        <item h="1" m="1" x="868"/>
        <item h="1" m="1" x="529"/>
        <item h="1" m="1" x="528"/>
        <item h="1" m="1" x="869"/>
        <item h="1" m="1" x="870"/>
        <item h="1" m="1" x="540"/>
        <item h="1" x="193"/>
        <item h="1" m="1" x="548"/>
        <item h="1" x="155"/>
        <item h="1" x="149"/>
        <item h="1" m="1" x="549"/>
        <item h="1" x="192"/>
        <item h="1" x="190"/>
        <item h="1" x="191"/>
        <item h="1" x="171"/>
        <item h="1" m="1" x="552"/>
        <item h="1" m="1" x="874"/>
        <item h="1" m="1" x="580"/>
        <item h="1" m="1" x="579"/>
        <item h="1" x="216"/>
        <item h="1" m="1" x="569"/>
        <item h="1" m="1" x="573"/>
        <item h="1" m="1" x="570"/>
        <item h="1" m="1" x="574"/>
        <item h="1" x="287"/>
        <item h="1" m="1" x="590"/>
        <item h="1" m="1" x="591"/>
        <item h="1" m="1" x="592"/>
        <item h="1" x="229"/>
        <item h="1" m="1" x="601"/>
        <item h="1" m="1" x="602"/>
        <item h="1" m="1" x="603"/>
        <item h="1" m="1" x="604"/>
        <item h="1" m="1" x="605"/>
        <item h="1" m="1" x="606"/>
        <item h="1" x="243"/>
        <item h="1" m="1" x="875"/>
        <item h="1" m="1" x="614"/>
        <item h="1" m="1" x="615"/>
        <item h="1" x="297"/>
        <item h="1" m="1" x="621"/>
        <item h="1" m="1" x="622"/>
        <item h="1" m="1" x="616"/>
        <item h="1" m="1" x="617"/>
        <item h="1" m="1" x="623"/>
        <item h="1" m="1" x="629"/>
        <item h="1" x="282"/>
        <item h="1" x="283"/>
        <item h="1" m="1" x="638"/>
        <item h="1" m="1" x="639"/>
        <item h="1" m="1" x="641"/>
        <item h="1" m="1" x="642"/>
        <item h="1" m="1" x="651"/>
        <item h="1" x="314"/>
        <item h="1" x="315"/>
        <item h="1" x="316"/>
        <item h="1" m="1" x="878"/>
        <item h="1" m="1" x="815"/>
        <item h="1" m="1" x="879"/>
        <item h="1" m="1" x="816"/>
        <item h="1" m="1" x="880"/>
        <item h="1" x="326"/>
        <item h="1" m="1" x="718"/>
        <item h="1" m="1" x="883"/>
        <item h="1" m="1" x="884"/>
        <item h="1" m="1" x="710"/>
        <item h="1" m="1" x="711"/>
        <item h="1" m="1" x="885"/>
        <item h="1" m="1" x="886"/>
        <item h="1" m="1" x="887"/>
        <item h="1" m="1" x="888"/>
        <item h="1" m="1" x="890"/>
        <item h="1" m="1" x="892"/>
        <item h="1" m="1" x="893"/>
        <item h="1" m="1" x="894"/>
        <item h="1" m="1" x="895"/>
        <item h="1" m="1" x="896"/>
        <item h="1" m="1" x="897"/>
        <item h="1" m="1" x="898"/>
        <item h="1" m="1" x="667"/>
        <item h="1" m="1" x="899"/>
        <item h="1" m="1" x="900"/>
        <item h="1" m="1" x="702"/>
        <item h="1" x="340"/>
        <item h="1" x="341"/>
        <item h="1" m="1" x="730"/>
        <item h="1" m="1" x="729"/>
        <item h="1" m="1" x="902"/>
        <item h="1" m="1" x="903"/>
        <item h="1" x="384"/>
        <item h="1" x="385"/>
        <item h="1" m="1" x="904"/>
        <item h="1" m="1" x="905"/>
        <item h="1" m="1" x="750"/>
        <item h="1" x="405"/>
        <item h="1" m="1" x="906"/>
        <item h="1" m="1" x="907"/>
        <item h="1" m="1" x="908"/>
        <item h="1" m="1" x="909"/>
        <item h="1" m="1" x="911"/>
        <item h="1" m="1" x="912"/>
        <item h="1" m="1" x="913"/>
        <item h="1" m="1" x="914"/>
        <item h="1" m="1" x="915"/>
        <item h="1" m="1" x="916"/>
        <item h="1" m="1" x="918"/>
        <item h="1" m="1" x="919"/>
        <item h="1" x="414"/>
        <item h="1" x="413"/>
        <item h="1" x="415"/>
        <item h="1" m="1" x="790"/>
        <item h="1" m="1" x="456"/>
        <item h="1" m="1" x="457"/>
        <item h="1" m="1" x="448"/>
        <item h="1" m="1" x="449"/>
        <item h="1" m="1" x="450"/>
        <item h="1" m="1" x="467"/>
        <item h="1" m="1" x="462"/>
        <item h="1" x="117"/>
        <item h="1" m="1" x="474"/>
        <item h="1" x="53"/>
        <item h="1" m="1" x="493"/>
        <item h="1" m="1" x="522"/>
        <item h="1" x="81"/>
        <item h="1" m="1" x="542"/>
        <item h="1" x="152"/>
        <item h="1" x="151"/>
        <item h="1" x="188"/>
        <item h="1" m="1" x="551"/>
        <item h="1" x="199"/>
        <item h="1" x="126"/>
        <item h="1" m="1" x="527"/>
        <item h="1" m="1" x="583"/>
        <item h="1" m="1" x="584"/>
        <item h="1" x="219"/>
        <item h="1" m="1" x="568"/>
        <item h="1" m="1" x="587"/>
        <item h="1" m="1" x="594"/>
        <item h="1" m="1" x="464"/>
        <item h="1" x="236"/>
        <item h="1" m="1" x="597"/>
        <item h="1" m="1" x="632"/>
        <item h="1" x="284"/>
        <item h="1" m="1" x="625"/>
        <item h="1" m="1" x="626"/>
        <item h="1" x="294"/>
        <item h="1" m="1" x="646"/>
        <item h="1" m="1" x="648"/>
        <item h="1" m="1" x="650"/>
        <item h="1" m="1" x="645"/>
        <item h="1" m="1" x="634"/>
        <item h="1" m="1" x="652"/>
        <item h="1" m="1" x="813"/>
        <item h="1" m="1" x="814"/>
        <item h="1" m="1" x="817"/>
        <item h="1" m="1" x="818"/>
        <item h="1" m="1" x="819"/>
        <item h="1" m="1" x="823"/>
        <item h="1" m="1" x="824"/>
        <item h="1" m="1" x="825"/>
        <item h="1" m="1" x="826"/>
        <item h="1" m="1" x="827"/>
        <item h="1" m="1" x="828"/>
        <item h="1" m="1" x="829"/>
        <item h="1" m="1" x="830"/>
        <item h="1" m="1" x="677"/>
        <item h="1" m="1" x="832"/>
        <item h="1" m="1" x="833"/>
        <item h="1" m="1" x="834"/>
        <item h="1" m="1" x="835"/>
        <item h="1" m="1" x="836"/>
        <item h="1" x="355"/>
        <item h="1" x="380"/>
        <item h="1" x="383"/>
        <item h="1" m="1" x="839"/>
        <item h="1" m="1" x="840"/>
        <item h="1" m="1" x="841"/>
        <item h="1" m="1" x="842"/>
        <item h="1" m="1" x="843"/>
        <item h="1" m="1" x="844"/>
        <item h="1" m="1" x="845"/>
        <item h="1" m="1" x="846"/>
        <item h="1" m="1" x="767"/>
        <item h="1" x="427"/>
        <item h="1" x="431"/>
        <item h="1" m="1" x="439"/>
        <item h="1" x="9"/>
        <item h="1" m="1" x="444"/>
        <item h="1" m="1" x="446"/>
        <item h="1" m="1" x="454"/>
        <item h="1" m="1" x="455"/>
        <item h="1" x="26"/>
        <item h="1" m="1" x="460"/>
        <item h="1" m="1" x="463"/>
        <item h="1" m="1" x="466"/>
        <item h="1" m="1" x="472"/>
        <item h="1" m="1" x="481"/>
        <item h="1" m="1" x="482"/>
        <item h="1" m="1" x="484"/>
        <item h="1" m="1" x="488"/>
        <item h="1" m="1" x="489"/>
        <item h="1" m="1" x="490"/>
        <item h="1" m="1" x="491"/>
        <item h="1" m="1" x="492"/>
        <item h="1" x="51"/>
        <item h="1" m="1" x="498"/>
        <item h="1" m="1" x="499"/>
        <item h="1" m="1" x="504"/>
        <item h="1" m="1" x="507"/>
        <item h="1" x="82"/>
        <item h="1" x="84"/>
        <item h="1" x="116"/>
        <item h="1" x="86"/>
        <item h="1" m="1" x="531"/>
        <item h="1" m="1" x="532"/>
        <item h="1" x="143"/>
        <item h="1" m="1" x="541"/>
        <item h="1" x="145"/>
        <item h="1" x="184"/>
        <item h="1" x="185"/>
        <item h="1" x="186"/>
        <item h="1" x="187"/>
        <item h="1" x="183"/>
        <item h="1" x="166"/>
        <item h="1" x="123"/>
        <item h="1" m="1" x="562"/>
        <item h="1" m="1" x="581"/>
        <item h="1" m="1" x="596"/>
        <item h="1" m="1" x="598"/>
        <item h="1" x="238"/>
        <item h="1" x="239"/>
        <item h="1" x="242"/>
        <item h="1" x="235"/>
        <item h="1" m="1" x="609"/>
        <item h="1" x="241"/>
        <item h="1" x="267"/>
        <item h="1" m="1" x="618"/>
        <item h="1" m="1" x="619"/>
        <item h="1" m="1" x="624"/>
        <item h="1" x="263"/>
        <item h="1" x="251"/>
        <item h="1" x="253"/>
        <item h="1" x="257"/>
        <item h="1" x="281"/>
        <item h="1" m="1" x="637"/>
        <item h="1" m="1" x="643"/>
        <item h="1" m="1" x="644"/>
        <item h="1" m="1" x="649"/>
        <item h="1" m="1" x="653"/>
        <item h="1" m="1" x="656"/>
        <item h="1" m="1" x="657"/>
        <item h="1" m="1" x="658"/>
        <item h="1" m="1" x="659"/>
        <item h="1" m="1" x="660"/>
        <item h="1" m="1" x="661"/>
        <item h="1" m="1" x="662"/>
        <item h="1" m="1" x="664"/>
        <item h="1" m="1" x="665"/>
        <item h="1" m="1" x="668"/>
        <item h="1" m="1" x="669"/>
        <item h="1" m="1" x="670"/>
        <item h="1" m="1" x="671"/>
        <item h="1" m="1" x="672"/>
        <item h="1" m="1" x="673"/>
        <item h="1" m="1" x="674"/>
        <item h="1" m="1" x="676"/>
        <item h="1" m="1" x="678"/>
        <item h="1" m="1" x="681"/>
        <item h="1" m="1" x="682"/>
        <item h="1" m="1" x="683"/>
        <item h="1" m="1" x="684"/>
        <item h="1" m="1" x="686"/>
        <item h="1" m="1" x="689"/>
        <item h="1" m="1" x="690"/>
        <item h="1" m="1" x="691"/>
        <item h="1" m="1" x="693"/>
        <item h="1" m="1" x="694"/>
        <item h="1" m="1" x="695"/>
        <item h="1" m="1" x="696"/>
        <item h="1" m="1" x="697"/>
        <item h="1" m="1" x="698"/>
        <item h="1" m="1" x="699"/>
        <item h="1" m="1" x="700"/>
        <item h="1" m="1" x="701"/>
        <item h="1" x="371"/>
        <item h="1" m="1" x="707"/>
        <item h="1" m="1" x="708"/>
        <item h="1" m="1" x="709"/>
        <item h="1" m="1" x="714"/>
        <item h="1" m="1" x="715"/>
        <item h="1" m="1" x="716"/>
        <item h="1" m="1" x="717"/>
        <item h="1" m="1" x="719"/>
        <item h="1" m="1" x="720"/>
        <item h="1" m="1" x="721"/>
        <item h="1" x="339"/>
        <item h="1" m="1" x="725"/>
        <item h="1" x="343"/>
        <item h="1" m="1" x="726"/>
        <item h="1" m="1" x="728"/>
        <item h="1" m="1" x="731"/>
        <item h="1" x="374"/>
        <item h="1" x="381"/>
        <item h="1" m="1" x="732"/>
        <item h="1" m="1" x="733"/>
        <item h="1" m="1" x="734"/>
        <item h="1" x="379"/>
        <item h="1" m="1" x="735"/>
        <item h="1" m="1" x="738"/>
        <item h="1" m="1" x="739"/>
        <item h="1" x="389"/>
        <item h="1" m="1" x="741"/>
        <item h="1" x="394"/>
        <item h="1" m="1" x="742"/>
        <item h="1" m="1" x="743"/>
        <item h="1" m="1" x="744"/>
        <item h="1" m="1" x="745"/>
        <item h="1" m="1" x="746"/>
        <item h="1" m="1" x="747"/>
        <item h="1" x="400"/>
        <item h="1" x="401"/>
        <item h="1" x="404"/>
        <item h="1" m="1" x="753"/>
        <item h="1" x="408"/>
        <item h="1" m="1" x="754"/>
        <item h="1" m="1" x="756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71"/>
        <item h="1" x="416"/>
        <item h="1" m="1" x="775"/>
        <item h="1" x="420"/>
        <item h="1" m="1" x="778"/>
        <item h="1" m="1" x="784"/>
        <item h="1" m="1" x="788"/>
        <item h="1" x="14"/>
        <item h="1" x="19"/>
        <item h="1" x="22"/>
        <item h="1" x="23"/>
        <item h="1" x="28"/>
        <item h="1" x="29"/>
        <item h="1" x="32"/>
        <item h="1" x="40"/>
        <item h="1" x="41"/>
        <item h="1" x="44"/>
        <item h="1" x="46"/>
        <item h="1" x="47"/>
        <item h="1" x="89"/>
        <item h="1" x="90"/>
        <item h="1" x="91"/>
        <item h="1" x="95"/>
        <item h="1" x="97"/>
        <item h="1" x="106"/>
        <item h="1" x="113"/>
        <item h="1" x="114"/>
        <item h="1" x="115"/>
        <item h="1" x="121"/>
        <item h="1" x="207"/>
        <item h="1" x="208"/>
        <item h="1" x="209"/>
        <item h="1" x="210"/>
        <item h="1" x="211"/>
        <item h="1" x="212"/>
        <item h="1" x="221"/>
        <item h="1" x="222"/>
        <item h="1" x="224"/>
        <item h="1" x="230"/>
        <item h="1" x="244"/>
        <item h="1" x="245"/>
        <item h="1" x="258"/>
        <item h="1" x="262"/>
        <item h="1" x="279"/>
        <item h="1" x="285"/>
        <item h="1" x="286"/>
        <item h="1" x="288"/>
        <item h="1" x="293"/>
        <item h="1" x="295"/>
        <item h="1" x="296"/>
        <item h="1" x="301"/>
        <item h="1" x="302"/>
        <item h="1" x="303"/>
        <item h="1" x="304"/>
        <item h="1" x="309"/>
        <item h="1" x="313"/>
        <item h="1" x="319"/>
        <item h="1" x="320"/>
        <item h="1" x="321"/>
        <item h="1" x="322"/>
        <item h="1" x="323"/>
        <item h="1" x="324"/>
        <item h="1" x="325"/>
        <item h="1" x="331"/>
        <item h="1" x="332"/>
        <item h="1" x="334"/>
        <item h="1" x="337"/>
        <item h="1" x="338"/>
        <item h="1" x="342"/>
        <item h="1" x="346"/>
        <item h="1" x="348"/>
        <item h="1" x="350"/>
        <item h="1" x="351"/>
        <item h="1" x="352"/>
        <item h="1" x="353"/>
        <item h="1" x="356"/>
        <item h="1" x="357"/>
        <item h="1" x="358"/>
        <item h="1" x="359"/>
        <item h="1" x="360"/>
        <item h="1" x="363"/>
        <item h="1" x="364"/>
        <item h="1" x="365"/>
        <item h="1" x="366"/>
        <item h="1" x="367"/>
        <item h="1" x="370"/>
        <item h="1" x="372"/>
        <item h="1" x="373"/>
        <item h="1" x="386"/>
        <item h="1" x="387"/>
        <item h="1" x="390"/>
        <item h="1" x="391"/>
        <item h="1" x="392"/>
        <item h="1" x="393"/>
        <item h="1" x="395"/>
        <item h="1" x="406"/>
        <item h="1" x="407"/>
        <item h="1" x="409"/>
        <item h="1" x="410"/>
        <item h="1" x="417"/>
        <item h="1" x="4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8"/>
    </i>
    <i r="1">
      <x v="9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66">
    <format dxfId="235">
      <pivotArea type="all" dataOnly="0" outline="0" fieldPosition="0"/>
    </format>
    <format dxfId="234">
      <pivotArea outline="0" collapsedLevelsAreSubtotals="1" fieldPosition="0"/>
    </format>
    <format dxfId="233">
      <pivotArea field="27" type="button" dataOnly="0" labelOnly="1" outline="0" axis="axisPage" fieldPosition="0"/>
    </format>
    <format dxfId="232">
      <pivotArea outline="0" collapsedLevelsAreSubtotals="1" fieldPosition="0"/>
    </format>
    <format dxfId="231">
      <pivotArea dataOnly="0" labelOnly="1" grandRow="1" outline="0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dataOnly="0" labelOnly="1" grandRow="1" outline="0" fieldPosition="0"/>
    </format>
    <format dxfId="227">
      <pivotArea dataOnly="0" labelOnly="1" outline="0" axis="axisValues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dataOnly="0" labelOnly="1" grandRow="1" outline="0" fieldPosition="0"/>
    </format>
    <format dxfId="223">
      <pivotArea dataOnly="0" labelOnly="1" outline="0" axis="axisValues" fieldPosition="0"/>
    </format>
    <format dxfId="222">
      <pivotArea grandRow="1" outline="0" collapsedLevelsAreSubtotals="1" fieldPosition="0"/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dataOnly="0" labelOnly="1" grandRow="1" outline="0" fieldPosition="0"/>
    </format>
    <format dxfId="218">
      <pivotArea dataOnly="0" labelOnly="1" outline="0" axis="axisValues" fieldPosition="0"/>
    </format>
    <format dxfId="217">
      <pivotArea type="all" dataOnly="0" outline="0" fieldPosition="0"/>
    </format>
    <format dxfId="216">
      <pivotArea outline="0" collapsedLevelsAreSubtotals="1" fieldPosition="0"/>
    </format>
    <format dxfId="215">
      <pivotArea dataOnly="0" labelOnly="1" grandRow="1" outline="0" fieldPosition="0"/>
    </format>
    <format dxfId="214">
      <pivotArea dataOnly="0" labelOnly="1" outline="0" axis="axisValues" fieldPosition="0"/>
    </format>
    <format dxfId="213">
      <pivotArea type="all" dataOnly="0" outline="0" fieldPosition="0"/>
    </format>
    <format dxfId="212">
      <pivotArea type="all" dataOnly="0" outline="0" fieldPosition="0"/>
    </format>
    <format dxfId="211">
      <pivotArea type="all" dataOnly="0" outline="0" fieldPosition="0"/>
    </format>
    <format>
      <pivotArea type="all" dataOnly="0" outline="0" fieldPosition="0"/>
    </format>
    <format dxfId="210">
      <pivotArea type="all" dataOnly="0" outline="0" fieldPosition="0"/>
    </format>
    <format>
      <pivotArea type="all" dataOnly="0" outline="0" fieldPosition="0"/>
    </format>
    <format dxfId="209">
      <pivotArea grandRow="1" outline="0" collapsedLevelsAreSubtotals="1" fieldPosition="0"/>
    </format>
    <format>
      <pivotArea type="all" dataOnly="0" outline="0" fieldPosition="0"/>
    </format>
    <format dxfId="208">
      <pivotArea type="all" dataOnly="0" outline="0" fieldPosition="0"/>
    </format>
    <format dxfId="207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206">
      <pivotArea outline="0" collapsedLevelsAreSubtotals="1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grandRow="1" outline="0" fieldPosition="0"/>
    </format>
    <format dxfId="202">
      <pivotArea dataOnly="0" labelOnly="1" outline="0" axis="axisValues" fieldPosition="0"/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dataOnly="0" labelOnly="1" outline="0" axis="axisValues" fieldPosition="0"/>
    </format>
    <format dxfId="198">
      <pivotArea dataOnly="0" labelOnly="1" grandRow="1" outline="0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47" type="button" dataOnly="0" labelOnly="1" outline="0" axis="axisRow" fieldPosition="0"/>
    </format>
    <format dxfId="194">
      <pivotArea dataOnly="0" labelOnly="1" fieldPosition="0">
        <references count="1">
          <reference field="47" count="1">
            <x v="0"/>
          </reference>
        </references>
      </pivotArea>
    </format>
    <format dxfId="193">
      <pivotArea dataOnly="0" labelOnly="1" grandRow="1" outline="0" fieldPosition="0"/>
    </format>
    <format dxfId="192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191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190">
      <pivotArea field="47" type="button" dataOnly="0" labelOnly="1" outline="0" axis="axisRow" fieldPosition="0"/>
    </format>
    <format dxfId="189">
      <pivotArea dataOnly="0" labelOnly="1" grandRow="1" outline="0" fieldPosition="0"/>
    </format>
    <format dxfId="188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187">
      <pivotArea outline="0" collapsedLevelsAreSubtotals="1" fieldPosition="0"/>
    </format>
    <format dxfId="186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185">
      <pivotArea dataOnly="0" labelOnly="1" fieldPosition="0">
        <references count="1">
          <reference field="47" count="1">
            <x v="0"/>
          </reference>
        </references>
      </pivotArea>
    </format>
    <format dxfId="184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  <format dxfId="183">
      <pivotArea dataOnly="0" labelOnly="1" fieldPosition="0">
        <references count="1">
          <reference field="47" count="1">
            <x v="0"/>
          </reference>
        </references>
      </pivotArea>
    </format>
    <format dxfId="182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1:H60" firstHeaderRow="1" firstDataRow="2" firstDataCol="1"/>
  <pivotFields count="45">
    <pivotField showAll="0"/>
    <pivotField showAll="0"/>
    <pivotField showAll="0"/>
    <pivotField numFmtId="164"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2"/>
        <item h="1" m="1" x="8"/>
        <item x="0"/>
        <item x="4"/>
        <item x="3"/>
        <item x="5"/>
        <item x="1"/>
        <item h="1" m="1" x="9"/>
        <item m="1" x="7"/>
        <item h="1" x="6"/>
        <item t="default"/>
      </items>
    </pivotField>
    <pivotField axis="axisRow" showAll="0" sortType="descending">
      <items count="39">
        <item x="5"/>
        <item m="1" x="35"/>
        <item m="1" x="30"/>
        <item x="4"/>
        <item x="0"/>
        <item x="14"/>
        <item x="11"/>
        <item x="1"/>
        <item x="17"/>
        <item x="12"/>
        <item m="1" x="34"/>
        <item m="1" x="22"/>
        <item m="1" x="33"/>
        <item m="1" x="32"/>
        <item x="6"/>
        <item x="10"/>
        <item m="1" x="37"/>
        <item m="1" x="36"/>
        <item m="1" x="24"/>
        <item m="1" x="31"/>
        <item x="15"/>
        <item m="1" x="21"/>
        <item x="8"/>
        <item x="2"/>
        <item x="7"/>
        <item x="13"/>
        <item m="1" x="19"/>
        <item m="1" x="20"/>
        <item x="9"/>
        <item m="1" x="18"/>
        <item m="1" x="25"/>
        <item x="3"/>
        <item x="16"/>
        <item m="1" x="28"/>
        <item m="1" x="29"/>
        <item m="1" x="26"/>
        <item m="1" x="27"/>
        <item m="1"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18">
    <i>
      <x v="4"/>
    </i>
    <i>
      <x/>
    </i>
    <i>
      <x v="15"/>
    </i>
    <i>
      <x v="23"/>
    </i>
    <i>
      <x v="24"/>
    </i>
    <i>
      <x v="3"/>
    </i>
    <i>
      <x v="6"/>
    </i>
    <i>
      <x v="7"/>
    </i>
    <i>
      <x v="14"/>
    </i>
    <i>
      <x v="5"/>
    </i>
    <i>
      <x v="28"/>
    </i>
    <i>
      <x v="25"/>
    </i>
    <i>
      <x v="22"/>
    </i>
    <i>
      <x v="31"/>
    </i>
    <i>
      <x v="9"/>
    </i>
    <i>
      <x v="32"/>
    </i>
    <i>
      <x v="20"/>
    </i>
    <i t="grand">
      <x/>
    </i>
  </rowItems>
  <colFields count="1">
    <field x="36"/>
  </colFields>
  <colItems count="7">
    <i>
      <x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ntagem de OBTS" fld="36" subtotal="count" baseField="0" baseItem="0"/>
  </dataFields>
  <formats count="53">
    <format dxfId="275">
      <pivotArea outline="0" collapsedLevelsAreSubtotals="1" fieldPosition="0"/>
    </format>
    <format dxfId="274">
      <pivotArea dataOnly="0" labelOnly="1" fieldPosition="0">
        <references count="1">
          <reference field="36" count="0"/>
        </references>
      </pivotArea>
    </format>
    <format dxfId="273">
      <pivotArea dataOnly="0" labelOnly="1" grandCol="1" outline="0" fieldPosition="0"/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type="origin" dataOnly="0" labelOnly="1" outline="0" fieldPosition="0"/>
    </format>
    <format dxfId="269">
      <pivotArea field="36" type="button" dataOnly="0" labelOnly="1" outline="0" axis="axisCol" fieldPosition="0"/>
    </format>
    <format dxfId="268">
      <pivotArea type="topRight" dataOnly="0" labelOnly="1" outline="0" fieldPosition="0"/>
    </format>
    <format dxfId="267">
      <pivotArea field="37" type="button" dataOnly="0" labelOnly="1" outline="0" axis="axisRow" fieldPosition="0"/>
    </format>
    <format dxfId="266">
      <pivotArea dataOnly="0" labelOnly="1" grandRow="1" outline="0" fieldPosition="0"/>
    </format>
    <format dxfId="265">
      <pivotArea dataOnly="0" labelOnly="1" fieldPosition="0">
        <references count="1">
          <reference field="36" count="0"/>
        </references>
      </pivotArea>
    </format>
    <format dxfId="264">
      <pivotArea dataOnly="0" labelOnly="1" grandCol="1" outline="0" fieldPosition="0"/>
    </format>
    <format>
      <pivotArea type="all" dataOnly="0" outline="0" fieldPosition="0"/>
    </format>
    <format dxfId="263">
      <pivotArea grandRow="1" outline="0" collapsedLevelsAreSubtotals="1" fieldPosition="0"/>
    </format>
    <format>
      <pivotArea type="all" dataOnly="0" outline="0" fieldPosition="0"/>
    </format>
    <format dxfId="262">
      <pivotArea outline="0" collapsedLevelsAreSubtotals="1" fieldPosition="0">
        <references count="1">
          <reference field="36" count="0" selected="0"/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field="36" type="button" dataOnly="0" labelOnly="1" outline="0" axis="axisCol" fieldPosition="0"/>
    </format>
    <format dxfId="258">
      <pivotArea type="topRight" dataOnly="0" labelOnly="1" outline="0" fieldPosition="0"/>
    </format>
    <format dxfId="257">
      <pivotArea dataOnly="0" labelOnly="1" fieldPosition="0">
        <references count="1">
          <reference field="36" count="0"/>
        </references>
      </pivotArea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37" type="button" dataOnly="0" labelOnly="1" outline="0" axis="axisRow" fieldPosition="0"/>
    </format>
    <format dxfId="253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52">
      <pivotArea dataOnly="0" labelOnly="1" grandRow="1" outline="0" fieldPosition="0"/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type="origin" dataOnly="0" labelOnly="1" outline="0" fieldPosition="0"/>
    </format>
    <format dxfId="248">
      <pivotArea field="36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37" type="button" dataOnly="0" labelOnly="1" outline="0" axis="axisRow" fieldPosition="0"/>
    </format>
    <format dxfId="245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244">
      <pivotArea dataOnly="0" labelOnly="1" grandRow="1" outline="0" fieldPosition="0"/>
    </format>
    <format dxfId="243">
      <pivotArea dataOnly="0" labelOnly="1" fieldPosition="0">
        <references count="1">
          <reference field="36" count="0"/>
        </references>
      </pivotArea>
    </format>
    <format dxfId="242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241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240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37" type="button" dataOnly="0" labelOnly="1" outline="0" axis="axisRow" fieldPosition="0"/>
    </format>
    <format dxfId="237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23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1:H38" firstHeaderRow="1" firstDataRow="2" firstDataCol="1"/>
  <pivotFields count="45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2"/>
        <item h="1" m="1" x="8"/>
        <item x="0"/>
        <item x="4"/>
        <item x="3"/>
        <item x="5"/>
        <item x="1"/>
        <item h="1" m="1" x="9"/>
        <item m="1" x="7"/>
        <item h="1" x="6"/>
        <item t="default"/>
      </items>
    </pivotField>
    <pivotField showAll="0"/>
    <pivotField showAll="0"/>
    <pivotField axis="axisRow" dataField="1" showAll="0" sortType="descending">
      <items count="7">
        <item x="5"/>
        <item x="0"/>
        <item x="4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6">
    <i>
      <x v="1"/>
    </i>
    <i>
      <x v="4"/>
    </i>
    <i>
      <x v="3"/>
    </i>
    <i>
      <x v="5"/>
    </i>
    <i>
      <x v="2"/>
    </i>
    <i t="grand">
      <x/>
    </i>
  </rowItems>
  <colFields count="1">
    <field x="36"/>
  </colFields>
  <colItems count="7">
    <i>
      <x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ntagem de TIPO DE ERRO" fld="39" subtotal="count" baseField="0" baseItem="0" numFmtId="3"/>
  </dataFields>
  <formats count="104">
    <format dxfId="371">
      <pivotArea type="origin" dataOnly="0" labelOnly="1" outline="0" fieldPosition="0"/>
    </format>
    <format dxfId="370">
      <pivotArea field="36" type="button" dataOnly="0" labelOnly="1" outline="0" axis="axisCol" fieldPosition="0"/>
    </format>
    <format dxfId="369">
      <pivotArea type="topRight" dataOnly="0" labelOnly="1" outline="0" fieldPosition="0"/>
    </format>
    <format dxfId="368">
      <pivotArea field="39" type="button" dataOnly="0" labelOnly="1" outline="0" axis="axisRow" fieldPosition="0"/>
    </format>
    <format dxfId="367">
      <pivotArea dataOnly="0" labelOnly="1" fieldPosition="0">
        <references count="1">
          <reference field="36" count="0"/>
        </references>
      </pivotArea>
    </format>
    <format dxfId="366">
      <pivotArea dataOnly="0" labelOnly="1" grandCol="1" outline="0" fieldPosition="0"/>
    </format>
    <format dxfId="365">
      <pivotArea grandRow="1" outline="0" collapsedLevelsAreSubtotals="1" fieldPosition="0"/>
    </format>
    <format dxfId="364">
      <pivotArea outline="0" collapsedLevelsAreSubtotals="1" fieldPosition="0"/>
    </format>
    <format dxfId="363">
      <pivotArea dataOnly="0" labelOnly="1" fieldPosition="0">
        <references count="1">
          <reference field="36" count="0"/>
        </references>
      </pivotArea>
    </format>
    <format dxfId="362">
      <pivotArea dataOnly="0" labelOnly="1" grandCol="1" outline="0" fieldPosition="0"/>
    </format>
    <format dxfId="361">
      <pivotArea type="all" dataOnly="0" outline="0" fieldPosition="0"/>
    </format>
    <format dxfId="360">
      <pivotArea outline="0" collapsedLevelsAreSubtotals="1" fieldPosition="0"/>
    </format>
    <format dxfId="359">
      <pivotArea type="origin" dataOnly="0" labelOnly="1" outline="0" fieldPosition="0"/>
    </format>
    <format dxfId="358">
      <pivotArea field="36" type="button" dataOnly="0" labelOnly="1" outline="0" axis="axisCol" fieldPosition="0"/>
    </format>
    <format dxfId="357">
      <pivotArea type="topRight" dataOnly="0" labelOnly="1" outline="0" fieldPosition="0"/>
    </format>
    <format dxfId="356">
      <pivotArea field="39" type="button" dataOnly="0" labelOnly="1" outline="0" axis="axisRow" fieldPosition="0"/>
    </format>
    <format dxfId="355">
      <pivotArea dataOnly="0" labelOnly="1" grandRow="1" outline="0" fieldPosition="0"/>
    </format>
    <format dxfId="354">
      <pivotArea dataOnly="0" labelOnly="1" fieldPosition="0">
        <references count="1">
          <reference field="36" count="0"/>
        </references>
      </pivotArea>
    </format>
    <format dxfId="353">
      <pivotArea dataOnly="0" labelOnly="1" grandCol="1" outline="0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type="origin" dataOnly="0" labelOnly="1" outline="0" fieldPosition="0"/>
    </format>
    <format dxfId="349">
      <pivotArea field="36" type="button" dataOnly="0" labelOnly="1" outline="0" axis="axisCol" fieldPosition="0"/>
    </format>
    <format dxfId="348">
      <pivotArea type="topRight" dataOnly="0" labelOnly="1" outline="0" fieldPosition="0"/>
    </format>
    <format dxfId="347">
      <pivotArea field="39" type="button" dataOnly="0" labelOnly="1" outline="0" axis="axisRow" fieldPosition="0"/>
    </format>
    <format dxfId="346">
      <pivotArea dataOnly="0" labelOnly="1" grandRow="1" outline="0" fieldPosition="0"/>
    </format>
    <format dxfId="345">
      <pivotArea dataOnly="0" labelOnly="1" fieldPosition="0">
        <references count="1">
          <reference field="36" count="0"/>
        </references>
      </pivotArea>
    </format>
    <format dxfId="344">
      <pivotArea dataOnly="0" labelOnly="1" grandCol="1" outline="0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type="origin" dataOnly="0" labelOnly="1" outline="0" fieldPosition="0"/>
    </format>
    <format dxfId="340">
      <pivotArea field="36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39" type="button" dataOnly="0" labelOnly="1" outline="0" axis="axisRow" fieldPosition="0"/>
    </format>
    <format dxfId="337">
      <pivotArea dataOnly="0" labelOnly="1" grandRow="1" outline="0" fieldPosition="0"/>
    </format>
    <format dxfId="336">
      <pivotArea dataOnly="0" labelOnly="1" fieldPosition="0">
        <references count="1">
          <reference field="36" count="0"/>
        </references>
      </pivotArea>
    </format>
    <format dxfId="335">
      <pivotArea dataOnly="0" labelOnly="1" grandCol="1" outline="0" fieldPosition="0"/>
    </format>
    <format dxfId="334">
      <pivotArea type="all" dataOnly="0" outline="0" fieldPosition="0"/>
    </format>
    <format dxfId="333">
      <pivotArea outline="0" collapsedLevelsAreSubtotals="1" fieldPosition="0"/>
    </format>
    <format dxfId="332">
      <pivotArea type="origin" dataOnly="0" labelOnly="1" outline="0" fieldPosition="0"/>
    </format>
    <format dxfId="331">
      <pivotArea field="36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39" type="button" dataOnly="0" labelOnly="1" outline="0" axis="axisRow" fieldPosition="0"/>
    </format>
    <format dxfId="328">
      <pivotArea dataOnly="0" labelOnly="1" grandRow="1" outline="0" fieldPosition="0"/>
    </format>
    <format dxfId="327">
      <pivotArea dataOnly="0" labelOnly="1" fieldPosition="0">
        <references count="1">
          <reference field="36" count="0"/>
        </references>
      </pivotArea>
    </format>
    <format dxfId="326">
      <pivotArea dataOnly="0" labelOnly="1" grandCol="1" outline="0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39" type="button" dataOnly="0" labelOnly="1" outline="0" axis="axisRow" fieldPosition="0"/>
    </format>
    <format dxfId="321">
      <pivotArea dataOnly="0" labelOnly="1" grandRow="1" outline="0" fieldPosition="0"/>
    </format>
    <format dxfId="320">
      <pivotArea dataOnly="0" labelOnly="1" fieldPosition="0">
        <references count="1">
          <reference field="36" count="0"/>
        </references>
      </pivotArea>
    </format>
    <format dxfId="319">
      <pivotArea dataOnly="0" labelOnly="1" grandCol="1" outline="0" fieldPosition="0"/>
    </format>
    <format dxfId="318">
      <pivotArea type="origin" dataOnly="0" labelOnly="1" outline="0" fieldPosition="0"/>
    </format>
    <format dxfId="317">
      <pivotArea field="39" type="button" dataOnly="0" labelOnly="1" outline="0" axis="axisRow" fieldPosition="0"/>
    </format>
    <format dxfId="316">
      <pivotArea dataOnly="0" labelOnly="1" grandRow="1" outline="0" fieldPosition="0"/>
    </format>
    <format dxfId="315">
      <pivotArea outline="0" collapsedLevelsAreSubtotals="1" fieldPosition="0"/>
    </format>
    <format dxfId="314">
      <pivotArea dataOnly="0" labelOnly="1" fieldPosition="0">
        <references count="1">
          <reference field="36" count="0"/>
        </references>
      </pivotArea>
    </format>
    <format dxfId="313">
      <pivotArea dataOnly="0" labelOnly="1" grandCol="1" outline="0" fieldPosition="0"/>
    </format>
    <format dxfId="312">
      <pivotArea outline="0" collapsedLevelsAreSubtotals="1" fieldPosition="0"/>
    </format>
    <format dxfId="311">
      <pivotArea dataOnly="0" labelOnly="1" fieldPosition="0">
        <references count="1">
          <reference field="36" count="0"/>
        </references>
      </pivotArea>
    </format>
    <format dxfId="310">
      <pivotArea dataOnly="0" labelOnly="1" grandCol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36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39" type="button" dataOnly="0" labelOnly="1" outline="0" axis="axisRow" fieldPosition="0"/>
    </format>
    <format dxfId="303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302">
      <pivotArea dataOnly="0" labelOnly="1" grandRow="1" outline="0" fieldPosition="0"/>
    </format>
    <format dxfId="301">
      <pivotArea dataOnly="0" labelOnly="1" fieldPosition="0">
        <references count="1">
          <reference field="36" count="0"/>
        </references>
      </pivotArea>
    </format>
    <format dxfId="300">
      <pivotArea dataOnly="0" labelOnly="1" grandCol="1" outline="0" fieldPosition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36" type="button" dataOnly="0" labelOnly="1" outline="0" axis="axisCol" fieldPosition="0"/>
    </format>
    <format dxfId="296">
      <pivotArea type="topRight" dataOnly="0" labelOnly="1" outline="0" fieldPosition="0"/>
    </format>
    <format dxfId="295">
      <pivotArea dataOnly="0" labelOnly="1" fieldPosition="0">
        <references count="1">
          <reference field="36" count="0"/>
        </references>
      </pivotArea>
    </format>
    <format dxfId="294">
      <pivotArea dataOnly="0" labelOnly="1" grandCol="1" outline="0" fieldPosition="0"/>
    </format>
    <format dxfId="293">
      <pivotArea type="origin" dataOnly="0" labelOnly="1" outline="0" fieldPosition="0"/>
    </format>
    <format dxfId="292">
      <pivotArea field="39" type="button" dataOnly="0" labelOnly="1" outline="0" axis="axisRow" fieldPosition="0"/>
    </format>
    <format dxfId="291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290">
      <pivotArea dataOnly="0" labelOnly="1" grandRow="1" outline="0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type="origin" dataOnly="0" labelOnly="1" outline="0" fieldPosition="0"/>
    </format>
    <format dxfId="286">
      <pivotArea field="36" type="button" dataOnly="0" labelOnly="1" outline="0" axis="axisCol" fieldPosition="0"/>
    </format>
    <format dxfId="285">
      <pivotArea type="topRight" dataOnly="0" labelOnly="1" outline="0" fieldPosition="0"/>
    </format>
    <format dxfId="284">
      <pivotArea field="39" type="button" dataOnly="0" labelOnly="1" outline="0" axis="axisRow" fieldPosition="0"/>
    </format>
    <format dxfId="283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282">
      <pivotArea dataOnly="0" labelOnly="1" grandRow="1" outline="0" fieldPosition="0"/>
    </format>
    <format dxfId="281">
      <pivotArea dataOnly="0" labelOnly="1" fieldPosition="0">
        <references count="1">
          <reference field="36" count="0"/>
        </references>
      </pivotArea>
    </format>
    <format dxfId="280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39" type="button" dataOnly="0" labelOnly="1" outline="0" axis="axisRow" fieldPosition="0"/>
    </format>
    <format dxfId="277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27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0:I86" firstHeaderRow="1" firstDataRow="2" firstDataCol="1"/>
  <pivotFields count="45">
    <pivotField showAll="0"/>
    <pivotField showAll="0"/>
    <pivotField showAll="0"/>
    <pivotField numFmtId="164"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3"/>
        <item x="1"/>
        <item x="0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4"/>
        <item x="5"/>
        <item m="1" x="9"/>
        <item x="2"/>
        <item x="6"/>
        <item m="1" x="8"/>
        <item m="1" x="10"/>
        <item x="0"/>
        <item x="1"/>
        <item x="7"/>
        <item x="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1"/>
    </i>
    <i>
      <x v="3"/>
    </i>
    <i t="grand">
      <x/>
    </i>
  </rowItems>
  <colFields count="1">
    <field x="42"/>
  </colFields>
  <colItems count="8">
    <i>
      <x/>
    </i>
    <i>
      <x v="1"/>
    </i>
    <i>
      <x v="3"/>
    </i>
    <i>
      <x v="4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405">
      <pivotArea outline="0" collapsedLevelsAreSubtotals="1" fieldPosition="0"/>
    </format>
    <format dxfId="404">
      <pivotArea dataOnly="0" labelOnly="1" grandCol="1" outline="0" fieldPosition="0"/>
    </format>
    <format dxfId="403">
      <pivotArea outline="0" collapsedLevelsAreSubtotals="1" fieldPosition="0"/>
    </format>
    <format dxfId="402">
      <pivotArea dataOnly="0" labelOnly="1" grandCol="1" outline="0" fieldPosition="0"/>
    </format>
    <format dxfId="401">
      <pivotArea type="all" dataOnly="0" outline="0" fieldPosition="0"/>
    </format>
    <format dxfId="400">
      <pivotArea outline="0" collapsedLevelsAreSubtotals="1" fieldPosition="0"/>
    </format>
    <format dxfId="399">
      <pivotArea type="origin" dataOnly="0" labelOnly="1" outline="0" fieldPosition="0"/>
    </format>
    <format dxfId="398">
      <pivotArea type="topRight" dataOnly="0" labelOnly="1" outline="0" fieldPosition="0"/>
    </format>
    <format dxfId="397">
      <pivotArea field="18" type="button" dataOnly="0" labelOnly="1" outline="0" axis="axisRow" fieldPosition="0"/>
    </format>
    <format dxfId="396">
      <pivotArea dataOnly="0" labelOnly="1" fieldPosition="0">
        <references count="1">
          <reference field="18" count="0"/>
        </references>
      </pivotArea>
    </format>
    <format dxfId="395">
      <pivotArea dataOnly="0" labelOnly="1" grandRow="1" outline="0" fieldPosition="0"/>
    </format>
    <format dxfId="394">
      <pivotArea dataOnly="0" labelOnly="1" grandCol="1" outline="0" fieldPosition="0"/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type="topRight" dataOnly="0" labelOnly="1" outline="0" fieldPosition="0"/>
    </format>
    <format dxfId="390">
      <pivotArea dataOnly="0" labelOnly="1" grandCol="1" outline="0" fieldPosition="0"/>
    </format>
    <format dxfId="389">
      <pivotArea type="origin" dataOnly="0" labelOnly="1" outline="0" fieldPosition="0"/>
    </format>
    <format dxfId="388">
      <pivotArea field="18" type="button" dataOnly="0" labelOnly="1" outline="0" axis="axisRow" fieldPosition="0"/>
    </format>
    <format dxfId="387">
      <pivotArea dataOnly="0" labelOnly="1" fieldPosition="0">
        <references count="1">
          <reference field="18" count="0"/>
        </references>
      </pivotArea>
    </format>
    <format dxfId="386">
      <pivotArea dataOnly="0" labelOnly="1" grandRow="1" outline="0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type="origin" dataOnly="0" labelOnly="1" outline="0" fieldPosition="0"/>
    </format>
    <format dxfId="382">
      <pivotArea field="42" type="button" dataOnly="0" labelOnly="1" outline="0" axis="axisCol" fieldPosition="0"/>
    </format>
    <format dxfId="381">
      <pivotArea type="topRight" dataOnly="0" labelOnly="1" outline="0" fieldPosition="0"/>
    </format>
    <format dxfId="380">
      <pivotArea field="18" type="button" dataOnly="0" labelOnly="1" outline="0" axis="axisRow" fieldPosition="0"/>
    </format>
    <format dxfId="379">
      <pivotArea dataOnly="0" labelOnly="1" fieldPosition="0">
        <references count="1">
          <reference field="18" count="0"/>
        </references>
      </pivotArea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376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375">
      <pivotArea type="origin" dataOnly="0" labelOnly="1" outline="0" fieldPosition="0"/>
    </format>
    <format dxfId="374">
      <pivotArea field="18" type="button" dataOnly="0" labelOnly="1" outline="0" axis="axisRow" fieldPosition="0"/>
    </format>
    <format dxfId="373">
      <pivotArea dataOnly="0" labelOnly="1" fieldPosition="0">
        <references count="1">
          <reference field="18" count="0"/>
        </references>
      </pivotArea>
    </format>
    <format dxfId="372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25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2"/>
        <item h="1" m="1" x="8"/>
        <item x="0"/>
        <item x="4"/>
        <item x="3"/>
        <item x="5"/>
        <item x="1"/>
        <item h="1" m="1" x="9"/>
        <item m="1" x="7"/>
        <item h="1" x="6"/>
        <item t="default"/>
      </items>
    </pivotField>
    <pivotField showAll="0"/>
    <pivotField showAll="0"/>
    <pivotField axis="axisRow" subtotalTop="0" showAll="0" sortType="descending">
      <items count="7">
        <item x="5"/>
        <item x="0"/>
        <item x="4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4"/>
        <item x="5"/>
        <item m="1" x="10"/>
        <item x="0"/>
        <item x="1"/>
        <item h="1" x="7"/>
        <item x="2"/>
        <item h="1" x="6"/>
        <item h="1" m="1" x="8"/>
        <item h="1" m="1" x="9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20">
    <i>
      <x v="4"/>
    </i>
    <i r="1">
      <x v="1"/>
    </i>
    <i t="default">
      <x v="4"/>
    </i>
    <i>
      <x v="3"/>
    </i>
    <i r="1">
      <x v="1"/>
    </i>
    <i t="default">
      <x v="3"/>
    </i>
    <i>
      <x/>
    </i>
    <i r="1">
      <x v="1"/>
    </i>
    <i r="1">
      <x v="4"/>
    </i>
    <i r="1">
      <x v="3"/>
    </i>
    <i r="1">
      <x v="5"/>
    </i>
    <i r="1">
      <x v="2"/>
    </i>
    <i t="default">
      <x/>
    </i>
    <i>
      <x v="6"/>
    </i>
    <i r="1">
      <x v="1"/>
    </i>
    <i t="default">
      <x v="6"/>
    </i>
    <i>
      <x v="1"/>
    </i>
    <i r="1">
      <x v="4"/>
    </i>
    <i t="default">
      <x v="1"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4">
    <format dxfId="665">
      <pivotArea field="39" type="button" dataOnly="0" labelOnly="1" outline="0" axis="axisRow" fieldPosition="1"/>
    </format>
    <format dxfId="664">
      <pivotArea outline="0" collapsedLevelsAreSubtotals="1" fieldPosition="0"/>
    </format>
    <format dxfId="663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662">
      <pivotArea dataOnly="0" labelOnly="1" grandCol="1" outline="0" fieldPosition="0"/>
    </format>
    <format dxfId="661">
      <pivotArea dataOnly="0" labelOnly="1" fieldPosition="0">
        <references count="1">
          <reference field="42" count="0"/>
        </references>
      </pivotArea>
    </format>
    <format dxfId="660">
      <pivotArea dataOnly="0" labelOnly="1" fieldPosition="0">
        <references count="1">
          <reference field="42" count="0"/>
        </references>
      </pivotArea>
    </format>
    <format dxfId="659">
      <pivotArea dataOnly="0" labelOnly="1" fieldPosition="0">
        <references count="1">
          <reference field="42" count="0"/>
        </references>
      </pivotArea>
    </format>
    <format dxfId="658">
      <pivotArea dataOnly="0" labelOnly="1" fieldPosition="0">
        <references count="1">
          <reference field="39" count="0"/>
        </references>
      </pivotArea>
    </format>
    <format dxfId="657">
      <pivotArea dataOnly="0" labelOnly="1" outline="0" fieldPosition="0">
        <references count="1">
          <reference field="42" count="0"/>
        </references>
      </pivotArea>
    </format>
    <format dxfId="656">
      <pivotArea type="origin" dataOnly="0" labelOnly="1" outline="0" fieldPosition="0"/>
    </format>
    <format dxfId="655">
      <pivotArea field="42" type="button" dataOnly="0" labelOnly="1" outline="0" axis="axisRow" fieldPosition="0"/>
    </format>
    <format dxfId="654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653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652">
      <pivotArea dataOnly="0" labelOnly="1" fieldPosition="0">
        <references count="1">
          <reference field="42" count="0"/>
        </references>
      </pivotArea>
    </format>
    <format dxfId="651">
      <pivotArea dataOnly="0" labelOnly="1" fieldPosition="0">
        <references count="1">
          <reference field="42" count="0"/>
        </references>
      </pivotArea>
    </format>
    <format dxfId="650">
      <pivotArea dataOnly="0" labelOnly="1" fieldPosition="0">
        <references count="1">
          <reference field="42" count="0"/>
        </references>
      </pivotArea>
    </format>
    <format dxfId="649">
      <pivotArea dataOnly="0" labelOnly="1" fieldPosition="0">
        <references count="1">
          <reference field="42" count="0"/>
        </references>
      </pivotArea>
    </format>
    <format dxfId="648">
      <pivotArea collapsedLevelsAreSubtotals="1" fieldPosition="0">
        <references count="1">
          <reference field="42" count="1">
            <x v="3"/>
          </reference>
        </references>
      </pivotArea>
    </format>
    <format dxfId="647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646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645">
      <pivotArea type="origin" dataOnly="0" labelOnly="1" outline="0" fieldPosition="0"/>
    </format>
    <format dxfId="644">
      <pivotArea field="42" type="button" dataOnly="0" labelOnly="1" outline="0" axis="axisRow" fieldPosition="0"/>
    </format>
    <format dxfId="643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642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641">
      <pivotArea dataOnly="0" labelOnly="1" grandRow="1" outline="0" fieldPosition="0"/>
    </format>
    <format dxfId="640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639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638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637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636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635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634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633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632">
      <pivotArea field="36" type="button" dataOnly="0" labelOnly="1" outline="0" axis="axisCol" fieldPosition="0"/>
    </format>
    <format dxfId="631">
      <pivotArea type="origin" dataOnly="0" labelOnly="1" outline="0" fieldPosition="0"/>
    </format>
    <format dxfId="630">
      <pivotArea type="all" dataOnly="0" outline="0" fieldPosition="0"/>
    </format>
    <format dxfId="629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628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627">
      <pivotArea dataOnly="0" labelOnly="1" grandRow="1" outline="0" fieldPosition="0"/>
    </format>
    <format dxfId="626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625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624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623">
      <pivotArea dataOnly="0" labelOnly="1" fieldPosition="0">
        <references count="1">
          <reference field="42" count="0"/>
        </references>
      </pivotArea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type="origin" dataOnly="0" labelOnly="1" outline="0" fieldPosition="0"/>
    </format>
    <format dxfId="618">
      <pivotArea field="36" type="button" dataOnly="0" labelOnly="1" outline="0" axis="axisCol" fieldPosition="0"/>
    </format>
    <format dxfId="617">
      <pivotArea type="topRight" dataOnly="0" labelOnly="1" outline="0" fieldPosition="0"/>
    </format>
    <format dxfId="616">
      <pivotArea field="42" type="button" dataOnly="0" labelOnly="1" outline="0" axis="axisRow" fieldPosition="0"/>
    </format>
    <format dxfId="615">
      <pivotArea dataOnly="0" labelOnly="1" fieldPosition="0">
        <references count="1">
          <reference field="42" count="0"/>
        </references>
      </pivotArea>
    </format>
    <format dxfId="614">
      <pivotArea dataOnly="0" labelOnly="1" fieldPosition="0">
        <references count="1">
          <reference field="42" count="0" defaultSubtotal="1"/>
        </references>
      </pivotArea>
    </format>
    <format dxfId="613">
      <pivotArea dataOnly="0" labelOnly="1" grandRow="1" outline="0" fieldPosition="0"/>
    </format>
    <format dxfId="612">
      <pivotArea dataOnly="0" labelOnly="1" fieldPosition="0">
        <references count="1">
          <reference field="36" count="0"/>
        </references>
      </pivotArea>
    </format>
    <format dxfId="611">
      <pivotArea dataOnly="0" labelOnly="1" grandCol="1" outline="0" fieldPosition="0"/>
    </format>
    <format dxfId="610">
      <pivotArea type="all" dataOnly="0" outline="0" fieldPosition="0"/>
    </format>
    <format dxfId="609">
      <pivotArea outline="0" collapsedLevelsAreSubtotals="1" fieldPosition="0"/>
    </format>
    <format dxfId="608">
      <pivotArea type="origin" dataOnly="0" labelOnly="1" outline="0" fieldPosition="0"/>
    </format>
    <format dxfId="607">
      <pivotArea field="36" type="button" dataOnly="0" labelOnly="1" outline="0" axis="axisCol" fieldPosition="0"/>
    </format>
    <format dxfId="606">
      <pivotArea type="topRight" dataOnly="0" labelOnly="1" outline="0" fieldPosition="0"/>
    </format>
    <format dxfId="605">
      <pivotArea field="42" type="button" dataOnly="0" labelOnly="1" outline="0" axis="axisRow" fieldPosition="0"/>
    </format>
    <format dxfId="604">
      <pivotArea dataOnly="0" labelOnly="1" fieldPosition="0">
        <references count="1">
          <reference field="42" count="0"/>
        </references>
      </pivotArea>
    </format>
    <format dxfId="603">
      <pivotArea dataOnly="0" labelOnly="1" fieldPosition="0">
        <references count="1">
          <reference field="42" count="0" defaultSubtotal="1"/>
        </references>
      </pivotArea>
    </format>
    <format dxfId="602">
      <pivotArea dataOnly="0" labelOnly="1" grandRow="1" outline="0" fieldPosition="0"/>
    </format>
    <format dxfId="601">
      <pivotArea dataOnly="0" labelOnly="1" fieldPosition="0">
        <references count="1">
          <reference field="36" count="0"/>
        </references>
      </pivotArea>
    </format>
    <format dxfId="600">
      <pivotArea dataOnly="0" labelOnly="1" grandCol="1" outline="0" fieldPosition="0"/>
    </format>
    <format dxfId="599">
      <pivotArea type="all" dataOnly="0" outline="0" fieldPosition="0"/>
    </format>
    <format dxfId="598">
      <pivotArea outline="0" collapsedLevelsAreSubtotals="1" fieldPosition="0"/>
    </format>
    <format dxfId="597">
      <pivotArea type="origin" dataOnly="0" labelOnly="1" outline="0" fieldPosition="0"/>
    </format>
    <format dxfId="596">
      <pivotArea field="36" type="button" dataOnly="0" labelOnly="1" outline="0" axis="axisCol" fieldPosition="0"/>
    </format>
    <format dxfId="595">
      <pivotArea type="topRight" dataOnly="0" labelOnly="1" outline="0" fieldPosition="0"/>
    </format>
    <format dxfId="594">
      <pivotArea field="42" type="button" dataOnly="0" labelOnly="1" outline="0" axis="axisRow" fieldPosition="0"/>
    </format>
    <format dxfId="593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592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591">
      <pivotArea dataOnly="0" labelOnly="1" grandRow="1" outline="0" fieldPosition="0"/>
    </format>
    <format dxfId="590">
      <pivotArea dataOnly="0" labelOnly="1" fieldPosition="0">
        <references count="1">
          <reference field="36" count="0"/>
        </references>
      </pivotArea>
    </format>
    <format dxfId="589">
      <pivotArea dataOnly="0" labelOnly="1" grandCol="1" outline="0" fieldPosition="0"/>
    </format>
    <format dxfId="588">
      <pivotArea type="all" dataOnly="0" outline="0" fieldPosition="0"/>
    </format>
    <format dxfId="587">
      <pivotArea outline="0" collapsedLevelsAreSubtotals="1" fieldPosition="0"/>
    </format>
    <format dxfId="586">
      <pivotArea type="origin" dataOnly="0" labelOnly="1" outline="0" fieldPosition="0"/>
    </format>
    <format dxfId="585">
      <pivotArea field="36" type="button" dataOnly="0" labelOnly="1" outline="0" axis="axisCol" fieldPosition="0"/>
    </format>
    <format dxfId="584">
      <pivotArea type="topRight" dataOnly="0" labelOnly="1" outline="0" fieldPosition="0"/>
    </format>
    <format dxfId="583">
      <pivotArea field="42" type="button" dataOnly="0" labelOnly="1" outline="0" axis="axisRow" fieldPosition="0"/>
    </format>
    <format dxfId="582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581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580">
      <pivotArea dataOnly="0" labelOnly="1" grandRow="1" outline="0" fieldPosition="0"/>
    </format>
    <format dxfId="579">
      <pivotArea dataOnly="0" labelOnly="1" fieldPosition="0">
        <references count="1">
          <reference field="36" count="0"/>
        </references>
      </pivotArea>
    </format>
    <format dxfId="578">
      <pivotArea dataOnly="0" labelOnly="1" grandCol="1" outline="0" fieldPosition="0"/>
    </format>
    <format dxfId="577">
      <pivotArea type="all" dataOnly="0" outline="0" fieldPosition="0"/>
    </format>
    <format dxfId="576">
      <pivotArea outline="0" collapsedLevelsAreSubtotals="1" fieldPosition="0"/>
    </format>
    <format dxfId="575">
      <pivotArea dataOnly="0" labelOnly="1" fieldPosition="0">
        <references count="1">
          <reference field="36" count="0"/>
        </references>
      </pivotArea>
    </format>
    <format dxfId="574">
      <pivotArea dataOnly="0" labelOnly="1" grandCol="1" outline="0" fieldPosition="0"/>
    </format>
    <format dxfId="573">
      <pivotArea dataOnly="0" labelOnly="1" fieldPosition="0">
        <references count="1">
          <reference field="42" count="0"/>
        </references>
      </pivotArea>
    </format>
    <format dxfId="572">
      <pivotArea outline="0" collapsedLevelsAreSubtotals="1" fieldPosition="0"/>
    </format>
    <format dxfId="571">
      <pivotArea dataOnly="0" labelOnly="1" fieldPosition="0">
        <references count="1">
          <reference field="36" count="0"/>
        </references>
      </pivotArea>
    </format>
    <format dxfId="570">
      <pivotArea dataOnly="0" labelOnly="1" grandCol="1" outline="0" fieldPosition="0"/>
    </format>
    <format dxfId="569">
      <pivotArea outline="0" collapsedLevelsAreSubtotals="1" fieldPosition="0"/>
    </format>
    <format dxfId="568">
      <pivotArea dataOnly="0" labelOnly="1" fieldPosition="0">
        <references count="1">
          <reference field="36" count="0"/>
        </references>
      </pivotArea>
    </format>
    <format dxfId="567">
      <pivotArea dataOnly="0" labelOnly="1" grandCol="1" outline="0" fieldPosition="0"/>
    </format>
    <format dxfId="566">
      <pivotArea outline="0" collapsedLevelsAreSubtotals="1" fieldPosition="0"/>
    </format>
    <format dxfId="565">
      <pivotArea dataOnly="0" labelOnly="1" fieldPosition="0">
        <references count="1">
          <reference field="36" count="0"/>
        </references>
      </pivotArea>
    </format>
    <format dxfId="564">
      <pivotArea dataOnly="0" labelOnly="1" grandCol="1" outline="0" fieldPosition="0"/>
    </format>
    <format dxfId="563">
      <pivotArea type="all" dataOnly="0" outline="0" fieldPosition="0"/>
    </format>
    <format dxfId="562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561">
      <pivotArea dataOnly="0" labelOnly="1" fieldPosition="0">
        <references count="1">
          <reference field="42" count="0"/>
        </references>
      </pivotArea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type="origin" dataOnly="0" labelOnly="1" outline="0" fieldPosition="0"/>
    </format>
    <format dxfId="557">
      <pivotArea field="36" type="button" dataOnly="0" labelOnly="1" outline="0" axis="axisCol" fieldPosition="0"/>
    </format>
    <format dxfId="556">
      <pivotArea type="topRight" dataOnly="0" labelOnly="1" outline="0" fieldPosition="0"/>
    </format>
    <format dxfId="555">
      <pivotArea field="42" type="button" dataOnly="0" labelOnly="1" outline="0" axis="axisRow" fieldPosition="0"/>
    </format>
    <format dxfId="554">
      <pivotArea dataOnly="0" labelOnly="1" fieldPosition="0">
        <references count="1">
          <reference field="42" count="0"/>
        </references>
      </pivotArea>
    </format>
    <format dxfId="553">
      <pivotArea dataOnly="0" labelOnly="1" fieldPosition="0">
        <references count="1">
          <reference field="42" count="0" defaultSubtotal="1"/>
        </references>
      </pivotArea>
    </format>
    <format dxfId="552">
      <pivotArea dataOnly="0" labelOnly="1" grandRow="1" outline="0" fieldPosition="0"/>
    </format>
    <format dxfId="55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5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549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548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547">
      <pivotArea dataOnly="0" labelOnly="1" fieldPosition="0">
        <references count="1">
          <reference field="36" count="0"/>
        </references>
      </pivotArea>
    </format>
    <format dxfId="546">
      <pivotArea dataOnly="0" labelOnly="1" grandCol="1" outline="0" fieldPosition="0"/>
    </format>
    <format>
      <pivotArea type="all" dataOnly="0" outline="0" fieldPosition="0"/>
    </format>
    <format dxfId="545">
      <pivotArea type="origin" dataOnly="0" labelOnly="1" outline="0" fieldPosition="0"/>
    </format>
    <format dxfId="544">
      <pivotArea field="36" type="button" dataOnly="0" labelOnly="1" outline="0" axis="axisCol" fieldPosition="0"/>
    </format>
    <format dxfId="543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542">
      <pivotArea dataOnly="0" labelOnly="1" grandCol="1" outline="0" fieldPosition="0"/>
    </format>
    <format dxfId="541">
      <pivotArea collapsedLevelsAreSubtotals="1" fieldPosition="0">
        <references count="1">
          <reference field="42" count="1">
            <x v="1"/>
          </reference>
        </references>
      </pivotArea>
    </format>
    <format dxfId="540">
      <pivotArea collapsedLevelsAreSubtotals="1" fieldPosition="0">
        <references count="1">
          <reference field="42" count="1">
            <x v="3"/>
          </reference>
        </references>
      </pivotArea>
    </format>
    <format dxfId="539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538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537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36">
      <pivotArea collapsedLevelsAreSubtotals="1" fieldPosition="0">
        <references count="1">
          <reference field="42" count="1">
            <x v="0"/>
          </reference>
        </references>
      </pivotArea>
    </format>
    <format dxfId="535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534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533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532">
      <pivotArea outline="0" collapsedLevelsAreSubtotals="1" fieldPosition="0">
        <references count="1">
          <reference field="36" count="0" selected="0"/>
        </references>
      </pivotArea>
    </format>
    <format dxfId="531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530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529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528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527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526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525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24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523">
      <pivotArea grandRow="1" outline="0" collapsedLevelsAreSubtotals="1" fieldPosition="0"/>
    </format>
    <format dxfId="522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521">
      <pivotArea type="all" dataOnly="0" outline="0" fieldPosition="0"/>
    </format>
    <format dxfId="520">
      <pivotArea outline="0" collapsedLevelsAreSubtotals="1" fieldPosition="0"/>
    </format>
    <format dxfId="519">
      <pivotArea field="36" type="button" dataOnly="0" labelOnly="1" outline="0" axis="axisCol" fieldPosition="0"/>
    </format>
    <format dxfId="518">
      <pivotArea type="topRight" dataOnly="0" labelOnly="1" outline="0" fieldPosition="0"/>
    </format>
    <format dxfId="517">
      <pivotArea dataOnly="0" labelOnly="1" fieldPosition="0">
        <references count="1">
          <reference field="36" count="0"/>
        </references>
      </pivotArea>
    </format>
    <format dxfId="516">
      <pivotArea dataOnly="0" labelOnly="1" grandCol="1" outline="0" fieldPosition="0"/>
    </format>
    <format dxfId="51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1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1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51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51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51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509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50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50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50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05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50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50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50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01">
      <pivotArea type="origin" dataOnly="0" labelOnly="1" outline="0" fieldPosition="0"/>
    </format>
    <format dxfId="500">
      <pivotArea field="42" type="button" dataOnly="0" labelOnly="1" outline="0" axis="axisRow" fieldPosition="0"/>
    </format>
    <format dxfId="499">
      <pivotArea dataOnly="0" labelOnly="1" fieldPosition="0">
        <references count="1">
          <reference field="42" count="0"/>
        </references>
      </pivotArea>
    </format>
    <format dxfId="498">
      <pivotArea dataOnly="0" labelOnly="1" fieldPosition="0">
        <references count="1">
          <reference field="42" count="0" defaultSubtotal="1"/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495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94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493">
      <pivotArea type="origin" dataOnly="0" labelOnly="1" outline="0" fieldPosition="0"/>
    </format>
    <format dxfId="492">
      <pivotArea field="42" type="button" dataOnly="0" labelOnly="1" outline="0" axis="axisRow" fieldPosition="0"/>
    </format>
    <format dxfId="491">
      <pivotArea dataOnly="0" labelOnly="1" fieldPosition="0">
        <references count="1">
          <reference field="42" count="0"/>
        </references>
      </pivotArea>
    </format>
    <format dxfId="490">
      <pivotArea dataOnly="0" labelOnly="1" fieldPosition="0">
        <references count="1">
          <reference field="42" count="0" defaultSubtotal="1"/>
        </references>
      </pivotArea>
    </format>
    <format dxfId="489">
      <pivotArea dataOnly="0" labelOnly="1" grandRow="1" outline="0" fieldPosition="0"/>
    </format>
    <format dxfId="488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487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86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type="origin" dataOnly="0" labelOnly="1" outline="0" fieldPosition="0"/>
    </format>
    <format dxfId="482">
      <pivotArea field="36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42" type="button" dataOnly="0" labelOnly="1" outline="0" axis="axisRow" fieldPosition="0"/>
    </format>
    <format dxfId="479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478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477">
      <pivotArea dataOnly="0" labelOnly="1" grandRow="1" outline="0" fieldPosition="0"/>
    </format>
    <format dxfId="476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475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47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73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472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471">
      <pivotArea dataOnly="0" labelOnly="1" grandCol="1" outline="0" fieldPosition="0"/>
    </format>
    <format dxfId="470">
      <pivotArea dataOnly="0" labelOnly="1" fieldPosition="0">
        <references count="1">
          <reference field="42" count="1">
            <x v="4"/>
          </reference>
        </references>
      </pivotArea>
    </format>
    <format dxfId="469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468">
      <pivotArea dataOnly="0" labelOnly="1" fieldPosition="0">
        <references count="1">
          <reference field="42" count="1">
            <x v="4"/>
          </reference>
        </references>
      </pivotArea>
    </format>
    <format dxfId="467">
      <pivotArea dataOnly="0" labelOnly="1" fieldPosition="0">
        <references count="1">
          <reference field="42" count="1">
            <x v="3"/>
          </reference>
        </references>
      </pivotArea>
    </format>
    <format dxfId="466">
      <pivotArea dataOnly="0" labelOnly="1" fieldPosition="0">
        <references count="1">
          <reference field="42" count="1">
            <x v="0"/>
          </reference>
        </references>
      </pivotArea>
    </format>
    <format dxfId="465">
      <pivotArea dataOnly="0" labelOnly="1" fieldPosition="0">
        <references count="1">
          <reference field="42" count="1">
            <x v="6"/>
          </reference>
        </references>
      </pivotArea>
    </format>
    <format dxfId="464">
      <pivotArea dataOnly="0" labelOnly="1" fieldPosition="0">
        <references count="1">
          <reference field="42" count="1">
            <x v="1"/>
          </reference>
        </references>
      </pivotArea>
    </format>
    <format dxfId="463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462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461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460">
      <pivotArea collapsedLevelsAreSubtotals="1" fieldPosition="0">
        <references count="1">
          <reference field="42" count="1">
            <x v="0"/>
          </reference>
        </references>
      </pivotArea>
    </format>
    <format dxfId="459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458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457">
      <pivotArea collapsedLevelsAreSubtotals="1" fieldPosition="0">
        <references count="1">
          <reference field="42" count="1">
            <x v="1"/>
          </reference>
        </references>
      </pivotArea>
    </format>
    <format dxfId="456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455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454">
      <pivotArea collapsedLevelsAreSubtotals="1" fieldPosition="0">
        <references count="1">
          <reference field="42" count="1">
            <x v="6"/>
          </reference>
        </references>
      </pivotArea>
    </format>
    <format dxfId="453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52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451">
      <pivotArea collapsedLevelsAreSubtotals="1" fieldPosition="0">
        <references count="1">
          <reference field="42" count="1">
            <x v="3"/>
          </reference>
        </references>
      </pivotArea>
    </format>
    <format dxfId="450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449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448">
      <pivotArea grandRow="1" outline="0" collapsedLevelsAreSubtotals="1" fieldPosition="0"/>
    </format>
    <format dxfId="447">
      <pivotArea dataOnly="0" labelOnly="1" fieldPosition="0">
        <references count="1">
          <reference field="42" count="0"/>
        </references>
      </pivotArea>
    </format>
    <format dxfId="44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4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44">
      <pivotArea dataOnly="0" labelOnly="1" fieldPosition="0">
        <references count="1">
          <reference field="42" count="0"/>
        </references>
      </pivotArea>
    </format>
    <format dxfId="44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4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41">
      <pivotArea dataOnly="0" labelOnly="1" fieldPosition="0">
        <references count="1">
          <reference field="42" count="1">
            <x v="2"/>
          </reference>
        </references>
      </pivotArea>
    </format>
    <format dxfId="44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43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43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43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436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43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434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433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432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431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43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429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428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42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426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425">
      <pivotArea type="origin" dataOnly="0" labelOnly="1" outline="0" fieldPosition="0"/>
    </format>
    <format dxfId="424">
      <pivotArea field="42" type="button" dataOnly="0" labelOnly="1" outline="0" axis="axisRow" fieldPosition="0"/>
    </format>
    <format dxfId="423">
      <pivotArea dataOnly="0" labelOnly="1" fieldPosition="0">
        <references count="1">
          <reference field="42" count="0"/>
        </references>
      </pivotArea>
    </format>
    <format dxfId="422">
      <pivotArea dataOnly="0" labelOnly="1" fieldPosition="0">
        <references count="1">
          <reference field="42" count="0" defaultSubtotal="1"/>
        </references>
      </pivotArea>
    </format>
    <format dxfId="421">
      <pivotArea dataOnly="0" labelOnly="1" grandRow="1" outline="0" fieldPosition="0"/>
    </format>
    <format dxfId="420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1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418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417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416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415">
      <pivotArea type="origin" dataOnly="0" labelOnly="1" outline="0" fieldPosition="0"/>
    </format>
    <format dxfId="414">
      <pivotArea field="42" type="button" dataOnly="0" labelOnly="1" outline="0" axis="axisRow" fieldPosition="0"/>
    </format>
    <format dxfId="413">
      <pivotArea dataOnly="0" labelOnly="1" fieldPosition="0">
        <references count="1">
          <reference field="42" count="0"/>
        </references>
      </pivotArea>
    </format>
    <format dxfId="412">
      <pivotArea dataOnly="0" labelOnly="1" fieldPosition="0">
        <references count="1">
          <reference field="42" count="0" defaultSubtotal="1"/>
        </references>
      </pivotArea>
    </format>
    <format dxfId="411">
      <pivotArea dataOnly="0" labelOnly="1" grandRow="1" outline="0" fieldPosition="0"/>
    </format>
    <format dxfId="410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0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408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407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406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8:I75" firstHeaderRow="1" firstDataRow="2" firstDataCol="1"/>
  <pivotFields count="45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axis="axisRow" showAll="0">
      <items count="9">
        <item x="3"/>
        <item x="0"/>
        <item x="1"/>
        <item x="2"/>
        <item x="4"/>
        <item m="1" x="7"/>
        <item m="1"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4"/>
        <item x="5"/>
        <item m="1" x="9"/>
        <item x="2"/>
        <item x="6"/>
        <item m="1" x="8"/>
        <item m="1" x="10"/>
        <item x="0"/>
        <item x="1"/>
        <item h="1" x="7"/>
        <item x="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2"/>
  </colFields>
  <colItems count="8">
    <i>
      <x/>
    </i>
    <i>
      <x v="1"/>
    </i>
    <i>
      <x v="3"/>
    </i>
    <i>
      <x v="4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734">
      <pivotArea outline="0" collapsedLevelsAreSubtotals="1" fieldPosition="0"/>
    </format>
    <format dxfId="733">
      <pivotArea dataOnly="0" labelOnly="1" grandCol="1" outline="0" fieldPosition="0"/>
    </format>
    <format dxfId="732">
      <pivotArea type="all" dataOnly="0" outline="0" fieldPosition="0"/>
    </format>
    <format dxfId="731">
      <pivotArea outline="0" collapsedLevelsAreSubtotals="1" fieldPosition="0"/>
    </format>
    <format dxfId="730">
      <pivotArea type="origin" dataOnly="0" labelOnly="1" outline="0" fieldPosition="0"/>
    </format>
    <format dxfId="729">
      <pivotArea type="topRight" dataOnly="0" labelOnly="1" outline="0" fieldPosition="0"/>
    </format>
    <format dxfId="728">
      <pivotArea dataOnly="0" labelOnly="1" grandRow="1" outline="0" fieldPosition="0"/>
    </format>
    <format dxfId="727">
      <pivotArea dataOnly="0" labelOnly="1" grandCol="1" outline="0" fieldPosition="0"/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type="origin" dataOnly="0" labelOnly="1" outline="0" fieldPosition="0"/>
    </format>
    <format dxfId="723">
      <pivotArea type="topRight" dataOnly="0" labelOnly="1" outline="0" fieldPosition="0"/>
    </format>
    <format dxfId="722">
      <pivotArea dataOnly="0" labelOnly="1" grandRow="1" outline="0" fieldPosition="0"/>
    </format>
    <format dxfId="721">
      <pivotArea dataOnly="0" labelOnly="1" grandCol="1" outline="0" fieldPosition="0"/>
    </format>
    <format dxfId="720">
      <pivotArea type="all" dataOnly="0" outline="0" fieldPosition="0"/>
    </format>
    <format dxfId="719">
      <pivotArea outline="0" collapsedLevelsAreSubtotals="1" fieldPosition="0"/>
    </format>
    <format dxfId="718">
      <pivotArea type="origin" dataOnly="0" labelOnly="1" outline="0" fieldPosition="0"/>
    </format>
    <format dxfId="717">
      <pivotArea type="topRight" dataOnly="0" labelOnly="1" outline="0" fieldPosition="0"/>
    </format>
    <format dxfId="716">
      <pivotArea dataOnly="0" labelOnly="1" grandRow="1" outline="0" fieldPosition="0"/>
    </format>
    <format dxfId="715">
      <pivotArea dataOnly="0" labelOnly="1" grandCol="1" outline="0" fieldPosition="0"/>
    </format>
    <format dxfId="714">
      <pivotArea type="all" dataOnly="0" outline="0" fieldPosition="0"/>
    </format>
    <format dxfId="713">
      <pivotArea outline="0" collapsedLevelsAreSubtotals="1" fieldPosition="0"/>
    </format>
    <format dxfId="712">
      <pivotArea type="origin" dataOnly="0" labelOnly="1" outline="0" fieldPosition="0"/>
    </format>
    <format dxfId="711">
      <pivotArea type="topRight" dataOnly="0" labelOnly="1" outline="0" fieldPosition="0"/>
    </format>
    <format dxfId="710">
      <pivotArea dataOnly="0" labelOnly="1" grandRow="1" outline="0" fieldPosition="0"/>
    </format>
    <format dxfId="709">
      <pivotArea dataOnly="0" labelOnly="1" grandCol="1" outline="0" fieldPosition="0"/>
    </format>
    <format dxfId="708">
      <pivotArea type="all" dataOnly="0" outline="0" fieldPosition="0"/>
    </format>
    <format dxfId="707">
      <pivotArea outline="0" collapsedLevelsAreSubtotals="1" fieldPosition="0"/>
    </format>
    <format dxfId="706">
      <pivotArea type="origin" dataOnly="0" labelOnly="1" outline="0" fieldPosition="0"/>
    </format>
    <format dxfId="705">
      <pivotArea dataOnly="0" labelOnly="1" grandRow="1" outline="0" fieldPosition="0"/>
    </format>
    <format dxfId="704">
      <pivotArea dataOnly="0" labelOnly="1" grandCol="1" outline="0" fieldPosition="0"/>
    </format>
    <format dxfId="703">
      <pivotArea type="origin" dataOnly="0" labelOnly="1" outline="0" fieldPosition="0"/>
    </format>
    <format dxfId="702">
      <pivotArea dataOnly="0" labelOnly="1" grandRow="1" outline="0" fieldPosition="0"/>
    </format>
    <format dxfId="701">
      <pivotArea outline="0" collapsedLevelsAreSubtotals="1" fieldPosition="0"/>
    </format>
    <format dxfId="700">
      <pivotArea dataOnly="0" labelOnly="1" grandCol="1" outline="0" fieldPosition="0"/>
    </format>
    <format dxfId="699">
      <pivotArea outline="0" collapsedLevelsAreSubtotals="1" fieldPosition="0"/>
    </format>
    <format dxfId="698">
      <pivotArea dataOnly="0" labelOnly="1" grandCol="1" outline="0" fieldPosition="0"/>
    </format>
    <format>
      <pivotArea dataOnly="0" labelOnly="1" grandCol="1" outline="0" fieldPosition="0"/>
    </format>
    <format dxfId="697">
      <pivotArea dataOnly="0" labelOnly="1" grandCol="1" outline="0" fieldPosition="0"/>
    </format>
    <format dxfId="696">
      <pivotArea outline="0" collapsedLevelsAreSubtotals="1" fieldPosition="0"/>
    </format>
    <format dxfId="695">
      <pivotArea dataOnly="0" labelOnly="1" grandCol="1" outline="0" fieldPosition="0"/>
    </format>
    <format dxfId="694">
      <pivotArea type="all" dataOnly="0" outline="0" fieldPosition="0"/>
    </format>
    <format dxfId="693">
      <pivotArea outline="0" collapsedLevelsAreSubtotals="1" fieldPosition="0"/>
    </format>
    <format dxfId="692">
      <pivotArea type="origin" dataOnly="0" labelOnly="1" outline="0" fieldPosition="0"/>
    </format>
    <format dxfId="691">
      <pivotArea type="topRight" dataOnly="0" labelOnly="1" outline="0" fieldPosition="0"/>
    </format>
    <format dxfId="690">
      <pivotArea dataOnly="0" labelOnly="1" grandRow="1" outline="0" fieldPosition="0"/>
    </format>
    <format dxfId="689">
      <pivotArea dataOnly="0" labelOnly="1" grandCol="1" outline="0" fieldPosition="0"/>
    </format>
    <format dxfId="688">
      <pivotArea type="all" dataOnly="0" outline="0" fieldPosition="0"/>
    </format>
    <format dxfId="687">
      <pivotArea outline="0" collapsedLevelsAreSubtotals="1" fieldPosition="0"/>
    </format>
    <format dxfId="686">
      <pivotArea type="topRight" dataOnly="0" labelOnly="1" outline="0" fieldPosition="0"/>
    </format>
    <format dxfId="685">
      <pivotArea dataOnly="0" labelOnly="1" grandCol="1" outline="0" fieldPosition="0"/>
    </format>
    <format dxfId="684">
      <pivotArea type="origin" dataOnly="0" labelOnly="1" outline="0" fieldPosition="0"/>
    </format>
    <format dxfId="683">
      <pivotArea dataOnly="0" labelOnly="1" grandRow="1" outline="0" fieldPosition="0"/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type="origin" dataOnly="0" labelOnly="1" outline="0" fieldPosition="0"/>
    </format>
    <format dxfId="679">
      <pivotArea field="42" type="button" dataOnly="0" labelOnly="1" outline="0" axis="axisCol" fieldPosition="0"/>
    </format>
    <format dxfId="678">
      <pivotArea type="topRight" dataOnly="0" labelOnly="1" outline="0" fieldPosition="0"/>
    </format>
    <format dxfId="677">
      <pivotArea dataOnly="0" labelOnly="1" grandRow="1" outline="0" fieldPosition="0"/>
    </format>
    <format dxfId="676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675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674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673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672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671">
      <pivotArea collapsedLevelsAreSubtotals="1" fieldPosition="0">
        <references count="1">
          <reference field="5" count="1">
            <x v="4"/>
          </reference>
        </references>
      </pivotArea>
    </format>
    <format dxfId="670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669">
      <pivotArea type="origin" dataOnly="0" labelOnly="1" outline="0" fieldPosition="0"/>
    </format>
    <format dxfId="668">
      <pivotArea field="5" type="button" dataOnly="0" labelOnly="1" outline="0" axis="axisRow" fieldPosition="0"/>
    </format>
    <format dxfId="667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66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2:T101" firstHeaderRow="1" firstDataRow="2" firstDataCol="1"/>
  <pivotFields count="45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6">
        <item x="20"/>
        <item x="6"/>
        <item x="15"/>
        <item x="18"/>
        <item x="7"/>
        <item x="54"/>
        <item m="1" x="91"/>
        <item x="22"/>
        <item x="49"/>
        <item x="5"/>
        <item m="1" x="77"/>
        <item x="36"/>
        <item x="27"/>
        <item m="1" x="100"/>
        <item x="29"/>
        <item x="21"/>
        <item x="11"/>
        <item x="12"/>
        <item x="45"/>
        <item m="1" x="66"/>
        <item x="57"/>
        <item x="43"/>
        <item x="31"/>
        <item x="3"/>
        <item x="56"/>
        <item x="24"/>
        <item m="1" x="70"/>
        <item m="1" x="64"/>
        <item x="19"/>
        <item m="1" x="58"/>
        <item x="1"/>
        <item x="4"/>
        <item x="48"/>
        <item x="47"/>
        <item m="1" x="82"/>
        <item x="46"/>
        <item x="0"/>
        <item x="2"/>
        <item x="13"/>
        <item m="1" x="67"/>
        <item m="1" x="88"/>
        <item x="30"/>
        <item x="25"/>
        <item x="14"/>
        <item m="1" x="59"/>
        <item x="8"/>
        <item m="1" x="71"/>
        <item m="1" x="80"/>
        <item m="1" x="104"/>
        <item x="50"/>
        <item x="28"/>
        <item x="26"/>
        <item x="16"/>
        <item x="32"/>
        <item x="33"/>
        <item x="34"/>
        <item x="42"/>
        <item x="23"/>
        <item m="1" x="61"/>
        <item x="55"/>
        <item x="17"/>
        <item m="1" x="95"/>
        <item m="1" x="76"/>
        <item x="51"/>
        <item m="1" x="85"/>
        <item x="52"/>
        <item m="1" x="86"/>
        <item m="1" x="102"/>
        <item x="35"/>
        <item x="37"/>
        <item m="1" x="63"/>
        <item m="1" x="87"/>
        <item m="1" x="103"/>
        <item m="1" x="75"/>
        <item x="44"/>
        <item m="1" x="74"/>
        <item m="1" x="73"/>
        <item m="1" x="60"/>
        <item m="1" x="99"/>
        <item m="1" x="94"/>
        <item m="1" x="72"/>
        <item x="9"/>
        <item x="10"/>
        <item m="1" x="98"/>
        <item m="1" x="93"/>
        <item m="1" x="65"/>
        <item m="1" x="69"/>
        <item m="1" x="101"/>
        <item m="1" x="62"/>
        <item m="1" x="81"/>
        <item m="1" x="96"/>
        <item m="1" x="97"/>
        <item m="1" x="78"/>
        <item x="53"/>
        <item x="38"/>
        <item m="1" x="79"/>
        <item m="1" x="89"/>
        <item x="41"/>
        <item m="1" x="92"/>
        <item x="40"/>
        <item x="39"/>
        <item m="1" x="90"/>
        <item m="1" x="83"/>
        <item m="1" x="84"/>
        <item m="1" x="6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0"/>
        <item x="4"/>
        <item x="3"/>
        <item m="1" x="7"/>
        <item h="1" x="6"/>
        <item x="2"/>
        <item x="5"/>
        <item x="1"/>
        <item h="1" m="1" x="8"/>
        <item h="1"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58">
    <i>
      <x v="42"/>
    </i>
    <i>
      <x v="14"/>
    </i>
    <i>
      <x v="94"/>
    </i>
    <i>
      <x v="2"/>
    </i>
    <i>
      <x v="30"/>
    </i>
    <i>
      <x v="8"/>
    </i>
    <i>
      <x v="1"/>
    </i>
    <i>
      <x v="12"/>
    </i>
    <i>
      <x v="18"/>
    </i>
    <i>
      <x v="56"/>
    </i>
    <i>
      <x v="31"/>
    </i>
    <i>
      <x v="97"/>
    </i>
    <i>
      <x v="15"/>
    </i>
    <i>
      <x v="3"/>
    </i>
    <i>
      <x v="23"/>
    </i>
    <i>
      <x v="54"/>
    </i>
    <i>
      <x v="100"/>
    </i>
    <i>
      <x v="17"/>
    </i>
    <i>
      <x v="41"/>
    </i>
    <i>
      <x v="69"/>
    </i>
    <i>
      <x/>
    </i>
    <i>
      <x v="36"/>
    </i>
    <i>
      <x v="21"/>
    </i>
    <i>
      <x v="37"/>
    </i>
    <i>
      <x v="57"/>
    </i>
    <i>
      <x v="55"/>
    </i>
    <i>
      <x v="74"/>
    </i>
    <i>
      <x v="22"/>
    </i>
    <i>
      <x v="81"/>
    </i>
    <i>
      <x v="28"/>
    </i>
    <i>
      <x v="43"/>
    </i>
    <i>
      <x v="24"/>
    </i>
    <i>
      <x v="99"/>
    </i>
    <i>
      <x v="4"/>
    </i>
    <i>
      <x v="82"/>
    </i>
    <i>
      <x v="7"/>
    </i>
    <i>
      <x v="33"/>
    </i>
    <i>
      <x v="16"/>
    </i>
    <i>
      <x v="51"/>
    </i>
    <i>
      <x v="25"/>
    </i>
    <i>
      <x v="53"/>
    </i>
    <i>
      <x v="35"/>
    </i>
    <i>
      <x v="5"/>
    </i>
    <i>
      <x v="49"/>
    </i>
    <i>
      <x v="50"/>
    </i>
    <i>
      <x v="63"/>
    </i>
    <i>
      <x v="9"/>
    </i>
    <i>
      <x v="52"/>
    </i>
    <i>
      <x v="11"/>
    </i>
    <i>
      <x v="68"/>
    </i>
    <i>
      <x v="93"/>
    </i>
    <i>
      <x v="45"/>
    </i>
    <i>
      <x v="32"/>
    </i>
    <i>
      <x v="38"/>
    </i>
    <i>
      <x v="65"/>
    </i>
    <i>
      <x v="59"/>
    </i>
    <i>
      <x v="60"/>
    </i>
    <i t="grand">
      <x/>
    </i>
  </rowItems>
  <colFields count="1">
    <field x="36"/>
  </colFields>
  <colItems count="7">
    <i>
      <x/>
    </i>
    <i>
      <x v="1"/>
    </i>
    <i>
      <x v="2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49">
    <format dxfId="959">
      <pivotArea field="25" grandCol="1" collapsedLevelsAreSubtotals="1" axis="axisRow" fieldPosition="0">
        <references count="1">
          <reference field="25" count="0"/>
        </references>
      </pivotArea>
    </format>
    <format dxfId="958">
      <pivotArea type="all" dataOnly="0" outline="0" fieldPosition="0"/>
    </format>
    <format dxfId="957">
      <pivotArea outline="0" collapsedLevelsAreSubtotals="1" fieldPosition="0"/>
    </format>
    <format dxfId="956">
      <pivotArea type="origin" dataOnly="0" labelOnly="1" outline="0" fieldPosition="0"/>
    </format>
    <format dxfId="955">
      <pivotArea field="25" type="button" dataOnly="0" labelOnly="1" outline="0" axis="axisRow" fieldPosition="0"/>
    </format>
    <format dxfId="954">
      <pivotArea dataOnly="0" labelOnly="1" fieldPosition="0">
        <references count="1">
          <reference field="25" count="0"/>
        </references>
      </pivotArea>
    </format>
    <format dxfId="953">
      <pivotArea dataOnly="0" labelOnly="1" grandRow="1" outline="0" fieldPosition="0"/>
    </format>
    <format dxfId="952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951">
      <pivotArea dataOnly="0" labelOnly="1" grandCol="1" outline="0" fieldPosition="0"/>
    </format>
    <format dxfId="950">
      <pivotArea outline="0" collapsedLevelsAreSubtotals="1" fieldPosition="0"/>
    </format>
    <format dxfId="949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948">
      <pivotArea dataOnly="0" labelOnly="1" grandCol="1" outline="0" fieldPosition="0"/>
    </format>
    <format dxfId="947">
      <pivotArea field="25" grandCol="1" collapsedLevelsAreSubtotals="1" axis="axisRow" fieldPosition="0">
        <references count="1">
          <reference field="25" count="0"/>
        </references>
      </pivotArea>
    </format>
    <format dxfId="946">
      <pivotArea type="origin" dataOnly="0" labelOnly="1" outline="0" fieldPosition="0"/>
    </format>
    <format dxfId="945">
      <pivotArea field="25" type="button" dataOnly="0" labelOnly="1" outline="0" axis="axisRow" fieldPosition="0"/>
    </format>
    <format dxfId="944">
      <pivotArea dataOnly="0" labelOnly="1" fieldPosition="0">
        <references count="1">
          <reference field="25" count="0"/>
        </references>
      </pivotArea>
    </format>
    <format dxfId="943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942">
      <pivotArea type="origin" dataOnly="0" labelOnly="1" outline="0" fieldPosition="0"/>
    </format>
    <format dxfId="941">
      <pivotArea field="25" type="button" dataOnly="0" labelOnly="1" outline="0" axis="axisRow" fieldPosition="0"/>
    </format>
    <format dxfId="940">
      <pivotArea dataOnly="0" labelOnly="1" fieldPosition="0">
        <references count="1">
          <reference field="25" count="0"/>
        </references>
      </pivotArea>
    </format>
    <format dxfId="939">
      <pivotArea dataOnly="0" labelOnly="1" grandRow="1" outline="0" fieldPosition="0"/>
    </format>
    <format dxfId="938">
      <pivotArea type="all" dataOnly="0" outline="0" fieldPosition="0"/>
    </format>
    <format dxfId="937">
      <pivotArea outline="0" collapsedLevelsAreSubtotals="1" fieldPosition="0"/>
    </format>
    <format dxfId="936">
      <pivotArea type="origin" dataOnly="0" labelOnly="1" outline="0" fieldPosition="0"/>
    </format>
    <format dxfId="935">
      <pivotArea field="36" type="button" dataOnly="0" labelOnly="1" outline="0" axis="axisCol" fieldPosition="0"/>
    </format>
    <format dxfId="934">
      <pivotArea type="topRight" dataOnly="0" labelOnly="1" outline="0" fieldPosition="0"/>
    </format>
    <format dxfId="933">
      <pivotArea field="25" type="button" dataOnly="0" labelOnly="1" outline="0" axis="axisRow" fieldPosition="0"/>
    </format>
    <format dxfId="932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931">
      <pivotArea dataOnly="0" labelOnly="1" grandRow="1" outline="0" fieldPosition="0"/>
    </format>
    <format dxfId="930">
      <pivotArea dataOnly="0" labelOnly="1" fieldPosition="0">
        <references count="1">
          <reference field="36" count="0"/>
        </references>
      </pivotArea>
    </format>
    <format dxfId="929">
      <pivotArea dataOnly="0" labelOnly="1" grandCol="1" outline="0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type="origin" dataOnly="0" labelOnly="1" outline="0" fieldPosition="0"/>
    </format>
    <format dxfId="925">
      <pivotArea field="36" type="button" dataOnly="0" labelOnly="1" outline="0" axis="axisCol" fieldPosition="0"/>
    </format>
    <format dxfId="924">
      <pivotArea type="topRight" dataOnly="0" labelOnly="1" outline="0" fieldPosition="0"/>
    </format>
    <format dxfId="923">
      <pivotArea field="25" type="button" dataOnly="0" labelOnly="1" outline="0" axis="axisRow" fieldPosition="0"/>
    </format>
    <format dxfId="922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921">
      <pivotArea dataOnly="0" labelOnly="1" grandRow="1" outline="0" fieldPosition="0"/>
    </format>
    <format dxfId="920">
      <pivotArea dataOnly="0" labelOnly="1" fieldPosition="0">
        <references count="1">
          <reference field="36" count="0"/>
        </references>
      </pivotArea>
    </format>
    <format dxfId="919">
      <pivotArea dataOnly="0" labelOnly="1" grandCol="1" outline="0" fieldPosition="0"/>
    </format>
    <format dxfId="918">
      <pivotArea type="all" dataOnly="0" outline="0" fieldPosition="0"/>
    </format>
    <format dxfId="917">
      <pivotArea outline="0" collapsedLevelsAreSubtotals="1" fieldPosition="0"/>
    </format>
    <format dxfId="916">
      <pivotArea type="origin" dataOnly="0" labelOnly="1" outline="0" fieldPosition="0"/>
    </format>
    <format dxfId="915">
      <pivotArea field="36" type="button" dataOnly="0" labelOnly="1" outline="0" axis="axisCol" fieldPosition="0"/>
    </format>
    <format dxfId="914">
      <pivotArea type="topRight" dataOnly="0" labelOnly="1" outline="0" fieldPosition="0"/>
    </format>
    <format dxfId="913">
      <pivotArea field="25" type="button" dataOnly="0" labelOnly="1" outline="0" axis="axisRow" fieldPosition="0"/>
    </format>
    <format dxfId="912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911">
      <pivotArea dataOnly="0" labelOnly="1" grandRow="1" outline="0" fieldPosition="0"/>
    </format>
    <format dxfId="910">
      <pivotArea dataOnly="0" labelOnly="1" fieldPosition="0">
        <references count="1">
          <reference field="36" count="0"/>
        </references>
      </pivotArea>
    </format>
    <format dxfId="909">
      <pivotArea dataOnly="0" labelOnly="1" grandCol="1" outline="0" fieldPosition="0"/>
    </format>
    <format dxfId="908">
      <pivotArea type="all" dataOnly="0" outline="0" fieldPosition="0"/>
    </format>
    <format dxfId="907">
      <pivotArea outline="0" collapsedLevelsAreSubtotals="1" fieldPosition="0"/>
    </format>
    <format dxfId="906">
      <pivotArea type="origin" dataOnly="0" labelOnly="1" outline="0" fieldPosition="0"/>
    </format>
    <format dxfId="905">
      <pivotArea field="36" type="button" dataOnly="0" labelOnly="1" outline="0" axis="axisCol" fieldPosition="0"/>
    </format>
    <format dxfId="904">
      <pivotArea type="topRight" dataOnly="0" labelOnly="1" outline="0" fieldPosition="0"/>
    </format>
    <format dxfId="903">
      <pivotArea field="25" type="button" dataOnly="0" labelOnly="1" outline="0" axis="axisRow" fieldPosition="0"/>
    </format>
    <format dxfId="902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901">
      <pivotArea dataOnly="0" labelOnly="1" grandRow="1" outline="0" fieldPosition="0"/>
    </format>
    <format dxfId="900">
      <pivotArea dataOnly="0" labelOnly="1" fieldPosition="0">
        <references count="1">
          <reference field="36" count="0"/>
        </references>
      </pivotArea>
    </format>
    <format dxfId="899">
      <pivotArea dataOnly="0" labelOnly="1" grandCol="1" outline="0" fieldPosition="0"/>
    </format>
    <format dxfId="898">
      <pivotArea type="all" dataOnly="0" outline="0" fieldPosition="0"/>
    </format>
    <format dxfId="897">
      <pivotArea outline="0" collapsedLevelsAreSubtotals="1" fieldPosition="0"/>
    </format>
    <format dxfId="896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895">
      <pivotArea dataOnly="0" labelOnly="1" fieldPosition="0">
        <references count="1">
          <reference field="36" count="0"/>
        </references>
      </pivotArea>
    </format>
    <format dxfId="894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893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892">
      <pivotArea outline="0" collapsedLevelsAreSubtotals="1" fieldPosition="0"/>
    </format>
    <format dxfId="891">
      <pivotArea dataOnly="0" labelOnly="1" fieldPosition="0">
        <references count="1">
          <reference field="36" count="0"/>
        </references>
      </pivotArea>
    </format>
    <format dxfId="890">
      <pivotArea dataOnly="0" labelOnly="1" grandCol="1" outline="0" fieldPosition="0"/>
    </format>
    <format dxfId="889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888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887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886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885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884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883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882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881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880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879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878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877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876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875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874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873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872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871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870">
      <pivotArea type="all" dataOnly="0" outline="0" fieldPosition="0"/>
    </format>
    <format dxfId="869">
      <pivotArea outline="0" collapsedLevelsAreSubtotals="1" fieldPosition="0"/>
    </format>
    <format dxfId="868">
      <pivotArea type="origin" dataOnly="0" labelOnly="1" outline="0" fieldPosition="0"/>
    </format>
    <format dxfId="867">
      <pivotArea field="36" type="button" dataOnly="0" labelOnly="1" outline="0" axis="axisCol" fieldPosition="0"/>
    </format>
    <format dxfId="866">
      <pivotArea type="topRight" dataOnly="0" labelOnly="1" outline="0" fieldPosition="0"/>
    </format>
    <format dxfId="865">
      <pivotArea field="25" type="button" dataOnly="0" labelOnly="1" outline="0" axis="axisRow" fieldPosition="0"/>
    </format>
    <format dxfId="864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863">
      <pivotArea dataOnly="0" labelOnly="1" grandRow="1" outline="0" fieldPosition="0"/>
    </format>
    <format dxfId="862">
      <pivotArea dataOnly="0" labelOnly="1" fieldPosition="0">
        <references count="1">
          <reference field="36" count="0"/>
        </references>
      </pivotArea>
    </format>
    <format dxfId="861">
      <pivotArea dataOnly="0" labelOnly="1" grandCol="1" outline="0" fieldPosition="0"/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36" type="button" dataOnly="0" labelOnly="1" outline="0" axis="axisCol" fieldPosition="0"/>
    </format>
    <format dxfId="857">
      <pivotArea type="topRight" dataOnly="0" labelOnly="1" outline="0" fieldPosition="0"/>
    </format>
    <format dxfId="856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855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854">
      <pivotArea dataOnly="0" labelOnly="1" fieldPosition="0">
        <references count="1">
          <reference field="36" count="0"/>
        </references>
      </pivotArea>
    </format>
    <format dxfId="853">
      <pivotArea dataOnly="0" labelOnly="1" grandCol="1" outline="0" fieldPosition="0"/>
    </format>
    <format dxfId="852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851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850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849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848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847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846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845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844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843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842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841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840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839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83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837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83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835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834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833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832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831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830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829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828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827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826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825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824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823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822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821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820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819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81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817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81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815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814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813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812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811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81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809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80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807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806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805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804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803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802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801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800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799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798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797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796">
      <pivotArea type="origin" dataOnly="0" labelOnly="1" outline="0" fieldPosition="0"/>
    </format>
    <format dxfId="795">
      <pivotArea field="25" type="button" dataOnly="0" labelOnly="1" outline="0" axis="axisRow" fieldPosition="0"/>
    </format>
    <format dxfId="794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793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792">
      <pivotArea dataOnly="0" labelOnly="1" grandRow="1" outline="0" fieldPosition="0"/>
    </format>
    <format dxfId="791">
      <pivotArea type="origin" dataOnly="0" labelOnly="1" outline="0" fieldPosition="0"/>
    </format>
    <format dxfId="790">
      <pivotArea field="25" type="button" dataOnly="0" labelOnly="1" outline="0" axis="axisRow" fieldPosition="0"/>
    </format>
    <format dxfId="789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788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787">
      <pivotArea dataOnly="0" labelOnly="1" grandRow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type="origin" dataOnly="0" labelOnly="1" outline="0" fieldPosition="0"/>
    </format>
    <format dxfId="783">
      <pivotArea field="36" type="button" dataOnly="0" labelOnly="1" outline="0" axis="axisCol" fieldPosition="0"/>
    </format>
    <format dxfId="782">
      <pivotArea type="topRight" dataOnly="0" labelOnly="1" outline="0" fieldPosition="0"/>
    </format>
    <format dxfId="781">
      <pivotArea field="25" type="button" dataOnly="0" labelOnly="1" outline="0" axis="axisRow" fieldPosition="0"/>
    </format>
    <format dxfId="780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779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778">
      <pivotArea dataOnly="0" labelOnly="1" grandRow="1" outline="0" fieldPosition="0"/>
    </format>
    <format dxfId="777">
      <pivotArea dataOnly="0" labelOnly="1" fieldPosition="0">
        <references count="1">
          <reference field="36" count="0"/>
        </references>
      </pivotArea>
    </format>
    <format dxfId="776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775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774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773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772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771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770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769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768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767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766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765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764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76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76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76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760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759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758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757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75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755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75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753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752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751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750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749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74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747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74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745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744">
      <pivotArea type="origin" dataOnly="0" labelOnly="1" outline="0" fieldPosition="0"/>
    </format>
    <format dxfId="743">
      <pivotArea field="25" type="button" dataOnly="0" labelOnly="1" outline="0" axis="axisRow" fieldPosition="0"/>
    </format>
    <format dxfId="74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741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740">
      <pivotArea dataOnly="0" labelOnly="1" grandRow="1" outline="0" fieldPosition="0"/>
    </format>
    <format dxfId="739">
      <pivotArea type="origin" dataOnly="0" labelOnly="1" outline="0" fieldPosition="0"/>
    </format>
    <format dxfId="738">
      <pivotArea field="25" type="button" dataOnly="0" labelOnly="1" outline="0" axis="axisRow" fieldPosition="0"/>
    </format>
    <format dxfId="73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736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73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7" firstHeaderRow="1" firstDataRow="2" firstDataCol="1"/>
  <pivotFields count="45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3"/>
        <item x="1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2"/>
        <item x="0"/>
        <item x="4"/>
        <item x="3"/>
        <item x="5"/>
        <item x="1"/>
        <item m="1" x="7"/>
        <item h="1" x="6"/>
        <item h="1" m="1" x="8"/>
        <item h="1" m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7">
    <i>
      <x v="5"/>
    </i>
    <i>
      <x/>
    </i>
    <i>
      <x v="3"/>
    </i>
    <i>
      <x v="1"/>
    </i>
    <i>
      <x v="2"/>
    </i>
    <i>
      <x v="4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985">
      <pivotArea grandRow="1" grandCol="1" outline="0" collapsedLevelsAreSubtotals="1" fieldPosition="0"/>
    </format>
    <format dxfId="984">
      <pivotArea type="all" dataOnly="0" outline="0" fieldPosition="0"/>
    </format>
    <format dxfId="983">
      <pivotArea outline="0" collapsedLevelsAreSubtotals="1" fieldPosition="0"/>
    </format>
    <format dxfId="982">
      <pivotArea field="18" type="button" dataOnly="0" labelOnly="1" outline="0" axis="axisCol" fieldPosition="0"/>
    </format>
    <format dxfId="981">
      <pivotArea type="topRight" dataOnly="0" labelOnly="1" outline="0" fieldPosition="0"/>
    </format>
    <format dxfId="980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79">
      <pivotArea dataOnly="0" labelOnly="1" grandCol="1" outline="0" fieldPosition="0"/>
    </format>
    <format dxfId="978">
      <pivotArea type="origin" dataOnly="0" labelOnly="1" outline="0" fieldPosition="0"/>
    </format>
    <format dxfId="977">
      <pivotArea field="36" type="button" dataOnly="0" labelOnly="1" outline="0" axis="axisRow" fieldPosition="0"/>
    </format>
    <format dxfId="976">
      <pivotArea dataOnly="0" labelOnly="1" fieldPosition="0">
        <references count="1">
          <reference field="36" count="0"/>
        </references>
      </pivotArea>
    </format>
    <format dxfId="975">
      <pivotArea dataOnly="0" labelOnly="1" grandRow="1" outline="0" fieldPosition="0"/>
    </format>
    <format dxfId="974">
      <pivotArea type="all" dataOnly="0" outline="0" fieldPosition="0"/>
    </format>
    <format dxfId="973">
      <pivotArea outline="0" collapsedLevelsAreSubtotals="1" fieldPosition="0"/>
    </format>
    <format dxfId="972">
      <pivotArea type="origin" dataOnly="0" labelOnly="1" outline="0" fieldPosition="0"/>
    </format>
    <format dxfId="971">
      <pivotArea field="18" type="button" dataOnly="0" labelOnly="1" outline="0" axis="axisCol" fieldPosition="0"/>
    </format>
    <format dxfId="970">
      <pivotArea type="topRight" dataOnly="0" labelOnly="1" outline="0" fieldPosition="0"/>
    </format>
    <format dxfId="969">
      <pivotArea field="36" type="button" dataOnly="0" labelOnly="1" outline="0" axis="axisRow" fieldPosition="0"/>
    </format>
    <format dxfId="968">
      <pivotArea dataOnly="0" labelOnly="1" fieldPosition="0">
        <references count="1">
          <reference field="36" count="0"/>
        </references>
      </pivotArea>
    </format>
    <format dxfId="967">
      <pivotArea dataOnly="0" labelOnly="1" grandRow="1" outline="0" fieldPosition="0"/>
    </format>
    <format dxfId="966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65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964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963">
      <pivotArea type="origin" dataOnly="0" labelOnly="1" outline="0" fieldPosition="0"/>
    </format>
    <format dxfId="962">
      <pivotArea field="36" type="button" dataOnly="0" labelOnly="1" outline="0" axis="axisRow" fieldPosition="0"/>
    </format>
    <format dxfId="961">
      <pivotArea dataOnly="0" labelOnly="1" fieldPosition="0">
        <references count="1">
          <reference field="36" count="0"/>
        </references>
      </pivotArea>
    </format>
    <format dxfId="960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0:H167" firstHeaderRow="1" firstDataRow="2" firstDataCol="1"/>
  <pivotFields count="45">
    <pivotField showAll="0"/>
    <pivotField showAll="0"/>
    <pivotField showAll="0"/>
    <pivotField showAll="0">
      <items count="8001">
        <item x="535"/>
        <item m="1" x="5840"/>
        <item m="1" x="7840"/>
        <item m="1" x="7071"/>
        <item m="1" x="6537"/>
        <item m="1" x="7713"/>
        <item m="1" x="6078"/>
        <item m="1" x="7060"/>
        <item m="1" x="5963"/>
        <item m="1" x="5977"/>
        <item m="1" x="5976"/>
        <item m="1" x="6042"/>
        <item m="1" x="6041"/>
        <item m="1" x="6040"/>
        <item m="1" x="5145"/>
        <item m="1" x="6039"/>
        <item m="1" x="6038"/>
        <item m="1" x="6037"/>
        <item m="1" x="6119"/>
        <item m="1" x="7181"/>
        <item m="1" x="5999"/>
        <item m="1" x="6191"/>
        <item m="1" x="5951"/>
        <item m="1" x="6045"/>
        <item m="1" x="6043"/>
        <item m="1" x="6090"/>
        <item m="1" x="6120"/>
        <item m="1" x="6044"/>
        <item m="1" x="1551"/>
        <item m="1" x="5837"/>
        <item m="1" x="6506"/>
        <item m="1" x="7028"/>
        <item m="1" x="6240"/>
        <item m="1" x="5910"/>
        <item m="1" x="6121"/>
        <item m="1" x="6087"/>
        <item m="1" x="7048"/>
        <item m="1" x="6084"/>
        <item m="1" x="6193"/>
        <item m="1" x="5978"/>
        <item m="1" x="5998"/>
        <item m="1" x="6004"/>
        <item m="1" x="5961"/>
        <item m="1" x="6049"/>
        <item m="1" x="6057"/>
        <item m="1" x="6025"/>
        <item m="1" x="5940"/>
        <item m="1" x="5915"/>
        <item m="1" x="5916"/>
        <item m="1" x="6796"/>
        <item m="1" x="5935"/>
        <item m="1" x="5934"/>
        <item m="1" x="6484"/>
        <item m="1" x="6080"/>
        <item m="1" x="6118"/>
        <item m="1" x="5971"/>
        <item m="1" x="5962"/>
        <item m="1" x="7049"/>
        <item m="1" x="6198"/>
        <item m="1" x="5608"/>
        <item m="1" x="3367"/>
        <item m="1" x="5952"/>
        <item m="1" x="6194"/>
        <item m="1" x="5917"/>
        <item m="1" x="6195"/>
        <item m="1" x="6196"/>
        <item m="1" x="6243"/>
        <item m="1" x="6246"/>
        <item m="1" x="6247"/>
        <item m="1" x="6185"/>
        <item m="1" x="6068"/>
        <item m="1" x="6081"/>
        <item m="1" x="6016"/>
        <item m="1" x="7668"/>
        <item m="1" x="5938"/>
        <item m="1" x="5939"/>
        <item m="1" x="6197"/>
        <item m="1" x="6094"/>
        <item m="1" x="5960"/>
        <item m="1" x="6242"/>
        <item m="1" x="5925"/>
        <item m="1" x="6023"/>
        <item m="1" x="6056"/>
        <item m="1" x="5914"/>
        <item m="1" x="6036"/>
        <item m="1" x="6050"/>
        <item m="1" x="7961"/>
        <item m="1" x="7433"/>
        <item m="1" x="5847"/>
        <item m="1" x="6189"/>
        <item m="1" x="5160"/>
        <item m="1" x="6026"/>
        <item m="1" x="5844"/>
        <item m="1" x="6052"/>
        <item m="1" x="6051"/>
        <item m="1" x="6053"/>
        <item m="1" x="6035"/>
        <item m="1" x="6504"/>
        <item m="1" x="5813"/>
        <item m="1" x="7066"/>
        <item m="1" x="7072"/>
        <item m="1" x="6065"/>
        <item m="1" x="7441"/>
        <item m="1" x="7442"/>
        <item m="1" x="7572"/>
        <item m="1" x="7570"/>
        <item m="1" x="7571"/>
        <item m="1" x="5992"/>
        <item m="1" x="7047"/>
        <item m="1" x="7059"/>
        <item m="1" x="6351"/>
        <item m="1" x="6070"/>
        <item m="1" x="6170"/>
        <item m="1" x="6095"/>
        <item m="1" x="5964"/>
        <item m="1" x="5965"/>
        <item m="1" x="7025"/>
        <item m="1" x="7023"/>
        <item m="1" x="7024"/>
        <item m="1" x="7035"/>
        <item m="1" x="7470"/>
        <item m="1" x="6058"/>
        <item m="1" x="6059"/>
        <item m="1" x="5822"/>
        <item m="1" x="5955"/>
        <item m="1" x="5953"/>
        <item m="1" x="5954"/>
        <item m="1" x="6060"/>
        <item m="1" x="6063"/>
        <item m="1" x="6061"/>
        <item m="1" x="5818"/>
        <item m="1" x="7674"/>
        <item m="1" x="4133"/>
        <item m="1" x="7603"/>
        <item m="1" x="6715"/>
        <item m="1" x="7855"/>
        <item m="1" x="6958"/>
        <item m="1" x="5924"/>
        <item m="1" x="5996"/>
        <item m="1" x="5988"/>
        <item m="1" x="5989"/>
        <item m="1" x="5995"/>
        <item m="1" x="6017"/>
        <item m="1" x="5820"/>
        <item m="1" x="5821"/>
        <item m="1" x="7568"/>
        <item m="1" x="5942"/>
        <item m="1" x="5941"/>
        <item m="1" x="6117"/>
        <item m="1" x="6213"/>
        <item m="1" x="5966"/>
        <item m="1" x="6480"/>
        <item m="1" x="5991"/>
        <item m="1" x="5959"/>
        <item m="1" x="6088"/>
        <item m="1" x="7461"/>
        <item m="1" x="5913"/>
        <item m="1" x="7027"/>
        <item m="1" x="7036"/>
        <item m="1" x="5094"/>
        <item m="1" x="7589"/>
        <item m="1" x="5967"/>
        <item m="1" x="6012"/>
        <item m="1" x="6062"/>
        <item m="1" x="7054"/>
        <item m="1" x="6073"/>
        <item m="1" x="7061"/>
        <item m="1" x="6720"/>
        <item m="1" x="7076"/>
        <item m="1" x="7077"/>
        <item m="1" x="7083"/>
        <item m="1" x="6961"/>
        <item m="1" x="6241"/>
        <item m="1" x="6066"/>
        <item m="1" x="7659"/>
        <item m="1" x="6169"/>
        <item m="1" x="7661"/>
        <item m="1" x="6157"/>
        <item m="1" x="7562"/>
        <item m="1" x="6175"/>
        <item m="1" x="6172"/>
        <item m="1" x="6173"/>
        <item m="1" x="6174"/>
        <item m="1" x="6114"/>
        <item m="1" x="1531"/>
        <item m="1" x="5986"/>
        <item m="1" x="7298"/>
        <item m="1" x="6503"/>
        <item m="1" x="6412"/>
        <item m="1" x="3515"/>
        <item m="1" x="6413"/>
        <item m="1" x="7767"/>
        <item m="1" x="7878"/>
        <item m="1" x="7531"/>
        <item m="1" x="6115"/>
        <item m="1" x="6130"/>
        <item m="1" x="6133"/>
        <item m="1" x="7945"/>
        <item m="1" x="6148"/>
        <item m="1" x="6176"/>
        <item m="1" x="6171"/>
        <item m="1" x="7196"/>
        <item m="1" x="6018"/>
        <item m="1" x="5956"/>
        <item m="1" x="7695"/>
        <item m="1" x="7726"/>
        <item m="1" x="7063"/>
        <item m="1" x="7747"/>
        <item m="1" x="7748"/>
        <item m="1" x="7973"/>
        <item m="1" x="7999"/>
        <item m="1" x="6962"/>
        <item m="1" x="7178"/>
        <item m="1" x="6143"/>
        <item m="1" x="5987"/>
        <item m="1" x="5838"/>
        <item m="1" x="5703"/>
        <item m="1" x="6179"/>
        <item m="1" x="6178"/>
        <item m="1" x="7686"/>
        <item m="1" x="7701"/>
        <item m="1" x="7704"/>
        <item m="1" x="7031"/>
        <item m="1" x="7711"/>
        <item m="1" x="7050"/>
        <item m="1" x="7724"/>
        <item m="1" x="7727"/>
        <item m="1" x="7057"/>
        <item m="1" x="7734"/>
        <item m="1" x="7736"/>
        <item m="1" x="7737"/>
        <item m="1" x="7062"/>
        <item m="1" x="7749"/>
        <item m="1" x="7753"/>
        <item m="1" x="7069"/>
        <item m="1" x="7761"/>
        <item m="1" x="7762"/>
        <item m="1" x="7763"/>
        <item m="1" x="6398"/>
        <item m="1" x="5353"/>
        <item m="1" x="7530"/>
        <item m="1" x="7988"/>
        <item m="1" x="7876"/>
        <item m="1" x="7898"/>
        <item m="1" x="7985"/>
        <item m="1" x="7986"/>
        <item m="1" x="7987"/>
        <item m="1" x="6006"/>
        <item m="1" x="6446"/>
        <item m="1" x="5893"/>
        <item m="1" x="7930"/>
        <item m="1" x="6135"/>
        <item m="1" x="6093"/>
        <item m="1" x="7459"/>
        <item m="1" x="6472"/>
        <item m="1" x="7675"/>
        <item m="1" x="7696"/>
        <item m="1" x="6076"/>
        <item m="1" x="7754"/>
        <item m="1" x="7094"/>
        <item m="1" x="7119"/>
        <item m="1" x="7877"/>
        <item m="1" x="7526"/>
        <item m="1" x="7996"/>
        <item m="1" x="7997"/>
        <item m="1" x="7998"/>
        <item m="1" x="7989"/>
        <item m="1" x="7990"/>
        <item m="1" x="7991"/>
        <item m="1" x="7992"/>
        <item m="1" x="7993"/>
        <item m="1" x="7994"/>
        <item m="1" x="7995"/>
        <item m="1" x="6022"/>
        <item m="1" x="6079"/>
        <item m="1" x="6167"/>
        <item m="1" x="6341"/>
        <item m="1" x="6168"/>
        <item m="1" x="5900"/>
        <item m="1" x="6177"/>
        <item m="1" x="6164"/>
        <item m="1" x="7579"/>
        <item m="1" x="5899"/>
        <item m="1" x="5650"/>
        <item m="1" x="5851"/>
        <item m="1" x="6716"/>
        <item m="1" x="7649"/>
        <item m="1" x="7029"/>
        <item m="1" x="5814"/>
        <item m="1" x="6380"/>
        <item m="1" x="6870"/>
        <item m="1" x="7105"/>
        <item m="1" x="7604"/>
        <item m="1" x="5756"/>
        <item m="1" x="7631"/>
        <item m="1" x="7854"/>
        <item m="1" x="7642"/>
        <item m="1" x="7853"/>
        <item m="1" x="5948"/>
        <item m="1" x="7436"/>
        <item m="1" x="7439"/>
        <item m="1" x="6765"/>
        <item m="1" x="6470"/>
        <item m="1" x="6471"/>
        <item m="1" x="5815"/>
        <item m="1" x="6792"/>
        <item m="1" x="6793"/>
        <item m="1" x="6481"/>
        <item m="1" x="7673"/>
        <item m="1" x="7678"/>
        <item m="1" x="7682"/>
        <item m="1" x="7683"/>
        <item m="1" x="7684"/>
        <item m="1" x="7679"/>
        <item m="1" x="6321"/>
        <item m="1" x="7687"/>
        <item m="1" x="7702"/>
        <item m="1" x="7703"/>
        <item m="1" x="7705"/>
        <item m="1" x="6116"/>
        <item m="1" x="6074"/>
        <item m="1" x="7725"/>
        <item m="1" x="7730"/>
        <item m="1" x="6320"/>
        <item m="1" x="7732"/>
        <item m="1" x="6717"/>
        <item m="1" x="7733"/>
        <item m="1" x="7735"/>
        <item m="1" x="7738"/>
        <item m="1" x="7742"/>
        <item m="1" x="7744"/>
        <item m="1" x="7751"/>
        <item m="1" x="7752"/>
        <item m="1" x="7757"/>
        <item m="1" x="7067"/>
        <item m="1" x="7068"/>
        <item m="1" x="7758"/>
        <item m="1" x="7073"/>
        <item m="1" x="7499"/>
        <item m="1" x="7095"/>
        <item m="1" x="3516"/>
        <item m="1" x="7639"/>
        <item m="1" x="7835"/>
        <item m="1" x="3517"/>
        <item m="1" x="7402"/>
        <item m="1" x="6572"/>
        <item m="1" x="7850"/>
        <item m="1" x="7848"/>
        <item m="1" x="7851"/>
        <item m="1" x="7845"/>
        <item m="1" x="7846"/>
        <item m="1" x="7847"/>
        <item m="1" x="7139"/>
        <item m="1" x="7771"/>
        <item m="1" x="7885"/>
        <item m="1" x="7883"/>
        <item m="1" x="7884"/>
        <item m="1" x="7527"/>
        <item m="1" x="7528"/>
        <item m="1" x="7529"/>
        <item m="1" x="7886"/>
        <item m="1" x="7887"/>
        <item m="1" x="7646"/>
        <item m="1" x="7899"/>
        <item m="1" x="7900"/>
        <item m="1" x="7658"/>
        <item m="1" x="7657"/>
        <item m="1" x="5896"/>
        <item m="1" x="5943"/>
        <item m="1" x="6141"/>
        <item m="1" x="7453"/>
        <item m="1" x="5832"/>
        <item m="1" x="7021"/>
        <item m="1" x="7676"/>
        <item m="1" x="7680"/>
        <item m="1" x="7681"/>
        <item m="1" x="7689"/>
        <item m="1" x="7693"/>
        <item m="1" x="7697"/>
        <item m="1" x="7709"/>
        <item m="1" x="7033"/>
        <item m="1" x="7034"/>
        <item m="1" x="7729"/>
        <item m="1" x="7731"/>
        <item m="1" x="7743"/>
        <item m="1" x="5905"/>
        <item m="1" x="7760"/>
        <item m="1" x="7768"/>
        <item m="1" x="6721"/>
        <item m="1" x="7849"/>
        <item m="1" x="7971"/>
        <item m="1" x="6111"/>
        <item m="1" x="6067"/>
        <item m="1" x="6166"/>
        <item m="1" x="6983"/>
        <item m="1" x="5937"/>
        <item m="1" x="6113"/>
        <item m="1" x="7698"/>
        <item m="1" x="6235"/>
        <item m="1" x="6236"/>
        <item m="1" x="6237"/>
        <item m="1" x="6238"/>
        <item m="1" x="7708"/>
        <item m="1" x="7710"/>
        <item m="1" x="7721"/>
        <item m="1" x="7745"/>
        <item m="1" x="7759"/>
        <item m="1" x="5812"/>
        <item m="1" x="5811"/>
        <item m="1" x="6187"/>
        <item m="1" x="7079"/>
        <item m="1" x="7972"/>
        <item m="1" x="5758"/>
        <item m="1" x="5740"/>
        <item m="1" x="7605"/>
        <item m="1" x="7606"/>
        <item m="1" x="7501"/>
        <item m="1" x="7978"/>
        <item m="1" x="6270"/>
        <item m="1" x="7112"/>
        <item m="1" x="7113"/>
        <item m="1" x="7983"/>
        <item m="1" x="5354"/>
        <item m="1" x="7823"/>
        <item m="1" x="7628"/>
        <item m="1" x="7979"/>
        <item m="1" x="7863"/>
        <item m="1" x="7869"/>
        <item m="1" x="6509"/>
        <item m="1" x="6510"/>
        <item m="1" x="7852"/>
        <item m="1" x="7882"/>
        <item m="1" x="7891"/>
        <item m="1" x="7888"/>
        <item m="1" x="7889"/>
        <item m="1" x="7890"/>
        <item m="1" x="6968"/>
        <item m="1" x="7567"/>
        <item m="1" x="7943"/>
        <item m="1" x="5993"/>
        <item m="1" x="5898"/>
        <item m="1" x="7022"/>
        <item m="1" x="7700"/>
        <item m="1" x="7583"/>
        <item m="1" x="7584"/>
        <item m="1" x="7741"/>
        <item m="1" x="7484"/>
        <item m="1" x="7788"/>
        <item m="1" x="2266"/>
        <item m="1" x="7750"/>
        <item m="1" x="7779"/>
        <item m="1" x="7783"/>
        <item m="1" x="7780"/>
        <item m="1" x="7781"/>
        <item m="1" x="7596"/>
        <item m="1" x="7782"/>
        <item m="1" x="7784"/>
        <item m="1" x="7486"/>
        <item m="1" x="7485"/>
        <item m="1" x="7789"/>
        <item m="1" x="7786"/>
        <item m="1" x="7787"/>
        <item m="1" x="7487"/>
        <item m="1" x="7974"/>
        <item m="1" x="7975"/>
        <item m="1" x="7976"/>
        <item m="1" x="7796"/>
        <item m="1" x="7797"/>
        <item m="1" x="7798"/>
        <item m="1" x="7977"/>
        <item m="1" x="7090"/>
        <item m="1" x="7590"/>
        <item m="1" x="7496"/>
        <item m="1" x="7500"/>
        <item m="1" x="7803"/>
        <item m="1" x="7804"/>
        <item m="1" x="7805"/>
        <item m="1" x="7608"/>
        <item m="1" x="7807"/>
        <item m="1" x="7814"/>
        <item m="1" x="7815"/>
        <item m="1" x="7813"/>
        <item m="1" x="7817"/>
        <item m="1" x="7111"/>
        <item m="1" x="7819"/>
        <item m="1" x="6873"/>
        <item m="1" x="7821"/>
        <item m="1" x="7822"/>
        <item m="1" x="7629"/>
        <item m="1" x="7980"/>
        <item m="1" x="7981"/>
        <item m="1" x="7982"/>
        <item m="1" x="7630"/>
        <item m="1" x="7826"/>
        <item m="1" x="7827"/>
        <item m="1" x="7828"/>
        <item m="1" x="7836"/>
        <item m="1" x="7837"/>
        <item m="1" x="7403"/>
        <item m="1" x="6354"/>
        <item m="1" x="6355"/>
        <item m="1" x="7640"/>
        <item m="1" x="7838"/>
        <item m="1" x="7841"/>
        <item m="1" x="7984"/>
        <item m="1" x="7867"/>
        <item m="1" x="7862"/>
        <item m="1" x="7859"/>
        <item m="1" x="7860"/>
        <item m="1" x="7861"/>
        <item m="1" x="7858"/>
        <item m="1" x="5776"/>
        <item m="1" x="7857"/>
        <item m="1" x="7865"/>
        <item m="1" x="7868"/>
        <item m="1" x="7872"/>
        <item m="1" x="7880"/>
        <item m="1" x="7881"/>
        <item m="1" x="7879"/>
        <item m="1" x="7897"/>
        <item m="1" x="7903"/>
        <item m="1" x="7909"/>
        <item m="1" x="7910"/>
        <item m="1" x="7911"/>
        <item m="1" x="7912"/>
        <item m="1" x="7913"/>
        <item m="1" x="6959"/>
        <item m="1" x="6960"/>
        <item m="1" x="6976"/>
        <item m="1" x="5997"/>
        <item m="1" x="5796"/>
        <item m="1" x="7662"/>
        <item m="1" x="5791"/>
        <item m="1" x="5797"/>
        <item m="1" x="5792"/>
        <item m="1" x="5793"/>
        <item m="1" x="5795"/>
        <item m="1" x="6144"/>
        <item m="1" x="6145"/>
        <item m="1" x="6091"/>
        <item m="1" x="6092"/>
        <item m="1" x="7667"/>
        <item m="1" x="7669"/>
        <item m="1" x="5957"/>
        <item m="1" x="7582"/>
        <item m="1" x="7692"/>
        <item m="1" x="7694"/>
        <item m="1" x="7706"/>
        <item m="1" x="7032"/>
        <item m="1" x="7717"/>
        <item m="1" x="7718"/>
        <item m="1" x="5798"/>
        <item m="1" x="5794"/>
        <item m="1" x="7967"/>
        <item m="1" x="7465"/>
        <item m="1" x="7968"/>
        <item m="1" x="7723"/>
        <item m="1" x="6804"/>
        <item m="1" x="5906"/>
        <item m="1" x="7755"/>
        <item m="1" x="7756"/>
        <item m="1" x="7765"/>
        <item m="1" x="7766"/>
        <item m="1" x="7591"/>
        <item m="1" x="7769"/>
        <item m="1" x="7770"/>
        <item m="1" x="7772"/>
        <item m="1" x="7594"/>
        <item m="1" x="7773"/>
        <item m="1" x="7774"/>
        <item m="1" x="7775"/>
        <item m="1" x="7776"/>
        <item m="1" x="7777"/>
        <item m="1" x="7778"/>
        <item m="1" x="7785"/>
        <item m="1" x="7488"/>
        <item m="1" x="7790"/>
        <item m="1" x="7791"/>
        <item m="1" x="7792"/>
        <item m="1" x="7793"/>
        <item m="1" x="7794"/>
        <item m="1" x="7795"/>
        <item m="1" x="7799"/>
        <item m="1" x="7492"/>
        <item m="1" x="7800"/>
        <item m="1" x="7801"/>
        <item m="1" x="7494"/>
        <item m="1" x="7497"/>
        <item m="1" x="7498"/>
        <item m="1" x="7802"/>
        <item m="1" x="7502"/>
        <item m="1" x="7806"/>
        <item m="1" x="7808"/>
        <item m="1" x="7809"/>
        <item m="1" x="6547"/>
        <item m="1" x="7607"/>
        <item m="1" x="7610"/>
        <item m="1" x="7810"/>
        <item m="1" x="7811"/>
        <item m="1" x="7812"/>
        <item m="1" x="7507"/>
        <item m="1" x="7618"/>
        <item m="1" x="7816"/>
        <item m="1" x="7106"/>
        <item m="1" x="7107"/>
        <item m="1" x="7108"/>
        <item m="1" x="7114"/>
        <item m="1" x="6448"/>
        <item m="1" x="7818"/>
        <item m="1" x="6348"/>
        <item m="1" x="7820"/>
        <item m="1" x="7824"/>
        <item m="1" x="7623"/>
        <item m="1" x="7517"/>
        <item m="1" x="7825"/>
        <item m="1" x="7829"/>
        <item m="1" x="7830"/>
        <item m="1" x="7831"/>
        <item m="1" x="7832"/>
        <item m="1" x="7634"/>
        <item m="1" x="7635"/>
        <item m="1" x="7636"/>
        <item m="1" x="7637"/>
        <item m="1" x="7833"/>
        <item m="1" x="7408"/>
        <item m="1" x="7834"/>
        <item m="1" x="7638"/>
        <item m="1" x="7839"/>
        <item m="1" x="7842"/>
        <item m="1" x="7843"/>
        <item m="1" x="7844"/>
        <item m="1" x="7856"/>
        <item m="1" x="7864"/>
        <item m="1" x="7866"/>
        <item m="1" x="7138"/>
        <item m="1" x="7870"/>
        <item m="1" x="7871"/>
        <item m="1" x="7873"/>
        <item m="1" x="7874"/>
        <item m="1" x="7875"/>
        <item m="1" x="7892"/>
        <item m="1" x="7893"/>
        <item m="1" x="7894"/>
        <item m="1" x="7895"/>
        <item m="1" x="7896"/>
        <item m="1" x="7901"/>
        <item m="1" x="7902"/>
        <item m="1" x="7904"/>
        <item m="1" x="7905"/>
        <item m="1" x="7906"/>
        <item m="1" x="7907"/>
        <item m="1" x="7908"/>
        <item m="1" x="7914"/>
        <item m="1" x="7650"/>
        <item m="1" x="7544"/>
        <item m="1" x="7652"/>
        <item m="1" x="7653"/>
        <item m="1" x="7915"/>
        <item m="1" x="7916"/>
        <item m="1" x="7917"/>
        <item m="1" x="6014"/>
        <item m="1" x="7918"/>
        <item m="1" x="7919"/>
        <item m="1" x="6982"/>
        <item m="1" x="5790"/>
        <item m="1" x="7920"/>
        <item m="1" x="7921"/>
        <item m="1" x="7922"/>
        <item m="1" x="7923"/>
        <item m="1" x="7924"/>
        <item m="1" x="7925"/>
        <item m="1" x="7926"/>
        <item m="1" x="7927"/>
        <item m="1" x="5897"/>
        <item m="1" x="5830"/>
        <item m="1" x="5827"/>
        <item m="1" x="7928"/>
        <item m="1" x="6775"/>
        <item m="1" x="7929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4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6183"/>
        <item m="1" x="7957"/>
        <item m="1" x="7958"/>
        <item m="1" x="7959"/>
        <item m="1" x="7677"/>
        <item m="1" x="7688"/>
        <item m="1" x="7960"/>
        <item m="1" x="7699"/>
        <item m="1" x="7716"/>
        <item m="1" x="7962"/>
        <item m="1" x="7963"/>
        <item m="1" x="7964"/>
        <item m="1" x="7965"/>
        <item m="1" x="7966"/>
        <item m="1" x="7969"/>
        <item m="1" x="7315"/>
        <item m="1" x="7722"/>
        <item m="1" x="7970"/>
        <item m="1" x="7353"/>
        <item m="1" x="7356"/>
        <item m="1" x="7764"/>
        <item m="1" x="7358"/>
        <item m="1" x="7593"/>
        <item m="1" x="6812"/>
        <item m="1" x="7595"/>
        <item m="1" x="543"/>
        <item m="1" x="7597"/>
        <item m="1" x="7474"/>
        <item m="1" x="7475"/>
        <item m="1" x="7482"/>
        <item m="1" x="7373"/>
        <item m="1" x="7598"/>
        <item m="1" x="7491"/>
        <item m="1" x="7084"/>
        <item m="1" x="7374"/>
        <item m="1" x="7599"/>
        <item m="1" x="7600"/>
        <item m="1" x="7601"/>
        <item m="1" x="7602"/>
        <item m="1" x="604"/>
        <item m="1" x="7495"/>
        <item m="1" x="7093"/>
        <item m="1" x="7381"/>
        <item m="1" x="7388"/>
        <item m="1" x="7389"/>
        <item m="1" x="6856"/>
        <item m="1" x="7609"/>
        <item m="1" x="6854"/>
        <item m="1" x="6855"/>
        <item m="1" x="6859"/>
        <item m="1" x="7611"/>
        <item m="1" x="7612"/>
        <item m="1" x="7613"/>
        <item m="1" x="7614"/>
        <item m="1" x="7615"/>
        <item m="1" x="6407"/>
        <item m="1" x="6408"/>
        <item m="1" x="7504"/>
        <item m="1" x="7616"/>
        <item m="1" x="7617"/>
        <item m="1" x="7619"/>
        <item m="1" x="7505"/>
        <item m="1" x="7620"/>
        <item m="1" x="7621"/>
        <item m="1" x="7622"/>
        <item m="1" x="7516"/>
        <item m="1" x="7518"/>
        <item m="1" x="7519"/>
        <item m="1" x="7624"/>
        <item m="1" x="7625"/>
        <item m="1" x="7626"/>
        <item m="1" x="7627"/>
        <item m="1" x="7508"/>
        <item m="1" x="7509"/>
        <item m="1" x="7510"/>
        <item m="1" x="7121"/>
        <item m="1" x="7399"/>
        <item m="1" x="7398"/>
        <item m="1" x="7632"/>
        <item m="1" x="7633"/>
        <item m="1" x="7641"/>
        <item m="1" x="6882"/>
        <item m="1" x="6883"/>
        <item m="1" x="6581"/>
        <item m="1" x="6580"/>
        <item m="1" x="6886"/>
        <item m="1" x="3518"/>
        <item m="1" x="6885"/>
        <item m="1" x="7522"/>
        <item m="1" x="7131"/>
        <item m="1" x="7144"/>
        <item m="1" x="6910"/>
        <item m="1" x="6911"/>
        <item m="1" x="6913"/>
        <item m="1" x="6912"/>
        <item m="1" x="6416"/>
        <item m="1" x="7533"/>
        <item m="1" x="6921"/>
        <item m="1" x="7643"/>
        <item m="1" x="7149"/>
        <item m="1" x="7644"/>
        <item m="1" x="7148"/>
        <item m="1" x="7532"/>
        <item m="1" x="7645"/>
        <item m="1" x="7647"/>
        <item m="1" x="7648"/>
        <item m="1" x="7537"/>
        <item m="1" x="7539"/>
        <item m="1" x="7540"/>
        <item m="1" x="7155"/>
        <item m="1" x="6955"/>
        <item m="1" x="7431"/>
        <item m="1" x="6956"/>
        <item m="1" x="6966"/>
        <item m="1" x="6245"/>
        <item m="1" x="7651"/>
        <item m="1" x="7182"/>
        <item m="1" x="7654"/>
        <item m="1" x="7655"/>
        <item m="1" x="7656"/>
        <item m="1" x="6055"/>
        <item m="1" x="7660"/>
        <item m="1" x="7663"/>
        <item m="1" x="7664"/>
        <item m="1" x="7665"/>
        <item m="1" x="7666"/>
        <item m="1" x="7199"/>
        <item m="1" x="7200"/>
        <item m="1" x="7201"/>
        <item m="1" x="7670"/>
        <item m="1" x="7671"/>
        <item m="1" x="7672"/>
        <item m="1" x="7685"/>
        <item m="1" x="7690"/>
        <item m="1" x="7691"/>
        <item m="1" x="7300"/>
        <item m="1" x="7707"/>
        <item m="1" x="7712"/>
        <item m="1" x="7714"/>
        <item m="1" x="7715"/>
        <item m="1" x="7302"/>
        <item m="1" x="7304"/>
        <item m="1" x="7585"/>
        <item m="1" x="7719"/>
        <item m="1" x="7311"/>
        <item m="1" x="7312"/>
        <item m="1" x="7313"/>
        <item m="1" x="7720"/>
        <item m="1" x="7350"/>
        <item m="1" x="7728"/>
        <item m="1" x="5909"/>
        <item m="1" x="7739"/>
        <item m="1" x="7740"/>
        <item m="1" x="7746"/>
        <item m="1" x="7359"/>
        <item m="1" x="7360"/>
        <item m="1" x="7361"/>
        <item m="1" x="7362"/>
        <item m="1" x="7363"/>
        <item m="1" x="536"/>
        <item m="1" x="6816"/>
        <item m="1" x="7366"/>
        <item m="1" x="7365"/>
        <item m="1" x="7367"/>
        <item m="1" x="537"/>
        <item m="1" x="7368"/>
        <item m="1" x="7476"/>
        <item m="1" x="7477"/>
        <item m="1" x="7478"/>
        <item m="1" x="7479"/>
        <item m="1" x="7480"/>
        <item m="1" x="7481"/>
        <item m="1" x="7483"/>
        <item m="1" x="6832"/>
        <item m="1" x="7489"/>
        <item m="1" x="7490"/>
        <item m="1" x="7086"/>
        <item m="1" x="7085"/>
        <item m="1" x="7376"/>
        <item m="1" x="7493"/>
        <item m="1" x="7379"/>
        <item m="1" x="7382"/>
        <item m="1" x="7383"/>
        <item m="1" x="7384"/>
        <item m="1" x="7390"/>
        <item m="1" x="7097"/>
        <item m="1" x="7099"/>
        <item m="1" x="7100"/>
        <item m="1" x="7098"/>
        <item m="1" x="7503"/>
        <item m="1" x="7109"/>
        <item m="1" x="7110"/>
        <item m="1" x="6732"/>
        <item m="1" x="7506"/>
        <item m="1" x="7511"/>
        <item m="1" x="7396"/>
        <item m="1" x="7512"/>
        <item m="1" x="7513"/>
        <item m="1" x="7514"/>
        <item m="1" x="7515"/>
        <item m="1" x="6881"/>
        <item m="1" x="6582"/>
        <item m="1" x="7520"/>
        <item m="1" x="7411"/>
        <item m="1" x="7407"/>
        <item m="1" x="7406"/>
        <item m="1" x="2497"/>
        <item m="1" x="7126"/>
        <item m="1" x="7413"/>
        <item m="1" x="7521"/>
        <item m="1" x="7132"/>
        <item m="1" x="7523"/>
        <item m="1" x="7134"/>
        <item m="1" x="7524"/>
        <item m="1" x="7133"/>
        <item m="1" x="6417"/>
        <item m="1" x="7417"/>
        <item m="1" x="7418"/>
        <item m="1" x="7419"/>
        <item m="1" x="7142"/>
        <item m="1" x="7525"/>
        <item m="1" x="6920"/>
        <item m="1" x="7150"/>
        <item m="1" x="7151"/>
        <item m="1" x="7154"/>
        <item m="1" x="6935"/>
        <item m="1" x="7152"/>
        <item m="1" x="7153"/>
        <item m="1" x="7534"/>
        <item m="1" x="7535"/>
        <item m="1" x="7536"/>
        <item m="1" x="7430"/>
        <item m="1" x="7538"/>
        <item m="1" x="7541"/>
        <item m="1" x="7542"/>
        <item m="1" x="7432"/>
        <item m="1" x="7163"/>
        <item m="1" x="7170"/>
        <item m="1" x="6963"/>
        <item m="1" x="7434"/>
        <item m="1" x="7543"/>
        <item m="1" x="7545"/>
        <item m="1" x="7546"/>
        <item m="1" x="7547"/>
        <item m="1" x="6974"/>
        <item m="1" x="6977"/>
        <item m="1" x="7548"/>
        <item m="1" x="6047"/>
        <item m="1" x="7549"/>
        <item m="1" x="7550"/>
        <item m="1" x="7443"/>
        <item m="1" x="7551"/>
        <item m="1" x="7552"/>
        <item m="1" x="7553"/>
        <item m="1" x="7554"/>
        <item m="1" x="7555"/>
        <item m="1" x="5895"/>
        <item m="1" x="7556"/>
        <item m="1" x="7557"/>
        <item m="1" x="7446"/>
        <item m="1" x="7558"/>
        <item m="1" x="7559"/>
        <item m="1" x="7560"/>
        <item m="1" x="7561"/>
        <item m="1" x="7563"/>
        <item m="1" x="7564"/>
        <item m="1" x="7565"/>
        <item m="1" x="7566"/>
        <item m="1" x="6180"/>
        <item m="1" x="7569"/>
        <item m="1" x="7573"/>
        <item m="1" x="7574"/>
        <item m="1" x="7575"/>
        <item m="1" x="7576"/>
        <item m="1" x="5799"/>
        <item m="1" x="7577"/>
        <item m="1" x="7578"/>
        <item m="1" x="7580"/>
        <item m="1" x="7581"/>
        <item m="1" x="7586"/>
        <item m="1" x="7587"/>
        <item m="1" x="7588"/>
        <item m="1" x="7348"/>
        <item m="1" x="7349"/>
        <item m="1" x="6719"/>
        <item m="1" x="7471"/>
        <item m="1" x="7592"/>
        <item m="1" x="7369"/>
        <item m="1" x="7370"/>
        <item m="1" x="7371"/>
        <item m="1" x="7372"/>
        <item m="1" x="5031"/>
        <item m="1" x="7081"/>
        <item m="1" x="7087"/>
        <item m="1" x="7375"/>
        <item m="1" x="7377"/>
        <item m="1" x="7378"/>
        <item m="1" x="6841"/>
        <item m="1" x="6850"/>
        <item m="1" x="7380"/>
        <item m="1" x="7385"/>
        <item m="1" x="7386"/>
        <item m="1" x="7387"/>
        <item m="1" x="6866"/>
        <item m="1" x="6868"/>
        <item m="1" x="6734"/>
        <item m="1" x="6867"/>
        <item m="1" x="7391"/>
        <item m="1" x="7052"/>
        <item m="1" x="7051"/>
        <item m="1" x="6863"/>
        <item m="1" x="6864"/>
        <item m="1" x="6871"/>
        <item m="1" x="7392"/>
        <item m="1" x="7120"/>
        <item m="1" x="6560"/>
        <item m="1" x="7393"/>
        <item m="1" x="7394"/>
        <item m="1" x="7395"/>
        <item m="1" x="7397"/>
        <item m="1" x="7400"/>
        <item m="1" x="7401"/>
        <item m="1" x="7404"/>
        <item m="1" x="7405"/>
        <item m="1" x="7409"/>
        <item m="1" x="7410"/>
        <item m="1" x="7123"/>
        <item m="1" x="7412"/>
        <item m="1" x="6887"/>
        <item m="1" x="5032"/>
        <item m="1" x="5030"/>
        <item m="1" x="6888"/>
        <item m="1" x="6894"/>
        <item m="1" x="6895"/>
        <item m="1" x="6592"/>
        <item m="1" x="6594"/>
        <item m="1" x="7414"/>
        <item m="1" x="7415"/>
        <item m="1" x="7137"/>
        <item m="1" x="7416"/>
        <item m="1" x="7143"/>
        <item m="1" x="7140"/>
        <item m="1" x="7141"/>
        <item m="1" x="6908"/>
        <item m="1" x="6909"/>
        <item m="1" x="7420"/>
        <item m="1" x="7421"/>
        <item m="1" x="6919"/>
        <item m="1" x="7147"/>
        <item m="1" x="7156"/>
        <item m="1" x="7422"/>
        <item m="1" x="7423"/>
        <item m="1" x="7424"/>
        <item m="1" x="7425"/>
        <item m="1" x="7426"/>
        <item m="1" x="7427"/>
        <item m="1" x="7157"/>
        <item m="1" x="7158"/>
        <item m="1" x="7428"/>
        <item m="1" x="7429"/>
        <item m="1" x="6957"/>
        <item m="1" x="6965"/>
        <item m="1" x="6964"/>
        <item m="1" x="7180"/>
        <item m="1" x="7179"/>
        <item m="1" x="7435"/>
        <item m="1" x="6434"/>
        <item m="1" x="7437"/>
        <item m="1" x="7438"/>
        <item m="1" x="7440"/>
        <item m="1" x="6046"/>
        <item m="1" x="7444"/>
        <item m="1" x="7445"/>
        <item m="1" x="7447"/>
        <item m="1" x="6456"/>
        <item m="1" x="5787"/>
        <item m="1" x="7448"/>
        <item m="1" x="7449"/>
        <item m="1" x="7450"/>
        <item m="1" x="7451"/>
        <item m="1" x="7452"/>
        <item m="1" x="5970"/>
        <item m="1" x="7454"/>
        <item m="1" x="7455"/>
        <item m="1" x="7188"/>
        <item m="1" x="7189"/>
        <item m="1" x="5853"/>
        <item m="1" x="5854"/>
        <item m="1" x="7456"/>
        <item m="1" x="7005"/>
        <item m="1" x="7457"/>
        <item m="1" x="7458"/>
        <item m="1" x="6082"/>
        <item m="1" x="6083"/>
        <item m="1" x="7460"/>
        <item m="1" x="7462"/>
        <item m="1" x="7299"/>
        <item m="1" x="7463"/>
        <item m="1" x="7464"/>
        <item m="1" x="6489"/>
        <item m="1" x="7305"/>
        <item m="1" x="7314"/>
        <item m="1" x="5994"/>
        <item m="1" x="7466"/>
        <item m="1" x="7467"/>
        <item m="1" x="7468"/>
        <item m="1" x="7469"/>
        <item m="1" x="7345"/>
        <item m="1" x="7351"/>
        <item m="1" x="7355"/>
        <item m="1" x="7472"/>
        <item m="1" x="7074"/>
        <item m="1" x="7473"/>
        <item m="1" x="6813"/>
        <item m="1" x="6814"/>
        <item m="1" x="6815"/>
        <item m="1" x="538"/>
        <item m="1" x="7078"/>
        <item m="1" x="6822"/>
        <item m="1" x="6823"/>
        <item m="1" x="6824"/>
        <item m="1" x="6825"/>
        <item m="1" x="6826"/>
        <item m="1" x="6821"/>
        <item m="1" x="6828"/>
        <item m="1" x="6054"/>
        <item m="1" x="6382"/>
        <item m="1" x="6522"/>
        <item m="1" x="6829"/>
        <item m="1" x="6383"/>
        <item m="1" x="6384"/>
        <item m="1" x="6385"/>
        <item m="1" x="6381"/>
        <item m="1" x="6830"/>
        <item m="1" x="7080"/>
        <item m="1" x="7082"/>
        <item m="1" x="7088"/>
        <item m="1" x="7089"/>
        <item m="1" x="6505"/>
        <item m="1" x="7091"/>
        <item m="1" x="7092"/>
        <item m="1" x="6846"/>
        <item m="1" x="6847"/>
        <item m="1" x="6848"/>
        <item m="1" x="7096"/>
        <item m="1" x="6851"/>
        <item m="1" x="6853"/>
        <item m="1" x="7101"/>
        <item m="1" x="7102"/>
        <item m="1" x="7103"/>
        <item m="1" x="7104"/>
        <item m="1" x="6869"/>
        <item m="1" x="6862"/>
        <item m="1" x="7115"/>
        <item m="1" x="7116"/>
        <item m="1" x="7117"/>
        <item m="1" x="7118"/>
        <item m="1" x="6861"/>
        <item m="1" x="6872"/>
        <item m="1" x="6875"/>
        <item m="1" x="6878"/>
        <item m="1" x="7122"/>
        <item m="1" x="2882"/>
        <item m="1" x="2883"/>
        <item m="1" x="2884"/>
        <item m="1" x="2493"/>
        <item m="1" x="2885"/>
        <item m="1" x="2886"/>
        <item m="1" x="6877"/>
        <item m="1" x="7124"/>
        <item m="1" x="7125"/>
        <item m="1" x="7127"/>
        <item m="1" x="7128"/>
        <item m="1" x="6593"/>
        <item m="1" x="7129"/>
        <item m="1" x="7130"/>
        <item m="1" x="7135"/>
        <item m="1" x="6899"/>
        <item m="1" x="6900"/>
        <item m="1" x="7136"/>
        <item m="1" x="6907"/>
        <item m="1" x="7145"/>
        <item m="1" x="7146"/>
        <item m="1" x="6614"/>
        <item m="1" x="6933"/>
        <item m="1" x="6420"/>
        <item m="1" x="6421"/>
        <item m="1" x="7159"/>
        <item m="1" x="7160"/>
        <item m="1" x="6937"/>
        <item m="1" x="6746"/>
        <item m="1" x="6948"/>
        <item m="1" x="6944"/>
        <item m="1" x="1042"/>
        <item m="1" x="6947"/>
        <item m="1" x="6946"/>
        <item m="1" x="6945"/>
        <item m="1" x="5403"/>
        <item m="1" x="7161"/>
        <item m="1" x="7162"/>
        <item m="1" x="7164"/>
        <item m="1" x="7165"/>
        <item m="1" x="7166"/>
        <item m="1" x="7167"/>
        <item m="1" x="7168"/>
        <item m="1" x="7169"/>
        <item m="1" x="7171"/>
        <item m="1" x="7172"/>
        <item m="1" x="7173"/>
        <item m="1" x="7174"/>
        <item m="1" x="7175"/>
        <item m="1" x="7176"/>
        <item m="1" x="7177"/>
        <item m="1" x="6433"/>
        <item m="1" x="6440"/>
        <item m="1" x="7183"/>
        <item m="1" x="6975"/>
        <item m="1" x="7184"/>
        <item m="1" x="7185"/>
        <item m="1" x="7186"/>
        <item m="1" x="6759"/>
        <item m="1" x="7187"/>
        <item m="1" x="6768"/>
        <item m="1" x="6767"/>
        <item m="1" x="6985"/>
        <item m="1" x="5789"/>
        <item m="1" x="6773"/>
        <item m="1" x="6000"/>
        <item m="1" x="6986"/>
        <item m="1" x="6449"/>
        <item m="1" x="7190"/>
        <item m="1" x="7191"/>
        <item m="1" x="7192"/>
        <item m="1" x="7193"/>
        <item m="1" x="7194"/>
        <item m="1" x="7195"/>
        <item m="1" x="6134"/>
        <item m="1" x="7197"/>
        <item m="1" x="7198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011"/>
        <item m="1" x="7012"/>
        <item m="1" x="7013"/>
        <item m="1" x="7014"/>
        <item m="1" x="7015"/>
        <item m="1" x="7016"/>
        <item m="1" x="7017"/>
        <item m="1" x="7266"/>
        <item m="1" x="7267"/>
        <item m="1" x="7268"/>
        <item m="1" x="7269"/>
        <item m="1" x="7270"/>
        <item m="1" x="7271"/>
        <item m="1" x="7272"/>
        <item m="1" x="7018"/>
        <item m="1" x="7019"/>
        <item m="1" x="7020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6244"/>
        <item m="1" x="7297"/>
        <item m="1" x="6021"/>
        <item m="1" x="7301"/>
        <item m="1" x="7303"/>
        <item m="1" x="7306"/>
        <item m="1" x="7307"/>
        <item m="1" x="7308"/>
        <item m="1" x="7309"/>
        <item m="1" x="7310"/>
        <item m="1" x="5788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6077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6"/>
        <item m="1" x="7347"/>
        <item m="1" x="7056"/>
        <item m="1" x="7352"/>
        <item m="1" x="7354"/>
        <item m="1" x="5810"/>
        <item m="1" x="5907"/>
        <item m="1" x="7357"/>
        <item m="1" x="5908"/>
        <item m="1" x="7364"/>
        <item m="1" x="5757"/>
        <item m="1" x="6817"/>
        <item m="1" x="6818"/>
        <item m="1" x="6819"/>
        <item m="1" x="6820"/>
        <item m="1" x="6722"/>
        <item m="1" x="6723"/>
        <item m="1" x="6827"/>
        <item m="1" x="6831"/>
        <item m="1" x="6833"/>
        <item m="1" x="6834"/>
        <item m="1" x="6835"/>
        <item m="1" x="6836"/>
        <item m="1" x="6837"/>
        <item m="1" x="6838"/>
        <item m="1" x="6839"/>
        <item m="1" x="6840"/>
        <item m="1" x="6842"/>
        <item m="1" x="6843"/>
        <item m="1" x="6844"/>
        <item m="1" x="6845"/>
        <item m="1" x="6849"/>
        <item m="1" x="5317"/>
        <item m="1" x="6852"/>
        <item m="1" x="6857"/>
        <item m="1" x="6729"/>
        <item m="1" x="6858"/>
        <item m="1" x="6860"/>
        <item m="1" x="6404"/>
        <item m="1" x="6865"/>
        <item m="1" x="6556"/>
        <item m="1" x="6874"/>
        <item m="1" x="6876"/>
        <item m="1" x="6569"/>
        <item m="1" x="6879"/>
        <item m="1" x="6880"/>
        <item m="1" x="6884"/>
        <item m="1" x="6586"/>
        <item m="1" x="6585"/>
        <item m="1" x="6889"/>
        <item m="1" x="6890"/>
        <item m="1" x="6891"/>
        <item m="1" x="6892"/>
        <item m="1" x="6893"/>
        <item m="1" x="6739"/>
        <item m="1" x="6740"/>
        <item m="1" x="6896"/>
        <item m="1" x="6897"/>
        <item m="1" x="6898"/>
        <item m="1" x="6901"/>
        <item m="1" x="6902"/>
        <item m="1" x="6903"/>
        <item m="1" x="6904"/>
        <item m="1" x="6905"/>
        <item m="1" x="6906"/>
        <item m="1" x="6914"/>
        <item m="1" x="6915"/>
        <item m="1" x="6916"/>
        <item m="1" x="6917"/>
        <item m="1" x="6918"/>
        <item m="1" x="5364"/>
        <item m="1" x="6922"/>
        <item m="1" x="6923"/>
        <item m="1" x="6924"/>
        <item m="1" x="6248"/>
        <item m="1" x="6925"/>
        <item m="1" x="6926"/>
        <item m="1" x="6927"/>
        <item m="1" x="6928"/>
        <item m="1" x="6929"/>
        <item m="1" x="6930"/>
        <item m="1" x="6931"/>
        <item m="1" x="6932"/>
        <item m="1" x="6934"/>
        <item m="1" x="6251"/>
        <item m="1" x="6936"/>
        <item m="1" x="6938"/>
        <item m="1" x="6939"/>
        <item m="1" x="6940"/>
        <item m="1" x="6941"/>
        <item m="1" x="6942"/>
        <item m="1" x="6943"/>
        <item m="1" x="6949"/>
        <item m="1" x="6950"/>
        <item m="1" x="6951"/>
        <item m="1" x="6745"/>
        <item m="1" x="6952"/>
        <item m="1" x="6953"/>
        <item m="1" x="6954"/>
        <item m="1" x="6112"/>
        <item m="1" x="6967"/>
        <item m="1" x="6747"/>
        <item m="1" x="5823"/>
        <item m="1" x="5819"/>
        <item m="1" x="6969"/>
        <item m="1" x="6970"/>
        <item m="1" x="6971"/>
        <item m="1" x="6972"/>
        <item m="1" x="6973"/>
        <item m="1" x="6649"/>
        <item m="1" x="6647"/>
        <item m="1" x="6648"/>
        <item m="1" x="6154"/>
        <item m="1" x="6048"/>
        <item m="1" x="6978"/>
        <item m="1" x="6979"/>
        <item m="1" x="6980"/>
        <item m="1" x="6981"/>
        <item m="1" x="6984"/>
        <item m="1" x="6069"/>
        <item m="1" x="5825"/>
        <item m="1" x="6987"/>
        <item m="1" x="6988"/>
        <item m="1" x="6989"/>
        <item m="1" x="6687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6454"/>
        <item m="1" x="6455"/>
        <item m="1" x="7001"/>
        <item m="1" x="7002"/>
        <item m="1" x="6780"/>
        <item m="1" x="6781"/>
        <item m="1" x="6156"/>
        <item m="1" x="7003"/>
        <item m="1" x="7004"/>
        <item m="1" x="7006"/>
        <item m="1" x="7007"/>
        <item m="1" x="5982"/>
        <item m="1" x="7008"/>
        <item m="1" x="7009"/>
        <item m="1" x="6671"/>
        <item m="1" x="6672"/>
        <item m="1" x="6673"/>
        <item m="1" x="6674"/>
        <item m="1" x="6675"/>
        <item m="1" x="6676"/>
        <item m="1" x="7010"/>
        <item m="1" x="6268"/>
        <item m="1" x="6260"/>
        <item m="1" x="6085"/>
        <item m="1" x="7026"/>
        <item m="1" x="7030"/>
        <item m="1" x="6234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6233"/>
        <item m="1" x="7053"/>
        <item m="1" x="5833"/>
        <item m="1" x="7055"/>
        <item m="1" x="7058"/>
        <item m="1" x="5834"/>
        <item m="1" x="7064"/>
        <item m="1" x="7065"/>
        <item m="1" x="7070"/>
        <item m="1" x="7075"/>
        <item m="1" x="6511"/>
        <item m="1" x="6515"/>
        <item m="1" x="6521"/>
        <item m="1" x="6724"/>
        <item m="1" x="6725"/>
        <item m="1" x="6524"/>
        <item m="1" x="6523"/>
        <item m="1" x="6726"/>
        <item m="1" x="6727"/>
        <item m="1" x="6728"/>
        <item m="1" x="5742"/>
        <item m="1" x="6534"/>
        <item m="1" x="6535"/>
        <item m="1" x="6536"/>
        <item m="1" x="6540"/>
        <item m="1" x="6541"/>
        <item m="1" x="6543"/>
        <item m="1" x="6544"/>
        <item m="1" x="6545"/>
        <item m="1" x="6546"/>
        <item m="1" x="6730"/>
        <item m="1" x="6731"/>
        <item m="1" x="6549"/>
        <item m="1" x="6548"/>
        <item m="1" x="6733"/>
        <item m="1" x="6409"/>
        <item m="1" x="6551"/>
        <item m="1" x="5745"/>
        <item m="1" x="6552"/>
        <item m="1" x="6553"/>
        <item m="1" x="6554"/>
        <item m="1" x="6555"/>
        <item m="1" x="6735"/>
        <item m="1" x="6736"/>
        <item m="1" x="6737"/>
        <item m="1" x="6738"/>
        <item m="1" x="6566"/>
        <item m="1" x="6567"/>
        <item m="1" x="6568"/>
        <item m="1" x="2887"/>
        <item m="1" x="5759"/>
        <item m="1" x="2494"/>
        <item m="1" x="2495"/>
        <item m="1" x="6578"/>
        <item m="1" x="6579"/>
        <item m="1" x="6577"/>
        <item m="1" x="6575"/>
        <item m="1" x="6576"/>
        <item m="1" x="6563"/>
        <item m="1" x="6583"/>
        <item m="1" x="6584"/>
        <item m="1" x="6587"/>
        <item m="1" x="6597"/>
        <item m="1" x="6603"/>
        <item m="1" x="6604"/>
        <item m="1" x="6605"/>
        <item m="1" x="6606"/>
        <item m="1" x="6607"/>
        <item m="1" x="6741"/>
        <item m="1" x="6742"/>
        <item m="1" x="6616"/>
        <item m="1" x="6743"/>
        <item m="1" x="6250"/>
        <item m="1" x="6252"/>
        <item m="1" x="6253"/>
        <item m="1" x="5421"/>
        <item m="1" x="5420"/>
        <item m="1" x="6744"/>
        <item m="1" x="6629"/>
        <item m="1" x="6624"/>
        <item m="1" x="6625"/>
        <item m="1" x="6626"/>
        <item m="1" x="6630"/>
        <item m="1" x="6632"/>
        <item m="1" x="6633"/>
        <item m="1" x="6634"/>
        <item m="1" x="6635"/>
        <item m="1" x="6639"/>
        <item m="1" x="6619"/>
        <item m="1" x="6620"/>
        <item m="1" x="6621"/>
        <item m="1" x="5536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5842"/>
        <item m="1" x="6071"/>
        <item m="1" x="6760"/>
        <item m="1" x="6761"/>
        <item m="1" x="6762"/>
        <item m="1" x="6763"/>
        <item m="1" x="6764"/>
        <item m="1" x="5845"/>
        <item m="1" x="6766"/>
        <item m="1" x="6155"/>
        <item m="1" x="6769"/>
        <item m="1" x="6770"/>
        <item m="1" x="6771"/>
        <item m="1" x="6772"/>
        <item m="1" x="5894"/>
        <item m="1" x="6774"/>
        <item m="1" x="6776"/>
        <item m="1" x="6777"/>
        <item m="1" x="6778"/>
        <item m="1" x="6779"/>
        <item m="1" x="6782"/>
        <item m="1" x="6783"/>
        <item m="1" x="6784"/>
        <item m="1" x="6785"/>
        <item m="1" x="6786"/>
        <item m="1" x="6147"/>
        <item m="1" x="6787"/>
        <item m="1" x="6788"/>
        <item m="1" x="6789"/>
        <item m="1" x="6278"/>
        <item m="1" x="5846"/>
        <item m="1" x="5850"/>
        <item m="1" x="5848"/>
        <item m="1" x="6201"/>
        <item m="1" x="6192"/>
        <item m="1" x="5944"/>
        <item m="1" x="5945"/>
        <item m="1" x="5946"/>
        <item m="1" x="5979"/>
        <item m="1" x="6790"/>
        <item m="1" x="6791"/>
        <item m="1" x="5958"/>
        <item m="1" x="5947"/>
        <item m="1" x="6794"/>
        <item m="1" x="6795"/>
        <item m="1" x="6086"/>
        <item m="1" x="6029"/>
        <item m="1" x="6705"/>
        <item m="1" x="5841"/>
        <item m="1" x="6797"/>
        <item m="1" x="6798"/>
        <item m="1" x="6799"/>
        <item m="1" x="6800"/>
        <item m="1" x="6801"/>
        <item m="1" x="6802"/>
        <item m="1" x="6803"/>
        <item m="1" x="6015"/>
        <item m="1" x="6805"/>
        <item m="1" x="6072"/>
        <item m="1" x="6806"/>
        <item m="1" x="6807"/>
        <item m="1" x="6808"/>
        <item m="1" x="6809"/>
        <item m="1" x="6810"/>
        <item m="1" x="6811"/>
        <item m="1" x="6512"/>
        <item m="1" x="6513"/>
        <item m="1" x="6514"/>
        <item m="1" x="6516"/>
        <item m="1" x="6517"/>
        <item m="1" x="6518"/>
        <item m="1" x="6519"/>
        <item m="1" x="6520"/>
        <item m="1" x="5752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5700"/>
        <item m="1" x="6393"/>
        <item m="1" x="6538"/>
        <item m="1" x="6539"/>
        <item m="1" x="6397"/>
        <item m="1" x="6542"/>
        <item m="1" x="639"/>
        <item m="1" x="5316"/>
        <item m="1" x="6151"/>
        <item m="1" x="6402"/>
        <item m="1" x="6403"/>
        <item m="1" x="6410"/>
        <item m="1" x="6550"/>
        <item m="1" x="6131"/>
        <item m="1" x="6557"/>
        <item m="1" x="6558"/>
        <item m="1" x="6559"/>
        <item m="1" x="6561"/>
        <item m="1" x="6562"/>
        <item m="1" x="6564"/>
        <item m="1" x="6565"/>
        <item m="1" x="6570"/>
        <item m="1" x="5355"/>
        <item m="1" x="6571"/>
        <item m="1" x="2496"/>
        <item m="1" x="6573"/>
        <item m="1" x="6574"/>
        <item m="1" x="5368"/>
        <item m="1" x="6362"/>
        <item m="1" x="5771"/>
        <item m="1" x="6181"/>
        <item m="1" x="6588"/>
        <item m="1" x="6589"/>
        <item m="1" x="6590"/>
        <item m="1" x="6591"/>
        <item m="1" x="6595"/>
        <item m="1" x="6596"/>
        <item m="1" x="6598"/>
        <item m="1" x="6599"/>
        <item m="1" x="6600"/>
        <item m="1" x="6601"/>
        <item m="1" x="6602"/>
        <item m="1" x="6608"/>
        <item m="1" x="6609"/>
        <item m="1" x="6610"/>
        <item m="1" x="6611"/>
        <item m="1" x="6612"/>
        <item m="1" x="6613"/>
        <item m="1" x="6615"/>
        <item m="1" x="6617"/>
        <item m="1" x="6375"/>
        <item m="1" x="6376"/>
        <item m="1" x="6254"/>
        <item m="1" x="6418"/>
        <item m="1" x="6419"/>
        <item m="1" x="6618"/>
        <item m="1" x="6622"/>
        <item m="1" x="6623"/>
        <item m="1" x="6627"/>
        <item m="1" x="6628"/>
        <item m="1" x="6631"/>
        <item m="1" x="6636"/>
        <item m="1" x="6637"/>
        <item m="1" x="6638"/>
        <item m="1" x="6207"/>
        <item m="1" x="6640"/>
        <item m="1" x="6641"/>
        <item m="1" x="6642"/>
        <item m="1" x="6643"/>
        <item m="1" x="6644"/>
        <item m="1" x="6645"/>
        <item m="1" x="6646"/>
        <item m="1" x="5786"/>
        <item m="1" x="5835"/>
        <item m="1" x="5836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5980"/>
        <item m="1" x="5981"/>
        <item m="1" x="6677"/>
        <item m="1" x="1912"/>
        <item m="1" x="6678"/>
        <item m="1" x="6137"/>
        <item m="1" x="6139"/>
        <item m="1" x="6140"/>
        <item m="1" x="6366"/>
        <item m="1" x="6679"/>
        <item m="1" x="5849"/>
        <item m="1" x="6680"/>
        <item m="1" x="6681"/>
        <item m="1" x="6364"/>
        <item m="1" x="6365"/>
        <item m="1" x="6682"/>
        <item m="1" x="6683"/>
        <item m="1" x="6684"/>
        <item m="1" x="5807"/>
        <item m="1" x="6685"/>
        <item m="1" x="6686"/>
        <item m="1" x="6688"/>
        <item m="1" x="6689"/>
        <item m="1" x="6690"/>
        <item m="1" x="6691"/>
        <item m="1" x="6692"/>
        <item m="1" x="6693"/>
        <item m="1" x="6694"/>
        <item m="1" x="6695"/>
        <item m="1" x="6010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478"/>
        <item m="1" x="6477"/>
        <item m="1" x="6473"/>
        <item m="1" x="6474"/>
        <item m="1" x="6475"/>
        <item m="1" x="6476"/>
        <item m="1" x="5990"/>
        <item m="1" x="6706"/>
        <item m="1" x="6707"/>
        <item m="1" x="6708"/>
        <item m="1" x="6709"/>
        <item m="1" x="6710"/>
        <item m="1" x="6711"/>
        <item m="1" x="6712"/>
        <item m="1" x="6500"/>
        <item m="1" x="6713"/>
        <item m="1" x="6714"/>
        <item m="1" x="5785"/>
        <item m="1" x="5817"/>
        <item m="1" x="5816"/>
        <item m="1" x="6718"/>
        <item m="1" x="6342"/>
        <item m="1" x="6346"/>
        <item m="1" x="6347"/>
        <item m="1" x="6028"/>
        <item m="1" x="6027"/>
        <item m="1" x="6386"/>
        <item m="1" x="6387"/>
        <item m="1" x="6388"/>
        <item m="1" x="6389"/>
        <item m="1" x="6390"/>
        <item m="1" x="6391"/>
        <item m="1" x="6392"/>
        <item m="1" x="6394"/>
        <item m="1" x="6395"/>
        <item m="1" x="6396"/>
        <item m="1" x="1075"/>
        <item m="1" x="1074"/>
        <item m="1" x="5826"/>
        <item m="1" x="5741"/>
        <item m="1" x="6399"/>
        <item m="1" x="6400"/>
        <item m="1" x="5931"/>
        <item m="1" x="6324"/>
        <item m="1" x="5929"/>
        <item m="1" x="5930"/>
        <item m="1" x="6401"/>
        <item m="1" x="6405"/>
        <item m="1" x="6406"/>
        <item m="1" x="6411"/>
        <item m="1" x="5028"/>
        <item m="1" x="2485"/>
        <item m="1" x="5027"/>
        <item m="1" x="6100"/>
        <item m="1" x="6357"/>
        <item m="1" x="6358"/>
        <item m="1" x="4242"/>
        <item m="1" x="5387"/>
        <item m="1" x="5389"/>
        <item m="1" x="6414"/>
        <item m="1" x="6199"/>
        <item m="1" x="6200"/>
        <item m="1" x="6415"/>
        <item m="1" x="6223"/>
        <item m="1" x="6422"/>
        <item m="1" x="4912"/>
        <item m="1" x="4911"/>
        <item m="1" x="5029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266"/>
        <item m="1" x="6267"/>
        <item m="1" x="6208"/>
        <item m="1" x="6209"/>
        <item m="1" x="6210"/>
        <item m="1" x="5209"/>
        <item m="1" x="6435"/>
        <item m="1" x="6436"/>
        <item m="1" x="6437"/>
        <item m="1" x="6438"/>
        <item m="1" x="6439"/>
        <item m="1" x="6441"/>
        <item m="1" x="6442"/>
        <item m="1" x="6443"/>
        <item m="1" x="6005"/>
        <item m="1" x="6444"/>
        <item m="1" x="6445"/>
        <item m="1" x="6447"/>
        <item m="1" x="5809"/>
        <item m="1" x="5102"/>
        <item m="1" x="6450"/>
        <item m="1" x="6451"/>
        <item m="1" x="6452"/>
        <item m="1" x="6453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158"/>
        <item m="1" x="6466"/>
        <item m="1" x="5852"/>
        <item m="1" x="6136"/>
        <item m="1" x="6467"/>
        <item m="1" x="6468"/>
        <item m="1" x="6469"/>
        <item m="1" x="5983"/>
        <item m="1" x="6479"/>
        <item m="1" x="5231"/>
        <item m="1" x="5824"/>
        <item m="1" x="6482"/>
        <item m="1" x="6483"/>
        <item m="1" x="6020"/>
        <item m="1" x="6485"/>
        <item m="1" x="6486"/>
        <item m="1" x="6487"/>
        <item m="1" x="6488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1"/>
        <item m="1" x="5784"/>
        <item m="1" x="6502"/>
        <item m="1" x="5547"/>
        <item m="1" x="6507"/>
        <item m="1" x="6508"/>
        <item m="1" x="5543"/>
        <item m="1" x="6269"/>
        <item m="1" x="5782"/>
        <item m="1" x="6271"/>
        <item m="1" x="5805"/>
        <item m="1" x="5803"/>
        <item m="1" x="5804"/>
        <item m="1" x="5800"/>
        <item m="1" x="5801"/>
        <item m="1" x="5802"/>
        <item m="1" x="5783"/>
        <item m="1" x="6272"/>
        <item m="1" x="6273"/>
        <item m="1" x="5701"/>
        <item m="1" x="6274"/>
        <item m="1" x="6275"/>
        <item m="1" x="5839"/>
        <item m="1" x="6276"/>
        <item m="1" x="5831"/>
        <item m="1" x="5843"/>
        <item m="1" x="6277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5892"/>
        <item m="1" x="6314"/>
        <item m="1" x="6315"/>
        <item m="1" x="6316"/>
        <item m="1" x="6317"/>
        <item m="1" x="5739"/>
        <item m="1" x="6318"/>
        <item m="1" x="5737"/>
        <item m="1" x="6319"/>
        <item m="1" x="5735"/>
        <item m="1" x="5912"/>
        <item m="1" x="5025"/>
        <item m="1" x="5918"/>
        <item m="1" x="5919"/>
        <item m="1" x="5920"/>
        <item m="1" x="6322"/>
        <item m="1" x="6323"/>
        <item m="1" x="6325"/>
        <item m="1" x="6326"/>
        <item m="1" x="5928"/>
        <item m="1" x="593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5969"/>
        <item m="1" x="5968"/>
        <item m="1" x="6337"/>
        <item m="1" x="5322"/>
        <item m="1" x="5323"/>
        <item m="1" x="5324"/>
        <item m="1" x="6338"/>
        <item m="1" x="6339"/>
        <item m="1" x="6340"/>
        <item m="1" x="6003"/>
        <item m="1" x="6008"/>
        <item m="1" x="6011"/>
        <item m="1" x="6019"/>
        <item m="1" x="6343"/>
        <item m="1" x="6344"/>
        <item m="1" x="6345"/>
        <item m="1" x="5153"/>
        <item m="1" x="5333"/>
        <item m="1" x="5615"/>
        <item m="1" x="5164"/>
        <item m="1" x="6349"/>
        <item m="1" x="6350"/>
        <item m="1" x="6097"/>
        <item m="1" x="6099"/>
        <item m="1" x="6098"/>
        <item m="1" x="6103"/>
        <item m="1" x="6352"/>
        <item m="1" x="6107"/>
        <item m="1" x="6106"/>
        <item m="1" x="6353"/>
        <item m="1" x="6356"/>
        <item m="1" x="6359"/>
        <item m="1" x="6360"/>
        <item m="1" x="6361"/>
        <item m="1" x="3521"/>
        <item m="1" x="5026"/>
        <item m="1" x="6363"/>
        <item m="1" x="6123"/>
        <item m="1" x="5024"/>
        <item m="1" x="6153"/>
        <item m="1" x="6161"/>
        <item m="1" x="6162"/>
        <item m="1" x="6163"/>
        <item m="1" x="6132"/>
        <item m="1" x="6138"/>
        <item m="1" x="6150"/>
        <item m="1" x="5658"/>
        <item m="1" x="6367"/>
        <item m="1" x="6188"/>
        <item m="1" x="6368"/>
        <item m="1" x="6369"/>
        <item m="1" x="6370"/>
        <item m="1" x="6205"/>
        <item m="1" x="6206"/>
        <item m="1" x="6204"/>
        <item m="1" x="6202"/>
        <item m="1" x="6203"/>
        <item m="1" x="6371"/>
        <item m="1" x="3524"/>
        <item m="1" x="6372"/>
        <item m="1" x="6221"/>
        <item m="1" x="6222"/>
        <item m="1" x="6214"/>
        <item m="1" x="6228"/>
        <item m="1" x="2110"/>
        <item m="1" x="6373"/>
        <item m="1" x="6224"/>
        <item m="1" x="6374"/>
        <item m="1" x="6249"/>
        <item m="1" x="6256"/>
        <item m="1" x="6257"/>
        <item m="1" x="6258"/>
        <item m="1" x="6255"/>
        <item m="1" x="4910"/>
        <item m="1" x="6377"/>
        <item m="1" x="6378"/>
        <item m="1" x="6379"/>
        <item m="1" x="5535"/>
        <item m="1" x="6264"/>
        <item m="1" x="6265"/>
        <item m="1" x="5538"/>
        <item m="1" x="5537"/>
        <item m="1" x="5238"/>
        <item m="1" x="5806"/>
        <item m="1" x="5808"/>
        <item m="1" x="5828"/>
        <item m="1" x="5829"/>
        <item m="1" x="2755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901"/>
        <item m="1" x="5902"/>
        <item m="1" x="5903"/>
        <item m="1" x="5904"/>
        <item m="1" x="5098"/>
        <item m="1" x="5911"/>
        <item m="1" x="5307"/>
        <item m="1" x="5744"/>
        <item m="1" x="5023"/>
        <item m="1" x="5921"/>
        <item m="1" x="5922"/>
        <item m="1" x="5923"/>
        <item m="1" x="5926"/>
        <item m="1" x="5927"/>
        <item m="1" x="5932"/>
        <item m="1" x="5933"/>
        <item m="1" x="5035"/>
        <item m="1" x="5949"/>
        <item m="1" x="5950"/>
        <item m="1" x="5534"/>
        <item m="1" x="1073"/>
        <item m="1" x="5972"/>
        <item m="1" x="5973"/>
        <item m="1" x="5974"/>
        <item m="1" x="5975"/>
        <item m="1" x="5984"/>
        <item m="1" x="5985"/>
        <item m="1" x="6001"/>
        <item m="1" x="6002"/>
        <item m="1" x="6007"/>
        <item m="1" x="6009"/>
        <item m="1" x="6013"/>
        <item m="1" x="6024"/>
        <item m="1" x="6030"/>
        <item m="1" x="6031"/>
        <item m="1" x="6032"/>
        <item m="1" x="6033"/>
        <item m="1" x="6034"/>
        <item m="1" x="6064"/>
        <item m="1" x="5157"/>
        <item m="1" x="5158"/>
        <item m="1" x="6075"/>
        <item m="1" x="6089"/>
        <item m="1" x="5341"/>
        <item m="1" x="5342"/>
        <item m="1" x="5343"/>
        <item m="1" x="6096"/>
        <item m="1" x="5621"/>
        <item m="1" x="6101"/>
        <item m="1" x="6102"/>
        <item m="1" x="5630"/>
        <item m="1" x="6104"/>
        <item m="1" x="6105"/>
        <item m="1" x="6108"/>
        <item m="1" x="6109"/>
        <item m="1" x="6110"/>
        <item m="1" x="2877"/>
        <item m="1" x="2878"/>
        <item m="1" x="2879"/>
        <item m="1" x="2880"/>
        <item m="1" x="2881"/>
        <item m="1" x="2486"/>
        <item m="1" x="2487"/>
        <item m="1" x="2875"/>
        <item m="1" x="2876"/>
        <item m="1" x="6122"/>
        <item m="1" x="5641"/>
        <item m="1" x="6124"/>
        <item m="1" x="6125"/>
        <item m="1" x="6126"/>
        <item m="1" x="6127"/>
        <item m="1" x="5760"/>
        <item m="1" x="6128"/>
        <item m="1" x="6129"/>
        <item m="1" x="6142"/>
        <item m="1" x="6146"/>
        <item m="1" x="6149"/>
        <item m="1" x="6152"/>
        <item m="1" x="6159"/>
        <item m="1" x="6160"/>
        <item m="1" x="5767"/>
        <item m="1" x="6165"/>
        <item m="1" x="4079"/>
        <item m="1" x="5533"/>
        <item m="1" x="5036"/>
        <item m="1" x="6182"/>
        <item m="1" x="6184"/>
        <item m="1" x="6186"/>
        <item m="1" x="6190"/>
        <item m="1" x="6211"/>
        <item m="1" x="6212"/>
        <item m="1" x="6215"/>
        <item m="1" x="6216"/>
        <item m="1" x="6217"/>
        <item m="1" x="6218"/>
        <item m="1" x="6219"/>
        <item m="1" x="6220"/>
        <item m="1" x="5222"/>
        <item m="1" x="6225"/>
        <item m="1" x="6226"/>
        <item m="1" x="6227"/>
        <item m="1" x="6229"/>
        <item m="1" x="6230"/>
        <item m="1" x="6231"/>
        <item m="1" x="6232"/>
        <item m="1" x="6239"/>
        <item m="1" x="6259"/>
        <item m="1" x="6261"/>
        <item m="1" x="6262"/>
        <item m="1" x="6263"/>
        <item m="1" x="5693"/>
        <item m="1" x="5694"/>
        <item m="1" x="5695"/>
        <item m="1" x="5696"/>
        <item m="1" x="5697"/>
        <item m="1" x="5022"/>
        <item m="1" x="5698"/>
        <item m="1" x="5699"/>
        <item m="1" x="5544"/>
        <item m="1" x="5702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573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6"/>
        <item m="1" x="5738"/>
        <item m="1" x="4964"/>
        <item m="1" x="5743"/>
        <item m="1" x="4716"/>
        <item m="1" x="5746"/>
        <item m="1" x="5747"/>
        <item m="1" x="5748"/>
        <item m="1" x="5749"/>
        <item m="1" x="5750"/>
        <item m="1" x="5592"/>
        <item m="1" x="5595"/>
        <item m="1" x="5599"/>
        <item m="1" x="5606"/>
        <item m="1" x="5602"/>
        <item m="1" x="5603"/>
        <item m="1" x="5604"/>
        <item m="1" x="5601"/>
        <item m="1" x="5751"/>
        <item m="1" x="5753"/>
        <item m="1" x="5754"/>
        <item m="1" x="5755"/>
        <item m="1" x="5613"/>
        <item m="1" x="5614"/>
        <item m="1" x="5612"/>
        <item m="1" x="5611"/>
        <item m="1" x="5156"/>
        <item m="1" x="5618"/>
        <item m="1" x="5337"/>
        <item m="1" x="5344"/>
        <item m="1" x="5345"/>
        <item m="1" x="5622"/>
        <item m="1" x="5623"/>
        <item m="1" x="5624"/>
        <item m="1" x="2870"/>
        <item m="1" x="5629"/>
        <item m="1" x="2871"/>
        <item m="1" x="2872"/>
        <item m="1" x="5638"/>
        <item m="1" x="5637"/>
        <item m="1" x="5633"/>
        <item m="1" x="5639"/>
        <item m="1" x="5761"/>
        <item m="1" x="5762"/>
        <item m="1" x="5763"/>
        <item m="1" x="5764"/>
        <item m="1" x="5765"/>
        <item m="1" x="5766"/>
        <item m="1" x="5768"/>
        <item m="1" x="5769"/>
        <item m="1" x="5770"/>
        <item m="1" x="5652"/>
        <item m="1" x="5651"/>
        <item m="1" x="5772"/>
        <item m="1" x="5653"/>
        <item m="1" x="5773"/>
        <item m="1" x="5774"/>
        <item m="1" x="5775"/>
        <item m="1" x="4267"/>
        <item m="1" x="4268"/>
        <item m="1" x="5659"/>
        <item m="1" x="5660"/>
        <item m="1" x="5391"/>
        <item m="1" x="5392"/>
        <item m="1" x="5390"/>
        <item m="1" x="5662"/>
        <item m="1" x="5665"/>
        <item m="1" x="3525"/>
        <item m="1" x="5401"/>
        <item m="1" x="5402"/>
        <item m="1" x="5670"/>
        <item m="1" x="5669"/>
        <item m="1" x="5672"/>
        <item m="1" x="5678"/>
        <item m="1" x="5532"/>
        <item m="1" x="5777"/>
        <item m="1" x="5778"/>
        <item m="1" x="4909"/>
        <item m="1" x="3522"/>
        <item m="1" x="5021"/>
        <item m="1" x="5020"/>
        <item m="1" x="5779"/>
        <item m="1" x="5684"/>
        <item m="1" x="5531"/>
        <item m="1" x="5530"/>
        <item m="1" x="5780"/>
        <item m="1" x="5781"/>
        <item m="1" x="5529"/>
        <item m="1" x="5539"/>
        <item m="1" x="5040"/>
        <item m="1" x="4684"/>
        <item m="1" x="5540"/>
        <item m="1" x="5541"/>
        <item m="1" x="5046"/>
        <item m="1" x="5055"/>
        <item m="1" x="5542"/>
        <item m="1" x="5545"/>
        <item m="1" x="5278"/>
        <item m="1" x="5546"/>
        <item m="1" x="5548"/>
        <item m="1" x="5549"/>
        <item m="1" x="5550"/>
        <item m="1" x="5551"/>
        <item m="1" x="5552"/>
        <item m="1" x="5524"/>
        <item m="1" x="5553"/>
        <item m="1" x="552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4149"/>
        <item m="1" x="5563"/>
        <item m="1" x="5564"/>
        <item m="1" x="5565"/>
        <item m="1" x="5566"/>
        <item m="1" x="5521"/>
        <item m="1" x="5567"/>
        <item m="1" x="5568"/>
        <item m="1" x="5569"/>
        <item m="1" x="5570"/>
        <item m="1" x="5571"/>
        <item m="1" x="5572"/>
        <item m="1" x="5574"/>
        <item m="1" x="5575"/>
        <item m="1" x="5576"/>
        <item m="1" x="5577"/>
        <item m="1" x="5072"/>
        <item m="1" x="5578"/>
        <item m="1" x="5579"/>
        <item m="1" x="5580"/>
        <item m="1" x="5581"/>
        <item m="1" x="5582"/>
        <item m="1" x="5526"/>
        <item m="1" x="5525"/>
        <item m="1" x="5583"/>
        <item m="1" x="5584"/>
        <item m="1" x="5585"/>
        <item m="1" x="5586"/>
        <item m="1" x="5587"/>
        <item m="1" x="5588"/>
        <item m="1" x="5306"/>
        <item m="1" x="5589"/>
        <item m="1" x="5522"/>
        <item m="1" x="5590"/>
        <item m="1" x="5528"/>
        <item m="1" x="5527"/>
        <item m="1" x="5314"/>
        <item m="1" x="3519"/>
        <item m="1" x="5591"/>
        <item m="1" x="5593"/>
        <item m="1" x="5594"/>
        <item m="1" x="2068"/>
        <item m="1" x="5320"/>
        <item m="1" x="5596"/>
        <item m="1" x="5597"/>
        <item m="1" x="5598"/>
        <item m="1" x="5600"/>
        <item m="1" x="5122"/>
        <item m="1" x="5605"/>
        <item m="1" x="5607"/>
        <item m="1" x="5128"/>
        <item m="1" x="5609"/>
        <item m="1" x="5610"/>
        <item m="1" x="5334"/>
        <item m="1" x="5335"/>
        <item m="1" x="5616"/>
        <item m="1" x="5617"/>
        <item m="1" x="5161"/>
        <item m="1" x="5619"/>
        <item m="1" x="5346"/>
        <item m="1" x="5166"/>
        <item m="1" x="5620"/>
        <item m="1" x="5625"/>
        <item m="1" x="5626"/>
        <item m="1" x="5627"/>
        <item m="1" x="5628"/>
        <item m="1" x="2873"/>
        <item m="1" x="5631"/>
        <item m="1" x="3520"/>
        <item m="1" x="5632"/>
        <item m="1" x="5634"/>
        <item m="1" x="5635"/>
        <item m="1" x="5636"/>
        <item m="1" x="5173"/>
        <item m="1" x="5640"/>
        <item m="1" x="5015"/>
        <item m="1" x="5642"/>
        <item m="1" x="5643"/>
        <item m="1" x="5644"/>
        <item m="1" x="5645"/>
        <item m="1" x="5646"/>
        <item m="1" x="5647"/>
        <item m="1" x="5648"/>
        <item m="1" x="5649"/>
        <item m="1" x="1927"/>
        <item m="1" x="5654"/>
        <item m="1" x="5655"/>
        <item m="1" x="5656"/>
        <item m="1" x="5657"/>
        <item m="1" x="5204"/>
        <item m="1" x="5205"/>
        <item m="1" x="5206"/>
        <item m="1" x="5388"/>
        <item m="1" x="5661"/>
        <item m="1" x="5663"/>
        <item m="1" x="5664"/>
        <item m="1" x="5666"/>
        <item m="1" x="5667"/>
        <item m="1" x="5668"/>
        <item m="1" x="5671"/>
        <item m="1" x="4276"/>
        <item m="1" x="5673"/>
        <item m="1" x="5674"/>
        <item m="1" x="5675"/>
        <item m="1" x="5019"/>
        <item m="1" x="5676"/>
        <item m="1" x="5677"/>
        <item m="1" x="5679"/>
        <item m="1" x="4768"/>
        <item m="1" x="5680"/>
        <item m="1" x="5223"/>
        <item m="1" x="5681"/>
        <item m="1" x="5682"/>
        <item m="1" x="5683"/>
        <item m="1" x="4906"/>
        <item m="1" x="5016"/>
        <item m="1" x="4907"/>
        <item m="1" x="3523"/>
        <item m="1" x="5685"/>
        <item m="1" x="5686"/>
        <item m="1" x="5687"/>
        <item m="1" x="5688"/>
        <item m="1" x="5689"/>
        <item m="1" x="5690"/>
        <item m="1" x="5691"/>
        <item m="1" x="5692"/>
        <item m="1" x="5492"/>
        <item m="1" x="5519"/>
        <item m="1" x="5047"/>
        <item m="1" x="5465"/>
        <item m="1" x="5274"/>
        <item m="1" x="4963"/>
        <item m="1" x="5464"/>
        <item m="1" x="5061"/>
        <item m="1" x="5281"/>
        <item m="1" x="5283"/>
        <item m="1" x="5429"/>
        <item m="1" x="5435"/>
        <item m="1" x="5511"/>
        <item m="1" x="5504"/>
        <item m="1" x="5503"/>
        <item m="1" x="5491"/>
        <item m="1" x="5502"/>
        <item m="1" x="5501"/>
        <item m="1" x="5500"/>
        <item m="1" x="5499"/>
        <item m="1" x="5498"/>
        <item m="1" x="5497"/>
        <item m="1" x="5518"/>
        <item m="1" x="5517"/>
        <item m="1" x="5516"/>
        <item m="1" x="5478"/>
        <item m="1" x="5477"/>
        <item m="1" x="5512"/>
        <item m="1" x="5463"/>
        <item m="1" x="5475"/>
        <item m="1" x="5470"/>
        <item m="1" x="5484"/>
        <item m="1" x="5483"/>
        <item m="1" x="5482"/>
        <item m="1" x="5071"/>
        <item m="1" x="5481"/>
        <item m="1" x="5480"/>
        <item m="1" x="5479"/>
        <item m="1" x="5296"/>
        <item m="1" x="5490"/>
        <item m="1" x="5489"/>
        <item m="1" x="5488"/>
        <item m="1" x="5487"/>
        <item m="1" x="5486"/>
        <item m="1" x="5485"/>
        <item m="1" x="5461"/>
        <item m="1" x="5460"/>
        <item m="1" x="5459"/>
        <item m="1" x="5436"/>
        <item m="1" x="5441"/>
        <item m="1" x="5302"/>
        <item m="1" x="5088"/>
        <item m="1" x="2839"/>
        <item m="1" x="5452"/>
        <item m="1" x="5091"/>
        <item m="1" x="5476"/>
        <item m="1" x="5095"/>
        <item m="1" x="5303"/>
        <item m="1" x="5446"/>
        <item m="1" x="5445"/>
        <item m="1" x="5444"/>
        <item m="1" x="5457"/>
        <item m="1" x="5456"/>
        <item m="1" x="5469"/>
        <item m="1" x="5468"/>
        <item m="1" x="5467"/>
        <item m="1" x="5466"/>
        <item m="1" x="5455"/>
        <item m="1" x="5454"/>
        <item m="1" x="5014"/>
        <item m="1" x="5013"/>
        <item m="1" x="5312"/>
        <item m="1" x="5313"/>
        <item m="1" x="5494"/>
        <item m="1" x="5493"/>
        <item m="1" x="5321"/>
        <item m="1" x="5505"/>
        <item m="1" x="5315"/>
        <item m="1" x="5319"/>
        <item m="1" x="3533"/>
        <item m="1" x="5325"/>
        <item m="1" x="5326"/>
        <item m="1" x="5124"/>
        <item m="1" x="5431"/>
        <item m="1" x="5430"/>
        <item m="1" x="5329"/>
        <item m="1" x="5330"/>
        <item m="1" x="5428"/>
        <item m="1" x="5427"/>
        <item m="1" x="5332"/>
        <item m="1" x="5439"/>
        <item m="1" x="5438"/>
        <item m="1" x="5437"/>
        <item m="1" x="5336"/>
        <item m="1" x="5340"/>
        <item m="1" x="5451"/>
        <item m="1" x="5434"/>
        <item m="1" x="5458"/>
        <item m="1" x="5165"/>
        <item m="1" x="5450"/>
        <item m="1" x="5449"/>
        <item m="1" x="5448"/>
        <item m="1" x="5447"/>
        <item m="1" x="5510"/>
        <item m="1" x="5509"/>
        <item m="1" x="5362"/>
        <item m="1" x="5360"/>
        <item m="1" x="5361"/>
        <item m="1" x="5359"/>
        <item m="1" x="3529"/>
        <item m="1" x="3530"/>
        <item m="1" x="2491"/>
        <item m="1" x="2492"/>
        <item m="1" x="2874"/>
        <item m="1" x="2489"/>
        <item m="1" x="2490"/>
        <item m="1" x="2488"/>
        <item m="1" x="5515"/>
        <item m="1" x="5514"/>
        <item m="1" x="5507"/>
        <item m="1" x="5472"/>
        <item m="1" x="5471"/>
        <item m="1" x="5432"/>
        <item m="1" x="5474"/>
        <item m="1" x="5473"/>
        <item m="1" x="5196"/>
        <item m="1" x="5195"/>
        <item m="1" x="5462"/>
        <item m="1" x="5513"/>
        <item m="1" x="5433"/>
        <item m="1" x="5378"/>
        <item m="1" x="5381"/>
        <item m="1" x="5382"/>
        <item m="1" x="5208"/>
        <item m="1" x="5012"/>
        <item m="1" x="5495"/>
        <item m="1" x="5443"/>
        <item m="1" x="5394"/>
        <item m="1" x="5395"/>
        <item m="1" x="5396"/>
        <item m="1" x="5442"/>
        <item m="1" x="5508"/>
        <item m="1" x="5425"/>
        <item m="1" x="5404"/>
        <item m="1" x="5011"/>
        <item m="1" x="5440"/>
        <item m="1" x="5407"/>
        <item m="1" x="5415"/>
        <item m="1" x="5406"/>
        <item m="1" x="5426"/>
        <item m="1" x="5225"/>
        <item m="1" x="5226"/>
        <item m="1" x="4908"/>
        <item m="1" x="5496"/>
        <item m="1" x="5506"/>
        <item m="1" x="5520"/>
        <item m="1" x="5453"/>
        <item m="1" x="5239"/>
        <item m="1" x="5240"/>
        <item m="1" x="5039"/>
        <item m="1" x="5044"/>
        <item m="1" x="5241"/>
        <item m="1" x="5045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5"/>
        <item m="1" x="5276"/>
        <item m="1" x="2051"/>
        <item m="1" x="5063"/>
        <item m="1" x="4965"/>
        <item m="1" x="5277"/>
        <item m="1" x="4975"/>
        <item m="1" x="5279"/>
        <item m="1" x="5280"/>
        <item m="1" x="5282"/>
        <item m="1" x="5284"/>
        <item m="1" x="5070"/>
        <item m="1" x="5069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068"/>
        <item m="1" x="5294"/>
        <item m="1" x="5064"/>
        <item m="1" x="5295"/>
        <item m="1" x="5065"/>
        <item m="1" x="5297"/>
        <item m="1" x="5298"/>
        <item m="1" x="5299"/>
        <item m="1" x="5300"/>
        <item m="1" x="5066"/>
        <item m="1" x="5067"/>
        <item m="1" x="5301"/>
        <item m="1" x="2165"/>
        <item m="1" x="2162"/>
        <item m="1" x="2161"/>
        <item m="1" x="4966"/>
        <item m="1" x="875"/>
        <item m="1" x="5304"/>
        <item m="1" x="5105"/>
        <item m="1" x="5106"/>
        <item m="1" x="5107"/>
        <item m="1" x="5305"/>
        <item m="1" x="5101"/>
        <item m="1" x="5308"/>
        <item m="1" x="5309"/>
        <item m="1" x="5310"/>
        <item m="1" x="5108"/>
        <item m="1" x="5311"/>
        <item m="1" x="5008"/>
        <item m="1" x="5318"/>
        <item m="1" x="5110"/>
        <item m="1" x="1413"/>
        <item m="1" x="5111"/>
        <item m="1" x="5109"/>
        <item m="1" x="5117"/>
        <item m="1" x="5118"/>
        <item m="1" x="5119"/>
        <item m="1" x="5120"/>
        <item m="1" x="3526"/>
        <item m="1" x="5327"/>
        <item m="1" x="5126"/>
        <item m="1" x="5328"/>
        <item m="1" x="5129"/>
        <item m="1" x="5130"/>
        <item m="1" x="5331"/>
        <item m="1" x="5133"/>
        <item m="1" x="5134"/>
        <item m="1" x="5135"/>
        <item m="1" x="5136"/>
        <item m="1" x="5143"/>
        <item m="1" x="5146"/>
        <item m="1" x="5147"/>
        <item m="1" x="5148"/>
        <item m="1" x="5149"/>
        <item m="1" x="5144"/>
        <item m="1" x="5150"/>
        <item m="1" x="5151"/>
        <item m="1" x="5155"/>
        <item m="1" x="4738"/>
        <item m="1" x="5338"/>
        <item m="1" x="5339"/>
        <item m="1" x="5347"/>
        <item m="1" x="5348"/>
        <item m="1" x="5349"/>
        <item m="1" x="5350"/>
        <item m="1" x="5351"/>
        <item m="1" x="5352"/>
        <item m="1" x="5168"/>
        <item m="1" x="5356"/>
        <item m="1" x="5357"/>
        <item m="1" x="5358"/>
        <item m="1" x="5363"/>
        <item m="1" x="5174"/>
        <item m="1" x="5365"/>
        <item m="1" x="5366"/>
        <item m="1" x="5367"/>
        <item m="1" x="5369"/>
        <item m="1" x="5370"/>
        <item m="1" x="5371"/>
        <item m="1" x="5190"/>
        <item m="1" x="5372"/>
        <item m="1" x="5373"/>
        <item m="1" x="5184"/>
        <item m="1" x="4253"/>
        <item m="1" x="2098"/>
        <item m="1" x="3317"/>
        <item m="1" x="5374"/>
        <item m="1" x="3730"/>
        <item m="1" x="5375"/>
        <item m="1" x="5376"/>
        <item m="1" x="5377"/>
        <item m="1" x="5379"/>
        <item m="1" x="5380"/>
        <item m="1" x="5207"/>
        <item m="1" x="5383"/>
        <item m="1" x="5384"/>
        <item m="1" x="5385"/>
        <item m="1" x="5386"/>
        <item m="1" x="5393"/>
        <item m="1" x="5210"/>
        <item m="1" x="5397"/>
        <item m="1" x="5398"/>
        <item m="1" x="5399"/>
        <item m="1" x="5211"/>
        <item m="1" x="5400"/>
        <item m="1" x="5215"/>
        <item m="1" x="5405"/>
        <item m="1" x="5221"/>
        <item m="1" x="5217"/>
        <item m="1" x="5218"/>
        <item m="1" x="5219"/>
        <item m="1" x="5220"/>
        <item m="1" x="5408"/>
        <item m="1" x="5409"/>
        <item m="1" x="4767"/>
        <item m="1" x="5410"/>
        <item m="1" x="5411"/>
        <item m="1" x="5412"/>
        <item m="1" x="5413"/>
        <item m="1" x="5414"/>
        <item m="1" x="5416"/>
        <item m="1" x="5224"/>
        <item m="1" x="5417"/>
        <item m="1" x="5418"/>
        <item m="1" x="5419"/>
        <item m="1" x="5422"/>
        <item m="1" x="5423"/>
        <item m="1" x="5424"/>
        <item m="1" x="5237"/>
        <item m="1" x="5235"/>
        <item m="1" x="5236"/>
        <item m="1" x="4988"/>
        <item m="1" x="5037"/>
        <item m="1" x="5038"/>
        <item m="1" x="3724"/>
        <item m="1" x="4304"/>
        <item m="1" x="5041"/>
        <item m="1" x="5042"/>
        <item m="1" x="5043"/>
        <item m="1" x="5018"/>
        <item m="1" x="5048"/>
        <item m="1" x="5049"/>
        <item m="1" x="5050"/>
        <item m="1" x="5051"/>
        <item m="1" x="5052"/>
        <item m="1" x="5053"/>
        <item m="1" x="5054"/>
        <item m="1" x="4778"/>
        <item m="1" x="5056"/>
        <item m="1" x="5057"/>
        <item m="1" x="4986"/>
        <item m="1" x="5058"/>
        <item m="1" x="5059"/>
        <item m="1" x="4781"/>
        <item m="1" x="5060"/>
        <item m="1" x="4985"/>
        <item m="1" x="5062"/>
        <item m="1" x="5010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4995"/>
        <item m="1" x="5087"/>
        <item m="1" x="5089"/>
        <item m="1" x="5090"/>
        <item m="1" x="5092"/>
        <item m="1" x="5033"/>
        <item m="1" x="5093"/>
        <item m="1" x="1631"/>
        <item m="1" x="5007"/>
        <item m="1" x="5006"/>
        <item m="1" x="5005"/>
        <item m="1" x="5096"/>
        <item m="1" x="5097"/>
        <item m="1" x="5099"/>
        <item m="1" x="5100"/>
        <item m="1" x="5103"/>
        <item m="1" x="5104"/>
        <item m="1" x="4999"/>
        <item m="1" x="4998"/>
        <item m="1" x="4997"/>
        <item m="1" x="5004"/>
        <item m="1" x="5003"/>
        <item m="1" x="3531"/>
        <item m="1" x="3532"/>
        <item m="1" x="4996"/>
        <item m="1" x="5112"/>
        <item m="1" x="4375"/>
        <item m="1" x="5113"/>
        <item m="1" x="5114"/>
        <item m="1" x="4983"/>
        <item m="1" x="5115"/>
        <item m="1" x="5116"/>
        <item m="1" x="3727"/>
        <item m="1" x="5121"/>
        <item m="1" x="4984"/>
        <item m="1" x="2830"/>
        <item m="1" x="2831"/>
        <item m="1" x="5123"/>
        <item m="1" x="1072"/>
        <item m="1" x="5125"/>
        <item m="1" x="4213"/>
        <item m="1" x="5127"/>
        <item m="1" x="4215"/>
        <item m="1" x="5131"/>
        <item m="1" x="4994"/>
        <item m="1" x="5017"/>
        <item m="1" x="2076"/>
        <item m="1" x="5132"/>
        <item m="1" x="5137"/>
        <item m="1" x="5138"/>
        <item m="1" x="4734"/>
        <item m="1" x="5139"/>
        <item m="1" x="5140"/>
        <item m="1" x="4737"/>
        <item m="1" x="5141"/>
        <item m="1" x="5142"/>
        <item m="1" x="5152"/>
        <item m="1" x="5154"/>
        <item m="1" x="5159"/>
        <item m="1" x="4677"/>
        <item m="1" x="1066"/>
        <item m="1" x="5162"/>
        <item m="1" x="5163"/>
        <item m="1" x="4743"/>
        <item m="1" x="5167"/>
        <item m="1" x="5169"/>
        <item m="1" x="5170"/>
        <item m="1" x="5171"/>
        <item m="1" x="4424"/>
        <item m="1" x="3528"/>
        <item m="1" x="5172"/>
        <item m="1" x="3527"/>
        <item m="1" x="666"/>
        <item m="1" x="4431"/>
        <item m="1" x="4432"/>
        <item m="1" x="3369"/>
        <item m="1" x="5002"/>
        <item m="1" x="5175"/>
        <item m="1" x="5176"/>
        <item m="1" x="5177"/>
        <item m="1" x="5178"/>
        <item m="1" x="683"/>
        <item m="1" x="5009"/>
        <item m="1" x="4874"/>
        <item m="1" x="5179"/>
        <item m="1" x="2445"/>
        <item m="1" x="5180"/>
        <item m="1" x="5181"/>
        <item m="1" x="5182"/>
        <item m="1" x="4251"/>
        <item m="1" x="5183"/>
        <item m="1" x="5185"/>
        <item m="1" x="5186"/>
        <item m="1" x="5187"/>
        <item m="1" x="5188"/>
        <item m="1" x="5189"/>
        <item m="1" x="5191"/>
        <item m="1" x="5192"/>
        <item m="1" x="5193"/>
        <item m="1" x="5194"/>
        <item m="1" x="4869"/>
        <item m="1" x="5197"/>
        <item m="1" x="5198"/>
        <item m="1" x="5199"/>
        <item m="1" x="2924"/>
        <item m="1" x="2925"/>
        <item m="1" x="5200"/>
        <item m="1" x="5201"/>
        <item m="1" x="5202"/>
        <item m="1" x="5203"/>
        <item m="1" x="4760"/>
        <item m="1" x="4761"/>
        <item m="1" x="1977"/>
        <item m="1" x="4762"/>
        <item m="1" x="4678"/>
        <item m="1" x="4987"/>
        <item m="1" x="3726"/>
        <item m="1" x="5212"/>
        <item m="1" x="5213"/>
        <item m="1" x="5214"/>
        <item m="1" x="4476"/>
        <item m="1" x="5216"/>
        <item m="1" x="4495"/>
        <item m="1" x="5227"/>
        <item m="1" x="4905"/>
        <item m="1" x="4993"/>
        <item m="1" x="4992"/>
        <item m="1" x="5228"/>
        <item m="1" x="5229"/>
        <item m="1" x="5230"/>
        <item m="1" x="2116"/>
        <item m="1" x="4680"/>
        <item m="1" x="4679"/>
        <item m="1" x="5232"/>
        <item m="1" x="5233"/>
        <item m="1" x="5234"/>
        <item m="1" x="4302"/>
        <item m="1" x="4949"/>
        <item m="1" x="4952"/>
        <item m="1" x="4951"/>
        <item m="1" x="4927"/>
        <item m="1" x="4928"/>
        <item m="1" x="4134"/>
        <item m="1" x="3019"/>
        <item m="1" x="4962"/>
        <item m="1" x="5001"/>
        <item m="1" x="4948"/>
        <item m="1" x="4954"/>
        <item m="1" x="4942"/>
        <item m="1" x="4976"/>
        <item m="1" x="4978"/>
        <item m="1" x="4944"/>
        <item m="1" x="4943"/>
        <item m="1" x="4947"/>
        <item m="1" x="4934"/>
        <item m="1" x="4936"/>
        <item m="1" x="4982"/>
        <item m="1" x="4150"/>
        <item m="1" x="4959"/>
        <item m="1" x="4805"/>
        <item m="1" x="4806"/>
        <item m="1" x="4955"/>
        <item m="1" x="4932"/>
        <item m="1" x="4802"/>
        <item m="1" x="4935"/>
        <item m="1" x="4939"/>
        <item m="1" x="4938"/>
        <item m="1" x="2163"/>
        <item m="1" x="5000"/>
        <item m="1" x="4945"/>
        <item m="1" x="4977"/>
        <item m="1" x="4821"/>
        <item m="1" x="4981"/>
        <item m="1" x="4825"/>
        <item m="1" x="4830"/>
        <item m="1" x="4831"/>
        <item m="1" x="4729"/>
        <item m="1" x="2439"/>
        <item m="1" x="2440"/>
        <item m="1" x="3720"/>
        <item m="1" x="3721"/>
        <item m="1" x="4940"/>
        <item m="1" x="4826"/>
        <item m="1" x="4827"/>
        <item m="1" x="3729"/>
        <item m="1" x="4974"/>
        <item m="1" x="4835"/>
        <item m="1" x="2827"/>
        <item m="1" x="4972"/>
        <item m="1" x="4960"/>
        <item m="1" x="4941"/>
        <item m="1" x="4968"/>
        <item m="1" x="4933"/>
        <item m="1" x="2586"/>
        <item m="1" x="4970"/>
        <item m="1" x="4969"/>
        <item m="1" x="4961"/>
        <item m="1" x="4980"/>
        <item m="1" x="4979"/>
        <item m="1" x="4675"/>
        <item m="1" x="3716"/>
        <item m="1" x="3717"/>
        <item m="1" x="3718"/>
        <item m="1" x="3719"/>
        <item m="1" x="4937"/>
        <item m="1" x="4849"/>
        <item m="1" x="4847"/>
        <item m="1" x="4848"/>
        <item m="1" x="4846"/>
        <item m="1" x="4853"/>
        <item m="1" x="4854"/>
        <item m="1" x="1067"/>
        <item m="1" x="4673"/>
        <item m="1" x="4967"/>
        <item m="1" x="4958"/>
        <item m="1" x="4946"/>
        <item m="1" x="5034"/>
        <item m="1" x="4925"/>
        <item m="1" x="4862"/>
        <item m="1" x="4864"/>
        <item m="1" x="4237"/>
        <item m="1" x="1895"/>
        <item m="1" x="1896"/>
        <item m="1" x="4973"/>
        <item m="1" x="4931"/>
        <item m="1" x="4950"/>
        <item m="1" x="4077"/>
        <item m="1" x="4953"/>
        <item m="1" x="4751"/>
        <item m="1" x="4876"/>
        <item m="1" x="4875"/>
        <item m="1" x="4989"/>
        <item m="1" x="2444"/>
        <item m="1" x="4065"/>
        <item m="1" x="4930"/>
        <item m="1" x="4674"/>
        <item m="1" x="3723"/>
        <item m="1" x="1979"/>
        <item m="1" x="4929"/>
        <item m="1" x="3725"/>
        <item m="1" x="4886"/>
        <item m="1" x="4887"/>
        <item m="1" x="4888"/>
        <item m="1" x="4890"/>
        <item m="1" x="4891"/>
        <item m="1" x="4899"/>
        <item m="1" x="4900"/>
        <item m="1" x="4901"/>
        <item m="1" x="4902"/>
        <item m="1" x="4903"/>
        <item m="1" x="3728"/>
        <item m="1" x="4676"/>
        <item m="1" x="4496"/>
        <item m="1" x="4497"/>
        <item m="1" x="4498"/>
        <item m="1" x="4499"/>
        <item m="1" x="4500"/>
        <item m="1" x="4501"/>
        <item m="1" x="4926"/>
        <item m="1" x="4991"/>
        <item m="1" x="4990"/>
        <item m="1" x="4913"/>
        <item m="1" x="4914"/>
        <item m="1" x="4957"/>
        <item m="1" x="4956"/>
        <item m="1" x="4971"/>
        <item m="1" x="4916"/>
        <item m="1" x="4918"/>
        <item m="1" x="4919"/>
        <item m="1" x="4920"/>
        <item m="1" x="4921"/>
        <item m="1" x="4922"/>
        <item m="1" x="4923"/>
        <item m="1" x="4770"/>
        <item m="1" x="4530"/>
        <item m="1" x="4917"/>
        <item m="1" x="4301"/>
        <item m="1" x="4771"/>
        <item m="1" x="4683"/>
        <item m="1" x="4772"/>
        <item m="1" x="4773"/>
        <item m="1" x="4774"/>
        <item m="1" x="4775"/>
        <item m="1" x="4776"/>
        <item m="1" x="1590"/>
        <item m="1" x="4777"/>
        <item m="1" x="4142"/>
        <item m="1" x="4779"/>
        <item m="1" x="4780"/>
        <item m="1" x="4782"/>
        <item m="1" x="4783"/>
        <item m="1" x="4784"/>
        <item m="1" x="4785"/>
        <item m="1" x="4786"/>
        <item m="1" x="4702"/>
        <item m="1" x="4787"/>
        <item m="1" x="4703"/>
        <item m="1" x="4788"/>
        <item m="1" x="4789"/>
        <item m="1" x="4790"/>
        <item m="1" x="4791"/>
        <item m="1" x="4320"/>
        <item m="1" x="4152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151"/>
        <item m="1" x="4803"/>
        <item m="1" x="4804"/>
        <item m="1" x="4807"/>
        <item m="1" x="4808"/>
        <item m="1" x="4809"/>
        <item m="1" x="4698"/>
        <item m="1" x="4699"/>
        <item m="1" x="4810"/>
        <item m="1" x="4811"/>
        <item m="1" x="4153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191"/>
        <item m="1" x="4822"/>
        <item m="1" x="4823"/>
        <item m="1" x="4824"/>
        <item m="1" x="3739"/>
        <item m="1" x="3740"/>
        <item m="1" x="4725"/>
        <item m="1" x="4726"/>
        <item m="1" x="4828"/>
        <item m="1" x="4829"/>
        <item m="1" x="4728"/>
        <item m="1" x="4832"/>
        <item m="1" x="4833"/>
        <item m="1" x="4834"/>
        <item m="1" x="3732"/>
        <item m="1" x="3733"/>
        <item m="1" x="3722"/>
        <item m="1" x="4398"/>
        <item m="1" x="4836"/>
        <item m="1" x="4669"/>
        <item m="1" x="4837"/>
        <item m="1" x="4838"/>
        <item m="1" x="4214"/>
        <item m="1" x="3753"/>
        <item m="1" x="4670"/>
        <item m="1" x="4839"/>
        <item m="1" x="4840"/>
        <item m="1" x="4841"/>
        <item m="1" x="4842"/>
        <item m="1" x="4843"/>
        <item m="1" x="4844"/>
        <item m="1" x="4845"/>
        <item m="1" x="1780"/>
        <item m="1" x="1781"/>
        <item m="1" x="4733"/>
        <item m="1" x="4850"/>
        <item m="1" x="4736"/>
        <item m="1" x="4851"/>
        <item m="1" x="4852"/>
        <item m="1" x="4407"/>
        <item m="1" x="4855"/>
        <item m="1" x="4856"/>
        <item m="1" x="4857"/>
        <item m="1" x="4858"/>
        <item m="1" x="4859"/>
        <item m="1" x="4742"/>
        <item m="1" x="4860"/>
        <item m="1" x="4861"/>
        <item m="1" x="4863"/>
        <item m="1" x="2959"/>
        <item m="1" x="4745"/>
        <item m="1" x="4426"/>
        <item m="1" x="4430"/>
        <item m="1" x="1893"/>
        <item m="1" x="4865"/>
        <item m="1" x="4866"/>
        <item m="1" x="4867"/>
        <item m="1" x="4868"/>
        <item m="1" x="4870"/>
        <item m="1" x="4243"/>
        <item m="1" x="4672"/>
        <item m="1" x="4066"/>
        <item m="1" x="4067"/>
        <item m="1" x="4068"/>
        <item m="1" x="4871"/>
        <item m="1" x="1910"/>
        <item m="1" x="4872"/>
        <item m="1" x="4873"/>
        <item m="1" x="2443"/>
        <item m="1" x="4254"/>
        <item m="1" x="4255"/>
        <item m="1" x="2895"/>
        <item m="1" x="4877"/>
        <item m="1" x="4878"/>
        <item m="1" x="4879"/>
        <item m="1" x="4880"/>
        <item m="1" x="4881"/>
        <item m="1" x="4882"/>
        <item m="1" x="4756"/>
        <item m="1" x="4883"/>
        <item m="1" x="4884"/>
        <item m="1" x="4671"/>
        <item m="1" x="3745"/>
        <item m="1" x="4885"/>
        <item m="1" x="3749"/>
        <item m="1" x="4889"/>
        <item m="1" x="4765"/>
        <item m="1" x="4892"/>
        <item m="1" x="4766"/>
        <item m="1" x="4893"/>
        <item m="1" x="4894"/>
        <item m="1" x="4895"/>
        <item m="1" x="4896"/>
        <item m="1" x="4490"/>
        <item m="1" x="4897"/>
        <item m="1" x="4898"/>
        <item m="1" x="4904"/>
        <item m="1" x="4288"/>
        <item m="1" x="4915"/>
        <item m="1" x="4668"/>
        <item m="1" x="2115"/>
        <item m="1" x="2335"/>
        <item m="1" x="2336"/>
        <item m="1" x="2337"/>
        <item m="1" x="4924"/>
        <item m="1" x="4681"/>
        <item m="1" x="4682"/>
        <item m="1" x="4685"/>
        <item m="1" x="4686"/>
        <item m="1" x="4307"/>
        <item m="1" x="1071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156"/>
        <item m="1" x="4155"/>
        <item m="1" x="4696"/>
        <item m="1" x="4697"/>
        <item m="1" x="4700"/>
        <item m="1" x="4701"/>
        <item m="1" x="4154"/>
        <item m="1" x="4704"/>
        <item m="1" x="4705"/>
        <item m="1" x="4706"/>
        <item m="1" x="4707"/>
        <item m="1" x="4708"/>
        <item m="1" x="4709"/>
        <item m="1" x="4710"/>
        <item m="1" x="4319"/>
        <item m="1" x="4711"/>
        <item m="1" x="4712"/>
        <item m="1" x="4713"/>
        <item m="1" x="4714"/>
        <item m="1" x="4715"/>
        <item m="1" x="4187"/>
        <item m="1" x="4356"/>
        <item m="1" x="2164"/>
        <item m="1" x="4368"/>
        <item m="1" x="4717"/>
        <item m="1" x="4718"/>
        <item m="1" x="4719"/>
        <item m="1" x="4720"/>
        <item m="1" x="4721"/>
        <item m="1" x="4722"/>
        <item m="1" x="4723"/>
        <item m="1" x="4724"/>
        <item m="1" x="3535"/>
        <item m="1" x="1659"/>
        <item m="1" x="1660"/>
        <item m="1" x="4727"/>
        <item m="1" x="3741"/>
        <item m="1" x="3742"/>
        <item m="1" x="4376"/>
        <item m="1" x="4377"/>
        <item m="1" x="4386"/>
        <item m="1" x="4384"/>
        <item m="1" x="4387"/>
        <item m="1" x="4389"/>
        <item m="1" x="4390"/>
        <item m="1" x="577"/>
        <item m="1" x="1676"/>
        <item m="1" x="4730"/>
        <item m="1" x="3752"/>
        <item m="1" x="4216"/>
        <item m="1" x="4661"/>
        <item m="1" x="4731"/>
        <item m="1" x="4732"/>
        <item m="1" x="4399"/>
        <item m="1" x="4649"/>
        <item m="1" x="4648"/>
        <item m="1" x="4735"/>
        <item m="1" x="4226"/>
        <item m="1" x="4227"/>
        <item m="1" x="1046"/>
        <item m="1" x="4660"/>
        <item m="1" x="4739"/>
        <item m="1" x="4740"/>
        <item m="1" x="4657"/>
        <item m="1" x="4653"/>
        <item m="1" x="4652"/>
        <item m="1" x="4664"/>
        <item m="1" x="4654"/>
        <item m="1" x="4659"/>
        <item m="1" x="4658"/>
        <item m="1" x="4663"/>
        <item m="1" x="4741"/>
        <item m="1" x="4662"/>
        <item m="1" x="4418"/>
        <item m="1" x="4419"/>
        <item m="1" x="4744"/>
        <item m="1" x="4425"/>
        <item m="1" x="4239"/>
        <item m="1" x="4240"/>
        <item m="1" x="4427"/>
        <item m="1" x="4656"/>
        <item m="1" x="4655"/>
        <item m="1" x="4428"/>
        <item m="1" x="4444"/>
        <item m="1" x="4746"/>
        <item m="1" x="4747"/>
        <item m="1" x="4748"/>
        <item m="1" x="4749"/>
        <item m="1" x="4647"/>
        <item m="1" x="2460"/>
        <item m="1" x="4069"/>
        <item m="1" x="4750"/>
        <item m="1" x="4665"/>
        <item m="1" x="4075"/>
        <item m="1" x="4457"/>
        <item m="1" x="4752"/>
        <item m="1" x="4753"/>
        <item m="1" x="4754"/>
        <item m="1" x="1946"/>
        <item m="1" x="4755"/>
        <item m="1" x="3318"/>
        <item m="1" x="3319"/>
        <item m="1" x="1485"/>
        <item m="1" x="4757"/>
        <item m="1" x="4758"/>
        <item m="1" x="4759"/>
        <item m="1" x="1480"/>
        <item m="1" x="3744"/>
        <item m="1" x="4763"/>
        <item m="1" x="4764"/>
        <item m="1" x="4478"/>
        <item m="1" x="4479"/>
        <item m="1" x="4480"/>
        <item m="1" x="4481"/>
        <item m="1" x="4485"/>
        <item m="1" x="4486"/>
        <item m="1" x="4491"/>
        <item m="1" x="4651"/>
        <item m="1" x="4667"/>
        <item m="1" x="4666"/>
        <item m="1" x="4287"/>
        <item m="1" x="2727"/>
        <item m="1" x="4286"/>
        <item m="1" x="4769"/>
        <item m="1" x="4504"/>
        <item m="1" x="2114"/>
        <item m="1" x="4529"/>
        <item m="1" x="4650"/>
        <item m="1" x="4528"/>
        <item m="1" x="4509"/>
        <item m="1" x="4510"/>
        <item m="1" x="4511"/>
        <item m="1" x="4512"/>
        <item m="1" x="4513"/>
        <item m="1" x="4524"/>
        <item m="1" x="4525"/>
        <item m="1" x="4523"/>
        <item m="1" x="3080"/>
        <item m="1" x="4566"/>
        <item m="1" x="4554"/>
        <item m="1" x="4623"/>
        <item m="1" x="4312"/>
        <item m="1" x="4311"/>
        <item m="1" x="4535"/>
        <item m="1" x="4308"/>
        <item m="1" x="4309"/>
        <item m="1" x="4310"/>
        <item m="1" x="4306"/>
        <item m="1" x="4641"/>
        <item m="1" x="4548"/>
        <item m="1" x="4547"/>
        <item m="1" x="4634"/>
        <item m="1" x="4553"/>
        <item m="1" x="4315"/>
        <item m="1" x="4567"/>
        <item m="1" x="4140"/>
        <item m="1" x="4646"/>
        <item m="1" x="4536"/>
        <item m="1" x="4330"/>
        <item m="1" x="4552"/>
        <item m="1" x="4551"/>
        <item m="1" x="4550"/>
        <item m="1" x="4549"/>
        <item m="1" x="4540"/>
        <item m="1" x="4331"/>
        <item m="1" x="4534"/>
        <item m="1" x="4533"/>
        <item m="1" x="4532"/>
        <item m="1" x="4332"/>
        <item m="1" x="4329"/>
        <item m="1" x="4328"/>
        <item m="1" x="4559"/>
        <item m="1" x="4581"/>
        <item m="1" x="4584"/>
        <item m="1" x="4596"/>
        <item m="1" x="4324"/>
        <item m="1" x="4593"/>
        <item m="1" x="4599"/>
        <item m="1" x="4326"/>
        <item m="1" x="4327"/>
        <item m="1" x="4325"/>
        <item m="1" x="4610"/>
        <item m="1" x="4609"/>
        <item m="1" x="4607"/>
        <item m="1" x="4606"/>
        <item m="1" x="4605"/>
        <item m="1" x="4604"/>
        <item m="1" x="4640"/>
        <item m="1" x="4642"/>
        <item m="1" x="4321"/>
        <item m="1" x="4639"/>
        <item m="1" x="4263"/>
        <item m="1" x="4645"/>
        <item m="1" x="4644"/>
        <item m="1" x="4630"/>
        <item m="1" x="4322"/>
        <item m="1" x="4624"/>
        <item m="1" x="4620"/>
        <item m="1" x="4619"/>
        <item m="1" x="4323"/>
        <item m="1" x="4618"/>
        <item m="1" x="4594"/>
        <item m="1" x="4595"/>
        <item m="1" x="4583"/>
        <item m="1" x="4582"/>
        <item m="1" x="4588"/>
        <item m="1" x="4629"/>
        <item m="1" x="4357"/>
        <item m="1" x="4364"/>
        <item m="1" x="1077"/>
        <item m="1" x="4369"/>
        <item m="1" x="4558"/>
        <item m="1" x="3534"/>
        <item m="1" x="3079"/>
        <item m="1" x="4603"/>
        <item m="1" x="4602"/>
        <item m="1" x="4388"/>
        <item m="1" x="4633"/>
        <item m="1" x="4378"/>
        <item m="1" x="4545"/>
        <item m="1" x="4381"/>
        <item m="1" x="1065"/>
        <item m="1" x="1664"/>
        <item m="1" x="4578"/>
        <item m="1" x="4397"/>
        <item m="1" x="4395"/>
        <item m="1" x="4396"/>
        <item m="1" x="4555"/>
        <item m="1" x="1701"/>
        <item m="1" x="4608"/>
        <item m="1" x="4557"/>
        <item m="1" x="4627"/>
        <item m="1" x="4626"/>
        <item m="1" x="4625"/>
        <item m="1" x="4543"/>
        <item m="1" x="4542"/>
        <item m="1" x="4541"/>
        <item m="1" x="4638"/>
        <item m="1" x="4637"/>
        <item m="1" x="4631"/>
        <item m="1" x="4570"/>
        <item m="1" x="4614"/>
        <item m="1" x="4613"/>
        <item m="1" x="1797"/>
        <item m="1" x="4632"/>
        <item m="1" x="4404"/>
        <item m="1" x="4405"/>
        <item m="1" x="4562"/>
        <item m="1" x="4408"/>
        <item m="1" x="4410"/>
        <item m="1" x="1804"/>
        <item m="1" x="4561"/>
        <item m="1" x="4560"/>
        <item m="1" x="4622"/>
        <item m="1" x="4600"/>
        <item m="1" x="4563"/>
        <item m="1" x="4568"/>
        <item m="1" x="4569"/>
        <item m="1" x="4621"/>
        <item m="1" x="4579"/>
        <item m="1" x="4416"/>
        <item m="1" x="4635"/>
        <item m="1" x="4580"/>
        <item m="1" x="1882"/>
        <item m="1" x="4420"/>
        <item m="1" x="4421"/>
        <item m="1" x="4423"/>
        <item m="1" x="3537"/>
        <item m="1" x="4435"/>
        <item m="1" x="4615"/>
        <item m="1" x="4429"/>
        <item m="1" x="4433"/>
        <item m="1" x="4436"/>
        <item m="1" x="4531"/>
        <item m="1" x="4434"/>
        <item m="1" x="1899"/>
        <item m="1" x="1898"/>
        <item m="1" x="677"/>
        <item m="1" x="4450"/>
        <item m="1" x="4546"/>
        <item m="1" x="4445"/>
        <item m="1" x="1909"/>
        <item m="1" x="4598"/>
        <item m="1" x="4592"/>
        <item m="1" x="4591"/>
        <item m="1" x="4628"/>
        <item m="1" x="1908"/>
        <item m="1" x="4564"/>
        <item m="1" x="2244"/>
        <item m="1" x="2894"/>
        <item m="1" x="678"/>
        <item m="1" x="679"/>
        <item m="1" x="680"/>
        <item m="1" x="4576"/>
        <item m="1" x="4455"/>
        <item m="1" x="4076"/>
        <item m="1" x="4643"/>
        <item m="1" x="4074"/>
        <item m="1" x="3370"/>
        <item m="1" x="4611"/>
        <item m="1" x="3088"/>
        <item m="1" x="4577"/>
        <item m="1" x="4565"/>
        <item m="1" x="4597"/>
        <item m="1" x="4464"/>
        <item m="1" x="4556"/>
        <item m="1" x="4265"/>
        <item m="1" x="4468"/>
        <item m="1" x="4469"/>
        <item m="1" x="4470"/>
        <item m="1" x="4601"/>
        <item m="1" x="4471"/>
        <item m="1" x="4472"/>
        <item m="1" x="3747"/>
        <item m="1" x="4544"/>
        <item m="1" x="4590"/>
        <item m="1" x="4589"/>
        <item m="1" x="4572"/>
        <item m="1" x="4571"/>
        <item m="1" x="4538"/>
        <item m="1" x="4537"/>
        <item m="1" x="4484"/>
        <item m="1" x="4475"/>
        <item m="1" x="4477"/>
        <item m="1" x="4612"/>
        <item m="1" x="4277"/>
        <item m="1" x="4492"/>
        <item m="1" x="4493"/>
        <item m="1" x="4487"/>
        <item m="1" x="4617"/>
        <item m="1" x="4616"/>
        <item m="1" x="4539"/>
        <item m="1" x="4284"/>
        <item m="1" x="4575"/>
        <item m="1" x="4574"/>
        <item m="1" x="4573"/>
        <item m="1" x="4520"/>
        <item m="1" x="4521"/>
        <item m="1" x="4587"/>
        <item m="1" x="4522"/>
        <item m="1" x="4586"/>
        <item m="1" x="4526"/>
        <item m="1" x="4527"/>
        <item m="1" x="4636"/>
        <item m="1" x="4506"/>
        <item m="1" x="4507"/>
        <item m="1" x="4508"/>
        <item m="1" x="4585"/>
        <item m="1" x="4505"/>
        <item m="1" x="4303"/>
        <item m="1" x="3738"/>
        <item m="1" x="4127"/>
        <item m="1" x="4305"/>
        <item m="1" x="4313"/>
        <item m="1" x="2050"/>
        <item m="1" x="2048"/>
        <item m="1" x="2049"/>
        <item m="1" x="4314"/>
        <item m="1" x="4316"/>
        <item m="1" x="4317"/>
        <item m="1" x="2442"/>
        <item m="1" x="4318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8"/>
        <item m="1" x="4359"/>
        <item m="1" x="4360"/>
        <item m="1" x="4190"/>
        <item m="1" x="4361"/>
        <item m="1" x="4362"/>
        <item m="1" x="4363"/>
        <item m="1" x="3754"/>
        <item m="1" x="4365"/>
        <item m="1" x="4366"/>
        <item m="1" x="4367"/>
        <item m="1" x="4370"/>
        <item m="1" x="3085"/>
        <item m="1" x="4371"/>
        <item m="1" x="3086"/>
        <item m="1" x="4372"/>
        <item m="1" x="4373"/>
        <item m="1" x="4197"/>
        <item m="1" x="654"/>
        <item m="1" x="4208"/>
        <item m="1" x="4374"/>
        <item m="1" x="3536"/>
        <item m="1" x="653"/>
        <item m="1" x="636"/>
        <item m="1" x="3743"/>
        <item m="1" x="4379"/>
        <item m="1" x="4380"/>
        <item m="1" x="4382"/>
        <item m="1" x="622"/>
        <item m="1" x="1288"/>
        <item m="1" x="1287"/>
        <item m="1" x="3750"/>
        <item m="1" x="4383"/>
        <item m="1" x="4385"/>
        <item m="1" x="4209"/>
        <item m="1" x="586"/>
        <item m="1" x="584"/>
        <item m="1" x="588"/>
        <item m="1" x="587"/>
        <item m="1" x="3731"/>
        <item m="1" x="4391"/>
        <item m="1" x="4392"/>
        <item m="1" x="3734"/>
        <item m="1" x="1675"/>
        <item m="1" x="4393"/>
        <item m="1" x="4394"/>
        <item m="1" x="3735"/>
        <item m="1" x="3736"/>
        <item m="1" x="4212"/>
        <item m="1" x="3006"/>
        <item m="1" x="1752"/>
        <item m="1" x="1750"/>
        <item m="1" x="1751"/>
        <item m="1" x="1742"/>
        <item m="1" x="1747"/>
        <item m="1" x="1748"/>
        <item m="1" x="1749"/>
        <item m="1" x="1737"/>
        <item m="1" x="1738"/>
        <item m="1" x="1763"/>
        <item m="1" x="1755"/>
        <item m="1" x="1756"/>
        <item m="1" x="1754"/>
        <item m="1" x="1757"/>
        <item m="1" x="1758"/>
        <item m="1" x="1753"/>
        <item m="1" x="3375"/>
        <item m="1" x="1710"/>
        <item m="1" x="1711"/>
        <item m="1" x="1715"/>
        <item m="1" x="1712"/>
        <item m="1" x="1713"/>
        <item m="1" x="1714"/>
        <item m="1" x="1716"/>
        <item m="1" x="1717"/>
        <item m="1" x="1718"/>
        <item m="1" x="1721"/>
        <item m="1" x="1722"/>
        <item m="1" x="1723"/>
        <item m="1" x="1724"/>
        <item m="1" x="3737"/>
        <item m="1" x="4400"/>
        <item m="1" x="4401"/>
        <item m="1" x="4402"/>
        <item m="1" x="4403"/>
        <item m="1" x="4406"/>
        <item m="1" x="4409"/>
        <item m="1" x="1803"/>
        <item m="1" x="4411"/>
        <item m="1" x="4412"/>
        <item m="1" x="4413"/>
        <item m="1" x="4414"/>
        <item m="1" x="4415"/>
        <item m="1" x="4417"/>
        <item m="1" x="1881"/>
        <item m="1" x="3371"/>
        <item m="1" x="3776"/>
        <item m="1" x="2868"/>
        <item m="1" x="2869"/>
        <item m="1" x="4422"/>
        <item m="1" x="4437"/>
        <item m="1" x="668"/>
        <item m="1" x="4438"/>
        <item m="1" x="4439"/>
        <item m="1" x="4440"/>
        <item m="1" x="4441"/>
        <item m="1" x="4442"/>
        <item m="1" x="2960"/>
        <item m="1" x="4443"/>
        <item m="1" x="4446"/>
        <item m="1" x="4241"/>
        <item m="1" x="4447"/>
        <item m="1" x="4448"/>
        <item m="1" x="4449"/>
        <item m="1" x="1897"/>
        <item m="1" x="3751"/>
        <item m="1" x="4451"/>
        <item m="1" x="4452"/>
        <item m="1" x="2447"/>
        <item m="1" x="4453"/>
        <item m="1" x="4454"/>
        <item m="1" x="4456"/>
        <item m="1" x="4458"/>
        <item m="1" x="4252"/>
        <item m="1" x="4459"/>
        <item m="1" x="4460"/>
        <item m="1" x="4461"/>
        <item m="1" x="4462"/>
        <item m="1" x="4463"/>
        <item m="1" x="4070"/>
        <item m="1" x="4071"/>
        <item m="1" x="4072"/>
        <item m="1" x="4465"/>
        <item m="1" x="4466"/>
        <item m="1" x="4260"/>
        <item m="1" x="3372"/>
        <item m="1" x="4467"/>
        <item m="1" x="3748"/>
        <item m="1" x="3746"/>
        <item m="1" x="4272"/>
        <item m="1" x="4273"/>
        <item m="1" x="4274"/>
        <item m="1" x="4275"/>
        <item m="1" x="4473"/>
        <item m="1" x="4474"/>
        <item m="1" x="3792"/>
        <item m="1" x="4482"/>
        <item m="1" x="4483"/>
        <item m="1" x="4488"/>
        <item m="1" x="4489"/>
        <item m="1" x="4494"/>
        <item m="1" x="4281"/>
        <item m="1" x="4282"/>
        <item m="1" x="4280"/>
        <item m="1" x="753"/>
        <item m="1" x="2307"/>
        <item m="1" x="4283"/>
        <item m="1" x="4285"/>
        <item m="1" x="4502"/>
        <item m="1" x="4295"/>
        <item m="1" x="4503"/>
        <item m="1" x="4514"/>
        <item m="1" x="4515"/>
        <item m="1" x="4516"/>
        <item m="1" x="4517"/>
        <item m="1" x="4518"/>
        <item m="1" x="4519"/>
        <item m="1" x="4121"/>
        <item m="1" x="4122"/>
        <item m="1" x="4123"/>
        <item m="1" x="4124"/>
        <item m="1" x="4125"/>
        <item m="1" x="4126"/>
        <item m="1" x="4128"/>
        <item m="1" x="4129"/>
        <item m="1" x="4130"/>
        <item m="1" x="4131"/>
        <item m="1" x="4132"/>
        <item m="1" x="4135"/>
        <item m="1" x="4136"/>
        <item m="1" x="4137"/>
        <item m="1" x="4138"/>
        <item m="1" x="4139"/>
        <item m="1" x="4141"/>
        <item m="1" x="4143"/>
        <item m="1" x="4144"/>
        <item m="1" x="3575"/>
        <item m="1" x="4145"/>
        <item m="1" x="4146"/>
        <item m="1" x="4147"/>
        <item m="1" x="4148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3999"/>
        <item m="1" x="4188"/>
        <item m="1" x="3539"/>
        <item m="1" x="4189"/>
        <item m="1" x="4192"/>
        <item m="1" x="4005"/>
        <item m="1" x="4006"/>
        <item m="1" x="4007"/>
        <item m="1" x="4193"/>
        <item m="1" x="4194"/>
        <item m="1" x="3084"/>
        <item m="1" x="4195"/>
        <item m="1" x="4196"/>
        <item m="1" x="3083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3774"/>
        <item m="1" x="3775"/>
        <item m="1" x="4012"/>
        <item m="1" x="3566"/>
        <item m="1" x="1658"/>
        <item m="1" x="3082"/>
        <item m="1" x="3768"/>
        <item m="1" x="4017"/>
        <item m="1" x="4210"/>
        <item m="1" x="4211"/>
        <item m="1" x="3081"/>
        <item m="1" x="3760"/>
        <item m="1" x="3761"/>
        <item m="1" x="3762"/>
        <item m="1" x="3763"/>
        <item m="1" x="3764"/>
        <item m="1" x="4019"/>
        <item m="1" x="4020"/>
        <item m="1" x="3538"/>
        <item m="1" x="3765"/>
        <item m="1" x="1708"/>
        <item m="1" x="1709"/>
        <item m="1" x="1704"/>
        <item m="1" x="1705"/>
        <item m="1" x="1706"/>
        <item m="1" x="1707"/>
        <item m="1" x="4032"/>
        <item m="1" x="4033"/>
        <item m="1" x="4034"/>
        <item m="1" x="4035"/>
        <item m="1" x="4217"/>
        <item m="1" x="4218"/>
        <item m="1" x="4219"/>
        <item m="1" x="4220"/>
        <item m="1" x="3374"/>
        <item m="1" x="3759"/>
        <item m="1" x="4221"/>
        <item m="1" x="4222"/>
        <item m="1" x="4223"/>
        <item m="1" x="4224"/>
        <item m="1" x="4225"/>
        <item m="1" x="4228"/>
        <item m="1" x="4229"/>
        <item m="1" x="4230"/>
        <item m="1" x="4231"/>
        <item m="1" x="1802"/>
        <item m="1" x="2906"/>
        <item m="1" x="4042"/>
        <item m="1" x="4043"/>
        <item m="1" x="4232"/>
        <item m="1" x="4233"/>
        <item m="1" x="4234"/>
        <item m="1" x="4235"/>
        <item m="1" x="4236"/>
        <item m="1" x="4048"/>
        <item m="1" x="4238"/>
        <item m="1" x="3555"/>
        <item m="1" x="4054"/>
        <item m="1" x="4053"/>
        <item m="1" x="3087"/>
        <item m="1" x="4056"/>
        <item m="1" x="4057"/>
        <item m="1" x="4058"/>
        <item m="1" x="4059"/>
        <item m="1" x="4244"/>
        <item m="1" x="4245"/>
        <item m="1" x="4246"/>
        <item m="1" x="4247"/>
        <item m="1" x="2633"/>
        <item m="1" x="4248"/>
        <item m="1" x="4249"/>
        <item m="1" x="4250"/>
        <item m="1" x="4256"/>
        <item m="1" x="4257"/>
        <item m="1" x="4258"/>
        <item m="1" x="4259"/>
        <item m="1" x="4073"/>
        <item m="1" x="4261"/>
        <item m="1" x="4262"/>
        <item m="1" x="4264"/>
        <item m="1" x="4266"/>
        <item m="1" x="4269"/>
        <item m="1" x="4270"/>
        <item m="1" x="4083"/>
        <item m="1" x="4271"/>
        <item m="1" x="2503"/>
        <item m="1" x="779"/>
        <item m="1" x="780"/>
        <item m="1" x="781"/>
        <item m="1" x="4096"/>
        <item m="1" x="3791"/>
        <item m="1" x="4097"/>
        <item m="1" x="4098"/>
        <item m="1" x="4278"/>
        <item m="1" x="4279"/>
        <item m="1" x="4289"/>
        <item m="1" x="4290"/>
        <item m="1" x="4291"/>
        <item m="1" x="754"/>
        <item m="1" x="751"/>
        <item m="1" x="2729"/>
        <item m="1" x="4292"/>
        <item m="1" x="4293"/>
        <item m="1" x="2309"/>
        <item m="1" x="4294"/>
        <item m="1" x="4296"/>
        <item m="1" x="4297"/>
        <item m="1" x="4298"/>
        <item m="1" x="4299"/>
        <item m="1" x="4300"/>
        <item m="1" x="4120"/>
        <item m="1" x="4117"/>
        <item m="1" x="4118"/>
        <item m="1" x="4119"/>
        <item m="1" x="4104"/>
        <item m="1" x="4105"/>
        <item m="1" x="3786"/>
        <item m="1" x="4113"/>
        <item m="1" x="4114"/>
        <item m="1" x="4115"/>
        <item m="1" x="4116"/>
        <item m="1" x="4106"/>
        <item m="1" x="3037"/>
        <item m="1" x="3767"/>
        <item m="1" x="3939"/>
        <item m="1" x="3940"/>
        <item m="1" x="3941"/>
        <item m="1" x="3808"/>
        <item m="1" x="3942"/>
        <item m="1" x="3793"/>
        <item m="1" x="1043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1577"/>
        <item m="1" x="3398"/>
        <item m="1" x="2912"/>
        <item m="1" x="3959"/>
        <item m="1" x="3960"/>
        <item m="1" x="3961"/>
        <item m="1" x="2911"/>
        <item m="1" x="2554"/>
        <item m="1" x="3962"/>
        <item m="1" x="3963"/>
        <item m="1" x="3549"/>
        <item m="1" x="3550"/>
        <item m="1" x="3964"/>
        <item m="1" x="3965"/>
        <item m="1" x="3577"/>
        <item m="1" x="3966"/>
        <item m="1" x="3967"/>
        <item m="1" x="3968"/>
        <item m="1" x="3969"/>
        <item m="1" x="3970"/>
        <item m="1" x="3402"/>
        <item m="1" x="3971"/>
        <item m="1" x="3972"/>
        <item m="1" x="3973"/>
        <item m="1" x="3974"/>
        <item m="1" x="3975"/>
        <item m="1" x="3580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798"/>
        <item m="1" x="3990"/>
        <item m="1" x="3991"/>
        <item m="1" x="3800"/>
        <item m="1" x="3799"/>
        <item m="1" x="3992"/>
        <item m="1" x="3993"/>
        <item m="1" x="3994"/>
        <item m="1" x="3126"/>
        <item m="1" x="3125"/>
        <item m="1" x="3804"/>
        <item m="1" x="3803"/>
        <item m="1" x="3995"/>
        <item m="1" x="3373"/>
        <item m="1" x="3996"/>
        <item m="1" x="3997"/>
        <item m="1" x="3998"/>
        <item m="1" x="3540"/>
        <item m="1" x="4000"/>
        <item m="1" x="4001"/>
        <item m="1" x="1636"/>
        <item m="1" x="1635"/>
        <item m="1" x="3805"/>
        <item m="1" x="3806"/>
        <item m="1" x="4002"/>
        <item m="1" x="4003"/>
        <item m="1" x="4004"/>
        <item m="1" x="1642"/>
        <item m="1" x="4008"/>
        <item m="1" x="4009"/>
        <item m="1" x="4010"/>
        <item m="1" x="4011"/>
        <item m="1" x="3551"/>
        <item m="1" x="4013"/>
        <item m="1" x="2069"/>
        <item m="1" x="2070"/>
        <item m="1" x="2071"/>
        <item m="1" x="3766"/>
        <item m="1" x="4014"/>
        <item m="1" x="4015"/>
        <item m="1" x="4016"/>
        <item m="1" x="4018"/>
        <item m="1" x="3758"/>
        <item m="1" x="585"/>
        <item m="1" x="4021"/>
        <item m="1" x="4022"/>
        <item m="1" x="4023"/>
        <item m="1" x="4024"/>
        <item m="1" x="4025"/>
        <item m="1" x="4026"/>
        <item m="1" x="3770"/>
        <item m="1" x="3773"/>
        <item m="1" x="3771"/>
        <item m="1" x="3772"/>
        <item m="1" x="4027"/>
        <item m="1" x="4028"/>
        <item m="1" x="1697"/>
        <item m="1" x="3565"/>
        <item m="1" x="2921"/>
        <item m="1" x="4029"/>
        <item m="1" x="4030"/>
        <item m="1" x="1760"/>
        <item m="1" x="1743"/>
        <item m="1" x="1720"/>
        <item m="1" x="4031"/>
        <item m="1" x="4036"/>
        <item m="1" x="4037"/>
        <item m="1" x="3541"/>
        <item m="1" x="4038"/>
        <item m="1" x="3756"/>
        <item m="1" x="3755"/>
        <item m="1" x="4039"/>
        <item m="1" x="3089"/>
        <item m="1" x="3090"/>
        <item m="1" x="4040"/>
        <item m="1" x="4041"/>
        <item m="1" x="621"/>
        <item m="1" x="2775"/>
        <item m="1" x="4044"/>
        <item m="1" x="4045"/>
        <item m="1" x="2784"/>
        <item m="1" x="4046"/>
        <item m="1" x="4047"/>
        <item m="1" x="4049"/>
        <item m="1" x="4050"/>
        <item m="1" x="3553"/>
        <item m="1" x="3554"/>
        <item m="1" x="4051"/>
        <item m="1" x="4052"/>
        <item m="1" x="2961"/>
        <item m="1" x="1894"/>
        <item m="1" x="4055"/>
        <item m="1" x="2668"/>
        <item m="1" x="4060"/>
        <item m="1" x="4061"/>
        <item m="1" x="4062"/>
        <item m="1" x="4063"/>
        <item m="1" x="4064"/>
        <item m="1" x="863"/>
        <item m="1" x="861"/>
        <item m="1" x="4078"/>
        <item m="1" x="2891"/>
        <item m="1" x="4080"/>
        <item m="1" x="1045"/>
        <item m="1" x="2740"/>
        <item m="1" x="4081"/>
        <item m="1" x="3777"/>
        <item m="1" x="3778"/>
        <item m="1" x="4082"/>
        <item m="1" x="4084"/>
        <item m="1" x="3779"/>
        <item m="1" x="3780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1083"/>
        <item m="1" x="1082"/>
        <item m="1" x="4099"/>
        <item m="1" x="4100"/>
        <item m="1" x="4101"/>
        <item m="1" x="3781"/>
        <item m="1" x="1112"/>
        <item m="1" x="746"/>
        <item m="1" x="2728"/>
        <item m="1" x="3561"/>
        <item m="1" x="4102"/>
        <item m="1" x="3562"/>
        <item m="1" x="2308"/>
        <item m="1" x="3560"/>
        <item m="1" x="3558"/>
        <item m="1" x="3559"/>
        <item m="1" x="3557"/>
        <item m="1" x="4103"/>
        <item m="1" x="3123"/>
        <item m="1" x="3784"/>
        <item m="1" x="3785"/>
        <item m="1" x="4107"/>
        <item m="1" x="4108"/>
        <item m="1" x="4109"/>
        <item m="1" x="4110"/>
        <item m="1" x="4111"/>
        <item m="1" x="4112"/>
        <item m="1" x="775"/>
        <item m="1" x="3379"/>
        <item m="1" x="3757"/>
        <item m="1" x="3321"/>
        <item m="1" x="3543"/>
        <item m="1" x="613"/>
        <item m="1" x="3544"/>
        <item m="1" x="3545"/>
        <item m="1" x="3546"/>
        <item m="1" x="2454"/>
        <item m="1" x="3547"/>
        <item m="1" x="2455"/>
        <item m="1" x="3107"/>
        <item m="1" x="2456"/>
        <item m="1" x="3769"/>
        <item m="1" x="2457"/>
        <item m="1" x="681"/>
        <item m="1" x="3552"/>
        <item m="1" x="1069"/>
        <item m="1" x="3782"/>
        <item m="1" x="3783"/>
        <item m="1" x="3564"/>
        <item m="1" x="3787"/>
        <item m="1" x="3788"/>
        <item m="1" x="3789"/>
        <item m="1" x="3790"/>
        <item m="1" x="3569"/>
        <item m="1" x="3568"/>
        <item m="1" x="2754"/>
        <item m="1" x="819"/>
        <item m="1" x="3574"/>
        <item m="1" x="1914"/>
        <item m="1" x="1906"/>
        <item m="1" x="1937"/>
        <item m="1" x="1929"/>
        <item m="1" x="1902"/>
        <item m="1" x="1955"/>
        <item m="1" x="1913"/>
        <item m="1" x="1911"/>
        <item m="1" x="1928"/>
        <item m="1" x="1925"/>
        <item m="1" x="3794"/>
        <item m="1" x="3795"/>
        <item m="1" x="3796"/>
        <item m="1" x="3797"/>
        <item m="1" x="1905"/>
        <item m="1" x="3320"/>
        <item m="1" x="3581"/>
        <item m="1" x="3801"/>
        <item m="1" x="3802"/>
        <item m="1" x="1061"/>
        <item m="1" x="3583"/>
        <item m="1" x="3807"/>
        <item m="1" x="2929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097"/>
        <item m="1" x="3820"/>
        <item m="1" x="3821"/>
        <item m="1" x="3822"/>
        <item m="1" x="3823"/>
        <item m="1" x="3824"/>
        <item m="1" x="3542"/>
        <item m="1" x="3825"/>
        <item m="1" x="3826"/>
        <item m="1" x="3827"/>
        <item m="1" x="3828"/>
        <item m="1" x="3597"/>
        <item m="1" x="3829"/>
        <item m="1" x="3830"/>
        <item m="1" x="3831"/>
        <item m="1" x="3832"/>
        <item m="1" x="3833"/>
        <item m="1" x="3103"/>
        <item m="1" x="3834"/>
        <item m="1" x="3835"/>
        <item m="1" x="3836"/>
        <item m="1" x="3837"/>
        <item m="1" x="3548"/>
        <item m="1" x="3105"/>
        <item m="1" x="3838"/>
        <item m="1" x="3839"/>
        <item m="1" x="3106"/>
        <item m="1" x="3381"/>
        <item m="1" x="3382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415"/>
        <item m="1" x="3840"/>
        <item m="1" x="655"/>
        <item m="1" x="656"/>
        <item m="1" x="3841"/>
        <item m="1" x="3842"/>
        <item m="1" x="3843"/>
        <item m="1" x="3844"/>
        <item m="1" x="2888"/>
        <item m="1" x="3556"/>
        <item m="1" x="3845"/>
        <item m="1" x="3846"/>
        <item m="1" x="3847"/>
        <item m="1" x="3848"/>
        <item m="1" x="2664"/>
        <item m="1" x="3849"/>
        <item m="1" x="3850"/>
        <item m="1" x="3851"/>
        <item m="1" x="1425"/>
        <item m="1" x="3852"/>
        <item m="1" x="707"/>
        <item m="1" x="3853"/>
        <item m="1" x="1482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563"/>
        <item m="1" x="3864"/>
        <item m="1" x="1307"/>
        <item m="1" x="3865"/>
        <item m="1" x="2312"/>
        <item m="1" x="2313"/>
        <item m="1" x="2314"/>
        <item m="1" x="3584"/>
        <item m="1" x="3866"/>
        <item m="1" x="3867"/>
        <item m="1" x="3868"/>
        <item m="1" x="3869"/>
        <item m="1" x="3870"/>
        <item m="1" x="3383"/>
        <item m="1" x="3871"/>
        <item m="1" x="3567"/>
        <item m="1" x="3571"/>
        <item m="1" x="3570"/>
        <item m="1" x="3400"/>
        <item m="1" x="3573"/>
        <item m="1" x="1765"/>
        <item m="1" x="1633"/>
        <item m="1" x="3872"/>
        <item m="1" x="1632"/>
        <item m="1" x="3873"/>
        <item m="1" x="1944"/>
        <item m="1" x="3576"/>
        <item m="1" x="3874"/>
        <item m="1" x="3875"/>
        <item m="1" x="1702"/>
        <item m="1" x="2540"/>
        <item m="1" x="3876"/>
        <item m="1" x="3877"/>
        <item m="1" x="3878"/>
        <item m="1" x="3879"/>
        <item m="1" x="3880"/>
        <item m="1" x="1703"/>
        <item m="1" x="2788"/>
        <item m="1" x="2902"/>
        <item m="1" x="3048"/>
        <item m="1" x="2785"/>
        <item m="1" x="3881"/>
        <item m="1" x="3882"/>
        <item m="1" x="2780"/>
        <item m="1" x="3883"/>
        <item m="1" x="1819"/>
        <item m="1" x="3884"/>
        <item m="1" x="3885"/>
        <item m="1" x="3886"/>
        <item m="1" x="3887"/>
        <item m="1" x="1919"/>
        <item m="1" x="862"/>
        <item m="1" x="3888"/>
        <item m="1" x="2782"/>
        <item m="1" x="2783"/>
        <item m="1" x="3889"/>
        <item m="1" x="3890"/>
        <item m="1" x="3891"/>
        <item m="1" x="2792"/>
        <item m="1" x="2793"/>
        <item m="1" x="2794"/>
        <item m="1" x="2796"/>
        <item m="1" x="3892"/>
        <item m="1" x="3893"/>
        <item m="1" x="2799"/>
        <item m="1" x="2798"/>
        <item m="1" x="2803"/>
        <item m="1" x="2802"/>
        <item m="1" x="2800"/>
        <item m="1" x="2801"/>
        <item m="1" x="2804"/>
        <item m="1" x="3894"/>
        <item m="1" x="3404"/>
        <item m="1" x="3895"/>
        <item m="1" x="3896"/>
        <item m="1" x="3897"/>
        <item m="1" x="3898"/>
        <item m="1" x="3899"/>
        <item m="1" x="3900"/>
        <item m="1" x="3579"/>
        <item m="1" x="3578"/>
        <item m="1" x="3901"/>
        <item m="1" x="2822"/>
        <item m="1" x="3902"/>
        <item m="1" x="3582"/>
        <item m="1" x="3903"/>
        <item m="1" x="3904"/>
        <item m="1" x="3905"/>
        <item m="1" x="3906"/>
        <item m="1" x="3907"/>
        <item m="1" x="3908"/>
        <item m="1" x="3909"/>
        <item m="1" x="3910"/>
        <item m="1" x="2094"/>
        <item m="1" x="3911"/>
        <item m="1" x="3912"/>
        <item m="1" x="3913"/>
        <item m="1" x="3914"/>
        <item m="1" x="3648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1768"/>
        <item m="1" x="1779"/>
        <item m="1" x="3659"/>
        <item m="1" x="3924"/>
        <item m="1" x="3925"/>
        <item m="1" x="3926"/>
        <item m="1" x="3927"/>
        <item m="1" x="3928"/>
        <item m="1" x="3929"/>
        <item m="1" x="3930"/>
        <item m="1" x="2806"/>
        <item m="1" x="3931"/>
        <item m="1" x="3700"/>
        <item m="1" x="3932"/>
        <item m="1" x="3933"/>
        <item m="1" x="3934"/>
        <item m="1" x="3935"/>
        <item m="1" x="3936"/>
        <item m="1" x="3937"/>
        <item m="1" x="3691"/>
        <item m="1" x="3938"/>
        <item m="1" x="2828"/>
        <item m="1" x="1285"/>
        <item m="1" x="3572"/>
        <item m="1" x="3585"/>
        <item m="1" x="3586"/>
        <item m="1" x="3587"/>
        <item m="1" x="3588"/>
        <item m="1" x="3589"/>
        <item m="1" x="3376"/>
        <item m="1" x="3377"/>
        <item m="1" x="3590"/>
        <item m="1" x="3591"/>
        <item m="1" x="3378"/>
        <item m="1" x="3592"/>
        <item m="1" x="3322"/>
        <item m="1" x="614"/>
        <item m="1" x="2159"/>
        <item m="1" x="3593"/>
        <item m="1" x="3594"/>
        <item m="1" x="3595"/>
        <item m="1" x="3596"/>
        <item m="1" x="3598"/>
        <item m="1" x="3599"/>
        <item m="1" x="3600"/>
        <item m="1" x="3601"/>
        <item m="1" x="2947"/>
        <item m="1" x="3602"/>
        <item m="1" x="3603"/>
        <item m="1" x="3604"/>
        <item m="1" x="3605"/>
        <item m="1" x="3606"/>
        <item m="1" x="3101"/>
        <item m="1" x="3607"/>
        <item m="1" x="3608"/>
        <item m="1" x="3609"/>
        <item m="1" x="3380"/>
        <item m="1" x="3447"/>
        <item m="1" x="3108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109"/>
        <item m="1" x="3110"/>
        <item m="1" x="3625"/>
        <item m="1" x="667"/>
        <item m="1" x="3626"/>
        <item m="1" x="3111"/>
        <item m="1" x="3112"/>
        <item m="1" x="3627"/>
        <item m="1" x="665"/>
        <item m="1" x="3628"/>
        <item m="1" x="2966"/>
        <item m="1" x="2967"/>
        <item m="1" x="3629"/>
        <item m="1" x="3384"/>
        <item m="1" x="1521"/>
        <item m="1" x="3630"/>
        <item m="1" x="3631"/>
        <item m="1" x="3397"/>
        <item m="1" x="708"/>
        <item m="1" x="3632"/>
        <item m="1" x="3115"/>
        <item m="1" x="3118"/>
        <item m="1" x="3633"/>
        <item m="1" x="3634"/>
        <item m="1" x="2979"/>
        <item m="1" x="3635"/>
        <item m="1" x="3636"/>
        <item m="1" x="1504"/>
        <item m="1" x="3637"/>
        <item m="1" x="3638"/>
        <item m="1" x="3639"/>
        <item m="1" x="3002"/>
        <item m="1" x="3640"/>
        <item m="1" x="3641"/>
        <item m="1" x="3642"/>
        <item m="1" x="3643"/>
        <item m="1" x="2695"/>
        <item m="1" x="2696"/>
        <item m="1" x="3121"/>
        <item m="1" x="3644"/>
        <item m="1" x="2113"/>
        <item m="1" x="3645"/>
        <item m="1" x="3646"/>
        <item m="1" x="3647"/>
        <item m="1" x="1791"/>
        <item m="1" x="3649"/>
        <item m="1" x="3650"/>
        <item m="1" x="3399"/>
        <item m="1" x="3651"/>
        <item m="1" x="3652"/>
        <item m="1" x="3403"/>
        <item m="1" x="3653"/>
        <item m="1" x="3654"/>
        <item m="1" x="3655"/>
        <item m="1" x="1777"/>
        <item m="1" x="1778"/>
        <item m="1" x="3656"/>
        <item m="1" x="3657"/>
        <item m="1" x="3658"/>
        <item m="1" x="3660"/>
        <item m="1" x="3661"/>
        <item m="1" x="3662"/>
        <item m="1" x="3401"/>
        <item m="1" x="3663"/>
        <item m="1" x="3664"/>
        <item m="1" x="3665"/>
        <item m="1" x="834"/>
        <item m="1" x="3666"/>
        <item m="1" x="3667"/>
        <item m="1" x="3668"/>
        <item m="1" x="2549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874"/>
        <item m="1" x="1695"/>
        <item m="1" x="3682"/>
        <item m="1" x="2031"/>
        <item m="1" x="3683"/>
        <item m="1" x="3684"/>
        <item m="1" x="3685"/>
        <item m="1" x="3686"/>
        <item m="1" x="3687"/>
        <item m="1" x="3688"/>
        <item m="1" x="3689"/>
        <item m="1" x="3057"/>
        <item m="1" x="3690"/>
        <item m="1" x="3692"/>
        <item m="1" x="3693"/>
        <item m="1" x="3694"/>
        <item m="1" x="3405"/>
        <item m="1" x="3695"/>
        <item m="1" x="3408"/>
        <item m="1" x="3411"/>
        <item m="1" x="3696"/>
        <item m="1" x="3413"/>
        <item m="1" x="3697"/>
        <item m="1" x="3406"/>
        <item m="1" x="3698"/>
        <item m="1" x="3699"/>
        <item m="1" x="3407"/>
        <item m="1" x="3507"/>
        <item m="1" x="3409"/>
        <item m="1" x="3410"/>
        <item m="1" x="3412"/>
        <item m="1" x="1063"/>
        <item m="1" x="3414"/>
        <item m="1" x="3701"/>
        <item m="1" x="3326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1980"/>
        <item m="1" x="3711"/>
        <item m="1" x="3712"/>
        <item m="1" x="3417"/>
        <item m="1" x="3713"/>
        <item m="1" x="3714"/>
        <item m="1" x="3715"/>
        <item m="1" x="3512"/>
        <item m="1" x="3368"/>
        <item m="1" x="3416"/>
        <item m="1" x="3091"/>
        <item m="1" x="3092"/>
        <item m="1" x="3093"/>
        <item m="1" x="3094"/>
        <item m="1" x="3095"/>
        <item m="1" x="3096"/>
        <item m="1" x="3135"/>
        <item m="1" x="3136"/>
        <item m="1" x="3137"/>
        <item m="1" x="3327"/>
        <item m="1" x="2935"/>
        <item m="1" x="3141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1274"/>
        <item m="1" x="3098"/>
        <item m="1" x="2943"/>
        <item m="1" x="3441"/>
        <item m="1" x="3181"/>
        <item m="1" x="3099"/>
        <item m="1" x="3442"/>
        <item m="1" x="1068"/>
        <item m="1" x="623"/>
        <item m="1" x="3100"/>
        <item m="1" x="3183"/>
        <item m="1" x="3184"/>
        <item m="1" x="3190"/>
        <item m="1" x="3104"/>
        <item m="1" x="3102"/>
        <item m="1" x="2637"/>
        <item m="1" x="3443"/>
        <item m="1" x="2951"/>
        <item m="1" x="3444"/>
        <item m="1" x="3445"/>
        <item m="1" x="3446"/>
        <item m="1" x="3448"/>
        <item m="1" x="3449"/>
        <item m="1" x="3330"/>
        <item m="1" x="3331"/>
        <item m="1" x="3450"/>
        <item m="1" x="3451"/>
        <item m="1" x="3452"/>
        <item m="1" x="3453"/>
        <item m="1" x="2974"/>
        <item m="1" x="2957"/>
        <item m="1" x="3113"/>
        <item m="1" x="3114"/>
        <item m="1" x="3454"/>
        <item m="1" x="2660"/>
        <item m="1" x="3455"/>
        <item m="1" x="3456"/>
        <item m="1" x="3457"/>
        <item m="1" x="3171"/>
        <item m="1" x="3116"/>
        <item m="1" x="3172"/>
        <item m="1" x="1493"/>
        <item m="1" x="3117"/>
        <item m="1" x="3458"/>
        <item m="1" x="3459"/>
        <item m="1" x="3119"/>
        <item m="1" x="3195"/>
        <item m="1" x="3120"/>
        <item m="1" x="3197"/>
        <item m="1" x="3198"/>
        <item m="1" x="2989"/>
        <item m="1" x="3460"/>
        <item m="1" x="3461"/>
        <item m="1" x="2984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2982"/>
        <item m="1" x="2983"/>
        <item m="1" x="2985"/>
        <item m="1" x="3323"/>
        <item m="1" x="3213"/>
        <item m="1" x="778"/>
        <item m="1" x="3122"/>
        <item m="1" x="3217"/>
        <item m="1" x="3216"/>
        <item m="1" x="3462"/>
        <item m="1" x="3463"/>
        <item m="1" x="3464"/>
        <item m="1" x="3465"/>
        <item m="1" x="3466"/>
        <item m="1" x="3467"/>
        <item m="1" x="3468"/>
        <item m="1" x="3469"/>
        <item m="1" x="1787"/>
        <item m="1" x="3470"/>
        <item m="1" x="3471"/>
        <item m="1" x="3472"/>
        <item m="1" x="3473"/>
        <item m="1" x="3474"/>
        <item m="1" x="1788"/>
        <item m="1" x="2770"/>
        <item m="1" x="2771"/>
        <item m="1" x="1789"/>
        <item m="1" x="3475"/>
        <item m="1" x="3476"/>
        <item m="1" x="3477"/>
        <item m="1" x="3478"/>
        <item m="1" x="3479"/>
        <item m="1" x="3480"/>
        <item m="1" x="3324"/>
        <item m="1" x="3481"/>
        <item m="1" x="1934"/>
        <item m="1" x="3482"/>
        <item m="1" x="3483"/>
        <item m="1" x="3341"/>
        <item m="1" x="1648"/>
        <item m="1" x="3484"/>
        <item m="1" x="3485"/>
        <item m="1" x="3486"/>
        <item m="1" x="3342"/>
        <item m="1" x="3124"/>
        <item m="1" x="3487"/>
        <item m="1" x="3488"/>
        <item m="1" x="2797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8"/>
        <item m="1" x="3509"/>
        <item m="1" x="3510"/>
        <item m="1" x="3511"/>
        <item m="1" x="3513"/>
        <item m="1" x="3514"/>
        <item m="1" x="3127"/>
        <item m="1" x="3325"/>
        <item m="1" x="2930"/>
        <item m="1" x="3128"/>
        <item m="1" x="3129"/>
        <item m="1" x="3130"/>
        <item m="1" x="3131"/>
        <item m="1" x="3132"/>
        <item m="1" x="3133"/>
        <item m="1" x="3134"/>
        <item m="1" x="3140"/>
        <item m="1" x="2936"/>
        <item m="1" x="2937"/>
        <item m="1" x="3144"/>
        <item m="1" x="1668"/>
        <item m="1" x="1669"/>
        <item m="1" x="1670"/>
        <item m="1" x="1671"/>
        <item m="1" x="1672"/>
        <item m="1" x="1673"/>
        <item m="1" x="1674"/>
        <item m="1" x="3145"/>
        <item m="1" x="3328"/>
        <item m="1" x="615"/>
        <item m="1" x="2160"/>
        <item m="1" x="3180"/>
        <item m="1" x="1640"/>
        <item m="1" x="3182"/>
        <item m="1" x="3185"/>
        <item m="1" x="3186"/>
        <item m="1" x="3329"/>
        <item m="1" x="3156"/>
        <item m="1" x="3157"/>
        <item m="1" x="3158"/>
        <item m="1" x="658"/>
        <item m="1" x="3159"/>
        <item m="1" x="2958"/>
        <item m="1" x="2962"/>
        <item m="1" x="3169"/>
        <item m="1" x="3166"/>
        <item m="1" x="3167"/>
        <item m="1" x="3168"/>
        <item m="1" x="2661"/>
        <item m="1" x="3332"/>
        <item m="1" x="3170"/>
        <item m="1" x="3173"/>
        <item m="1" x="3174"/>
        <item m="1" x="3175"/>
        <item m="1" x="3176"/>
        <item m="1" x="3177"/>
        <item m="1" x="3193"/>
        <item m="1" x="3196"/>
        <item m="1" x="3199"/>
        <item m="1" x="3200"/>
        <item m="1" x="3201"/>
        <item m="1" x="3202"/>
        <item m="1" x="3203"/>
        <item m="1" x="3204"/>
        <item m="1" x="3205"/>
        <item m="1" x="3206"/>
        <item m="1" x="2988"/>
        <item m="1" x="3003"/>
        <item m="1" x="3210"/>
        <item m="1" x="2694"/>
        <item m="1" x="3333"/>
        <item m="1" x="3214"/>
        <item m="1" x="3297"/>
        <item m="1" x="3221"/>
        <item m="1" x="3222"/>
        <item m="1" x="3218"/>
        <item m="1" x="3219"/>
        <item m="1" x="3220"/>
        <item m="1" x="3223"/>
        <item m="1" x="3334"/>
        <item m="1" x="1786"/>
        <item m="1" x="3224"/>
        <item m="1" x="3335"/>
        <item m="1" x="3336"/>
        <item m="1" x="3337"/>
        <item m="1" x="3015"/>
        <item m="1" x="2391"/>
        <item m="1" x="3338"/>
        <item m="1" x="3339"/>
        <item m="1" x="3340"/>
        <item m="1" x="3343"/>
        <item m="1" x="3344"/>
        <item m="1" x="1746"/>
        <item m="1" x="1745"/>
        <item m="1" x="3345"/>
        <item m="1" x="3346"/>
        <item m="1" x="3038"/>
        <item m="1" x="3347"/>
        <item m="1" x="3348"/>
        <item m="1" x="3349"/>
        <item m="1" x="3350"/>
        <item m="1" x="3351"/>
        <item m="1" x="3352"/>
        <item m="1" x="1782"/>
        <item m="1" x="1783"/>
        <item m="1" x="1808"/>
        <item m="1" x="3353"/>
        <item m="1" x="3354"/>
        <item m="1" x="3355"/>
        <item m="1" x="3356"/>
        <item m="1" x="3255"/>
        <item m="1" x="3357"/>
        <item m="1" x="3358"/>
        <item m="1" x="3359"/>
        <item m="1" x="3360"/>
        <item m="1" x="3361"/>
        <item m="1" x="3362"/>
        <item m="1" x="3363"/>
        <item m="1" x="3364"/>
        <item m="1" x="3076"/>
        <item m="1" x="3077"/>
        <item m="1" x="3365"/>
        <item m="1" x="3366"/>
        <item x="17"/>
        <item m="1" x="3138"/>
        <item m="1" x="3139"/>
        <item m="1" x="3142"/>
        <item m="1" x="3143"/>
        <item m="1" x="3146"/>
        <item x="63"/>
        <item m="1" x="2841"/>
        <item m="1" x="2842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2976"/>
        <item m="1" x="3160"/>
        <item m="1" x="3161"/>
        <item m="1" x="2954"/>
        <item m="1" x="2965"/>
        <item m="1" x="2867"/>
        <item m="1" x="3162"/>
        <item m="1" x="3163"/>
        <item m="1" x="2963"/>
        <item m="1" x="2964"/>
        <item m="1" x="2087"/>
        <item m="1" x="3164"/>
        <item m="1" x="2662"/>
        <item m="1" x="3165"/>
        <item m="1" x="3178"/>
        <item m="1" x="2844"/>
        <item m="1" x="3179"/>
        <item m="1" x="3187"/>
        <item m="1" x="3188"/>
        <item m="1" x="3189"/>
        <item m="1" x="3191"/>
        <item m="1" x="3192"/>
        <item m="1" x="3194"/>
        <item m="1" x="2016"/>
        <item m="1" x="3207"/>
        <item m="1" x="3208"/>
        <item m="1" x="3209"/>
        <item m="1" x="2642"/>
        <item m="1" x="2693"/>
        <item m="1" x="2692"/>
        <item m="1" x="3211"/>
        <item m="1" x="2242"/>
        <item m="1" x="3212"/>
        <item m="1" x="3215"/>
        <item m="1" x="2741"/>
        <item m="1" x="1119"/>
        <item m="1" x="3009"/>
        <item m="1" x="3225"/>
        <item m="1" x="3226"/>
        <item m="1" x="3227"/>
        <item m="1" x="3228"/>
        <item m="1" x="3229"/>
        <item m="1" x="2392"/>
        <item m="1" x="3230"/>
        <item m="1" x="3231"/>
        <item m="1" x="3027"/>
        <item m="1" x="3232"/>
        <item m="1" x="3233"/>
        <item m="1" x="3234"/>
        <item m="1" x="3235"/>
        <item m="1" x="3236"/>
        <item m="1" x="2018"/>
        <item m="1" x="1916"/>
        <item m="1" x="3237"/>
        <item m="1" x="3238"/>
        <item m="1" x="3239"/>
        <item m="1" x="3240"/>
        <item m="1" x="3241"/>
        <item m="1" x="1575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078"/>
        <item m="1" x="3256"/>
        <item m="1" x="3257"/>
        <item m="1" x="3258"/>
        <item m="1" x="3259"/>
        <item m="1" x="3260"/>
        <item m="1" x="1437"/>
        <item m="1" x="3261"/>
        <item m="1" x="3262"/>
        <item m="1" x="3263"/>
        <item m="1" x="3264"/>
        <item m="1" x="2852"/>
        <item m="1" x="3265"/>
        <item m="1" x="3266"/>
        <item m="1" x="3267"/>
        <item m="1" x="1883"/>
        <item m="1" x="3268"/>
        <item m="1" x="2669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8"/>
        <item m="1" x="3299"/>
        <item m="1" x="3300"/>
        <item m="1" x="3301"/>
        <item m="1" x="3302"/>
        <item m="1" x="3303"/>
        <item m="1" x="3304"/>
        <item m="1" x="3305"/>
        <item m="1" x="3041"/>
        <item m="1" x="3306"/>
        <item m="1" x="3307"/>
        <item m="1" x="3308"/>
        <item m="1" x="3309"/>
        <item m="1" x="1923"/>
        <item m="1" x="1924"/>
        <item m="1" x="3310"/>
        <item m="1" x="1903"/>
        <item m="1" x="1921"/>
        <item m="1" x="2786"/>
        <item m="1" x="1950"/>
        <item m="1" x="1985"/>
        <item m="1" x="1785"/>
        <item m="1" x="3311"/>
        <item x="494"/>
        <item m="1" x="3312"/>
        <item m="1" x="3313"/>
        <item m="1" x="3314"/>
        <item m="1" x="3315"/>
        <item m="1" x="1528"/>
        <item m="1" x="3316"/>
        <item m="1" x="2833"/>
        <item m="1" x="2587"/>
        <item m="1" x="2931"/>
        <item m="1" x="2932"/>
        <item m="1" x="2933"/>
        <item m="1" x="2934"/>
        <item x="14"/>
        <item m="1" x="2591"/>
        <item m="1" x="557"/>
        <item m="1" x="2834"/>
        <item m="1" x="2835"/>
        <item m="1" x="2597"/>
        <item m="1" x="2601"/>
        <item m="1" x="2938"/>
        <item m="1" x="1433"/>
        <item m="1" x="2939"/>
        <item m="1" x="2940"/>
        <item m="1" x="2611"/>
        <item m="1" x="2941"/>
        <item m="1" x="1282"/>
        <item x="62"/>
        <item m="1" x="2942"/>
        <item m="1" x="2843"/>
        <item m="1" x="2840"/>
        <item m="1" x="2401"/>
        <item m="1" x="2624"/>
        <item m="1" x="2625"/>
        <item m="1" x="2177"/>
        <item m="1" x="2944"/>
        <item x="82"/>
        <item m="1" x="2832"/>
        <item m="1" x="2394"/>
        <item x="103"/>
        <item m="1" x="2945"/>
        <item m="1" x="2946"/>
        <item m="1" x="2948"/>
        <item m="1" x="2845"/>
        <item m="1" x="2846"/>
        <item m="1" x="2847"/>
        <item m="1" x="2848"/>
        <item m="1" x="2635"/>
        <item m="1" x="2243"/>
        <item m="1" x="2639"/>
        <item m="1" x="2636"/>
        <item m="1" x="2949"/>
        <item m="1" x="2950"/>
        <item m="1" x="2462"/>
        <item m="1" x="2952"/>
        <item m="1" x="2953"/>
        <item m="1" x="2411"/>
        <item m="1" x="2854"/>
        <item m="1" x="2410"/>
        <item m="1" x="2645"/>
        <item m="1" x="2856"/>
        <item m="1" x="2658"/>
        <item m="1" x="2654"/>
        <item m="1" x="2079"/>
        <item m="1" x="2080"/>
        <item m="1" x="2655"/>
        <item m="1" x="2955"/>
        <item m="1" x="2956"/>
        <item m="1" x="2968"/>
        <item m="1" x="2969"/>
        <item m="1" x="2970"/>
        <item m="1" x="2971"/>
        <item m="1" x="2972"/>
        <item m="1" x="2973"/>
        <item x="230"/>
        <item m="1" x="2858"/>
        <item m="1" x="2975"/>
        <item m="1" x="2977"/>
        <item m="1" x="2471"/>
        <item m="1" x="2179"/>
        <item m="1" x="2889"/>
        <item m="1" x="2670"/>
        <item m="1" x="2652"/>
        <item x="247"/>
        <item m="1" x="2498"/>
        <item m="1" x="700"/>
        <item m="1" x="2676"/>
        <item m="1" x="2674"/>
        <item m="1" x="2675"/>
        <item m="1" x="2678"/>
        <item m="1" x="2978"/>
        <item m="1" x="1503"/>
        <item m="1" x="2682"/>
        <item m="1" x="2281"/>
        <item m="1" x="2683"/>
        <item m="1" x="2980"/>
        <item m="1" x="2981"/>
        <item m="1" x="2986"/>
        <item m="1" x="2987"/>
        <item m="1" x="3000"/>
        <item m="1" x="3001"/>
        <item m="1" x="1653"/>
        <item m="1" x="2304"/>
        <item m="1" x="2697"/>
        <item m="1" x="2698"/>
        <item m="1" x="2702"/>
        <item m="1" x="2703"/>
        <item m="1" x="2704"/>
        <item x="335"/>
        <item m="1" x="2725"/>
        <item m="1" x="2723"/>
        <item m="1" x="3004"/>
        <item m="1" x="2724"/>
        <item m="1" x="2721"/>
        <item m="1" x="3005"/>
        <item m="1" x="2019"/>
        <item m="1" x="2028"/>
        <item m="1" x="2029"/>
        <item m="1" x="2020"/>
        <item m="1" x="2021"/>
        <item m="1" x="2022"/>
        <item m="1" x="3007"/>
        <item m="1" x="3008"/>
        <item m="1" x="2744"/>
        <item m="1" x="2196"/>
        <item m="1" x="3010"/>
        <item m="1" x="3011"/>
        <item m="1" x="3012"/>
        <item m="1" x="3013"/>
        <item m="1" x="3014"/>
        <item m="1" x="3016"/>
        <item m="1" x="3017"/>
        <item m="1" x="3018"/>
        <item m="1" x="1964"/>
        <item m="1" x="3020"/>
        <item m="1" x="2900"/>
        <item m="1" x="1740"/>
        <item m="1" x="3021"/>
        <item m="1" x="3022"/>
        <item m="1" x="2026"/>
        <item m="1" x="2027"/>
        <item m="1" x="2030"/>
        <item m="1" x="3023"/>
        <item m="1" x="3024"/>
        <item m="1" x="2032"/>
        <item m="1" x="3025"/>
        <item m="1" x="3026"/>
        <item m="1" x="3028"/>
        <item m="1" x="1580"/>
        <item m="1" x="3029"/>
        <item m="1" x="3030"/>
        <item m="1" x="3031"/>
        <item m="1" x="3032"/>
        <item m="1" x="3033"/>
        <item m="1" x="3034"/>
        <item m="1" x="2404"/>
        <item m="1" x="3035"/>
        <item m="1" x="3036"/>
        <item m="1" x="3039"/>
        <item m="1" x="1770"/>
        <item m="1" x="3040"/>
        <item m="1" x="3042"/>
        <item m="1" x="1938"/>
        <item m="1" x="3043"/>
        <item m="1" x="3044"/>
        <item m="1" x="1947"/>
        <item m="1" x="1922"/>
        <item m="1" x="2412"/>
        <item m="1" x="3045"/>
        <item m="1" x="3046"/>
        <item m="1" x="1920"/>
        <item m="1" x="2413"/>
        <item m="1" x="2787"/>
        <item m="1" x="3047"/>
        <item m="1" x="2247"/>
        <item m="1" x="3049"/>
        <item m="1" x="1951"/>
        <item m="1" x="3050"/>
        <item m="1" x="2904"/>
        <item m="1" x="3051"/>
        <item m="1" x="3052"/>
        <item m="1" x="3053"/>
        <item m="1" x="1741"/>
        <item m="1" x="3054"/>
        <item m="1" x="1996"/>
        <item x="458"/>
        <item m="1" x="1935"/>
        <item m="1" x="1931"/>
        <item m="1" x="1930"/>
        <item m="1" x="3055"/>
        <item m="1" x="3056"/>
        <item m="1" x="1591"/>
        <item m="1" x="1527"/>
        <item m="1" x="1639"/>
        <item m="1" x="2920"/>
        <item m="1" x="3058"/>
        <item m="1" x="2397"/>
        <item m="1" x="3059"/>
        <item m="1" x="1805"/>
        <item m="1" x="3060"/>
        <item m="1" x="3061"/>
        <item m="1" x="3062"/>
        <item m="1" x="3063"/>
        <item m="1" x="1447"/>
        <item m="1" x="3064"/>
        <item m="1" x="3065"/>
        <item m="1" x="3066"/>
        <item m="1" x="3067"/>
        <item m="1" x="3068"/>
        <item m="1" x="3069"/>
        <item m="1" x="1784"/>
        <item m="1" x="3070"/>
        <item m="1" x="3071"/>
        <item m="1" x="3072"/>
        <item m="1" x="3073"/>
        <item m="1" x="3074"/>
        <item m="1" x="1776"/>
        <item m="1" x="3075"/>
        <item x="511"/>
        <item m="1" x="1739"/>
        <item m="1" x="2578"/>
        <item m="1" x="2395"/>
        <item m="1" x="2396"/>
        <item m="1" x="2393"/>
        <item x="15"/>
        <item m="1" x="1086"/>
        <item m="1" x="2590"/>
        <item m="1" x="2432"/>
        <item m="1" x="2592"/>
        <item m="1" x="2593"/>
        <item x="31"/>
        <item m="1" x="2836"/>
        <item m="1" x="2600"/>
        <item m="1" x="2599"/>
        <item m="1" x="2837"/>
        <item m="1" x="583"/>
        <item m="1" x="2610"/>
        <item m="1" x="2607"/>
        <item m="1" x="2612"/>
        <item m="1" x="2838"/>
        <item m="1" x="2615"/>
        <item m="1" x="2617"/>
        <item m="1" x="2619"/>
        <item m="1" x="2620"/>
        <item m="1" x="1641"/>
        <item m="1" x="2623"/>
        <item m="1" x="2626"/>
        <item m="1" x="1406"/>
        <item m="1" x="1385"/>
        <item x="92"/>
        <item m="1" x="635"/>
        <item m="1" x="2630"/>
        <item m="1" x="2631"/>
        <item m="1" x="2627"/>
        <item m="1" x="2628"/>
        <item m="1" x="1661"/>
        <item m="1" x="2632"/>
        <item m="1" x="2452"/>
        <item m="1" x="2638"/>
        <item m="1" x="2451"/>
        <item m="1" x="2849"/>
        <item m="1" x="2850"/>
        <item m="1" x="2640"/>
        <item m="1" x="2643"/>
        <item m="1" x="2851"/>
        <item m="1" x="2853"/>
        <item m="1" x="2646"/>
        <item m="1" x="2855"/>
        <item m="1" x="2857"/>
        <item m="1" x="2475"/>
        <item m="1" x="2476"/>
        <item m="1" x="2477"/>
        <item m="1" x="2478"/>
        <item m="1" x="1419"/>
        <item m="1" x="2859"/>
        <item m="1" x="2860"/>
        <item m="1" x="2861"/>
        <item m="1" x="2862"/>
        <item m="1" x="2863"/>
        <item m="1" x="1416"/>
        <item m="1" x="1417"/>
        <item m="1" x="2651"/>
        <item m="1" x="2653"/>
        <item m="1" x="2864"/>
        <item m="1" x="2865"/>
        <item m="1" x="2866"/>
        <item m="1" x="2656"/>
        <item m="1" x="2657"/>
        <item m="1" x="2228"/>
        <item x="203"/>
        <item m="1" x="2890"/>
        <item m="1" x="2671"/>
        <item m="1" x="2663"/>
        <item m="1" x="2665"/>
        <item x="233"/>
        <item m="1" x="2667"/>
        <item x="246"/>
        <item m="1" x="2500"/>
        <item m="1" x="2892"/>
        <item m="1" x="2893"/>
        <item m="1" x="2673"/>
        <item m="1" x="2680"/>
        <item m="1" x="2681"/>
        <item m="1" x="2685"/>
        <item m="1" x="2686"/>
        <item m="1" x="1111"/>
        <item m="1" x="2691"/>
        <item m="1" x="2705"/>
        <item m="1" x="2706"/>
        <item m="1" x="2315"/>
        <item m="1" x="2707"/>
        <item m="1" x="2708"/>
        <item m="1" x="2717"/>
        <item m="1" x="2701"/>
        <item x="302"/>
        <item m="1" x="2302"/>
        <item m="1" x="2305"/>
        <item m="1" x="2306"/>
        <item m="1" x="2732"/>
        <item m="1" x="2733"/>
        <item m="1" x="2722"/>
        <item m="1" x="2720"/>
        <item x="357"/>
        <item m="1" x="2735"/>
        <item m="1" x="2736"/>
        <item m="1" x="2737"/>
        <item m="1" x="2738"/>
        <item m="1" x="2739"/>
        <item m="1" x="799"/>
        <item m="1" x="2742"/>
        <item m="1" x="2750"/>
        <item m="1" x="2753"/>
        <item m="1" x="2896"/>
        <item m="1" x="2746"/>
        <item m="1" x="2897"/>
        <item m="1" x="2898"/>
        <item m="1" x="2899"/>
        <item x="391"/>
        <item m="1" x="2901"/>
        <item m="1" x="1583"/>
        <item m="1" x="2777"/>
        <item m="1" x="2903"/>
        <item m="1" x="1696"/>
        <item m="1" x="2905"/>
        <item m="1" x="2907"/>
        <item m="1" x="2908"/>
        <item m="1" x="2760"/>
        <item m="1" x="2759"/>
        <item m="1" x="2909"/>
        <item m="1" x="2762"/>
        <item m="1" x="2763"/>
        <item m="1" x="2910"/>
        <item m="1" x="1762"/>
        <item m="1" x="2913"/>
        <item m="1" x="2914"/>
        <item m="1" x="2915"/>
        <item m="1" x="1734"/>
        <item m="1" x="2916"/>
        <item m="1" x="1761"/>
        <item m="1" x="2917"/>
        <item m="1" x="1725"/>
        <item m="1" x="2918"/>
        <item m="1" x="2919"/>
        <item m="1" x="1736"/>
        <item m="1" x="1727"/>
        <item m="1" x="1735"/>
        <item m="1" x="1730"/>
        <item m="1" x="1733"/>
        <item m="1" x="1726"/>
        <item m="1" x="1731"/>
        <item m="1" x="1732"/>
        <item m="1" x="1729"/>
        <item m="1" x="1728"/>
        <item m="1" x="2805"/>
        <item m="1" x="2559"/>
        <item m="1" x="2815"/>
        <item m="1" x="2922"/>
        <item m="1" x="2817"/>
        <item m="1" x="2812"/>
        <item m="1" x="2574"/>
        <item m="1" x="2565"/>
        <item m="1" x="2809"/>
        <item m="1" x="2818"/>
        <item m="1" x="2923"/>
        <item m="1" x="2926"/>
        <item m="1" x="2825"/>
        <item m="1" x="2927"/>
        <item m="1" x="2829"/>
        <item m="1" x="2928"/>
        <item m="1" x="2588"/>
        <item m="1" x="2589"/>
        <item m="1" x="1445"/>
        <item m="1" x="1444"/>
        <item m="1" x="2594"/>
        <item m="1" x="2595"/>
        <item m="1" x="2596"/>
        <item m="1" x="2598"/>
        <item m="1" x="2602"/>
        <item m="1" x="2603"/>
        <item m="1" x="2604"/>
        <item m="1" x="2605"/>
        <item m="1" x="2606"/>
        <item m="1" x="580"/>
        <item m="1" x="2608"/>
        <item m="1" x="2609"/>
        <item m="1" x="2613"/>
        <item m="1" x="2614"/>
        <item m="1" x="2616"/>
        <item x="74"/>
        <item x="75"/>
        <item m="1" x="2618"/>
        <item m="1" x="2621"/>
        <item m="1" x="2622"/>
        <item m="1" x="2629"/>
        <item m="1" x="2449"/>
        <item m="1" x="2634"/>
        <item m="1" x="2641"/>
        <item m="1" x="2644"/>
        <item m="1" x="2647"/>
        <item m="1" x="2648"/>
        <item m="1" x="2649"/>
        <item m="1" x="2650"/>
        <item m="1" x="2480"/>
        <item m="1" x="2659"/>
        <item m="1" x="2666"/>
        <item m="1" x="2672"/>
        <item m="1" x="2677"/>
        <item m="1" x="719"/>
        <item m="1" x="2679"/>
        <item m="1" x="2501"/>
        <item m="1" x="2502"/>
        <item m="1" x="2499"/>
        <item m="1" x="2684"/>
        <item m="1" x="2687"/>
        <item m="1" x="2688"/>
        <item m="1" x="2689"/>
        <item m="1" x="2690"/>
        <item m="1" x="2699"/>
        <item m="1" x="2700"/>
        <item m="1" x="2506"/>
        <item m="1" x="2709"/>
        <item m="1" x="2710"/>
        <item m="1" x="2711"/>
        <item m="1" x="2712"/>
        <item m="1" x="2507"/>
        <item m="1" x="2713"/>
        <item m="1" x="2714"/>
        <item m="1" x="2715"/>
        <item m="1" x="2716"/>
        <item m="1" x="2718"/>
        <item m="1" x="2505"/>
        <item m="1" x="2719"/>
        <item m="1" x="2726"/>
        <item m="1" x="1657"/>
        <item m="1" x="1656"/>
        <item m="1" x="2730"/>
        <item m="1" x="2731"/>
        <item m="1" x="2734"/>
        <item m="1" x="1969"/>
        <item m="1" x="2233"/>
        <item m="1" x="2743"/>
        <item m="1" x="2745"/>
        <item m="1" x="2519"/>
        <item m="1" x="2747"/>
        <item m="1" x="2748"/>
        <item m="1" x="2749"/>
        <item m="1" x="2751"/>
        <item m="1" x="2752"/>
        <item m="1" x="1807"/>
        <item m="1" x="2756"/>
        <item m="1" x="2757"/>
        <item m="1" x="2758"/>
        <item m="1" x="2761"/>
        <item m="1" x="2533"/>
        <item m="1" x="2764"/>
        <item m="1" x="2765"/>
        <item m="1" x="2766"/>
        <item m="1" x="2767"/>
        <item m="1" x="2768"/>
        <item m="1" x="2769"/>
        <item m="1" x="2772"/>
        <item m="1" x="1759"/>
        <item m="1" x="2544"/>
        <item m="1" x="2773"/>
        <item m="1" x="2774"/>
        <item m="1" x="1794"/>
        <item m="1" x="1553"/>
        <item m="1" x="1941"/>
        <item m="1" x="1942"/>
        <item m="1" x="2776"/>
        <item m="1" x="1918"/>
        <item x="442"/>
        <item m="1" x="2778"/>
        <item m="1" x="1907"/>
        <item x="445"/>
        <item m="1" x="1904"/>
        <item m="1" x="2779"/>
        <item m="1" x="2781"/>
        <item m="1" x="2789"/>
        <item m="1" x="2790"/>
        <item m="1" x="2791"/>
        <item m="1" x="2795"/>
        <item m="1" x="1151"/>
        <item m="1" x="2556"/>
        <item m="1" x="2807"/>
        <item m="1" x="2572"/>
        <item m="1" x="2808"/>
        <item m="1" x="2571"/>
        <item m="1" x="2560"/>
        <item m="1" x="2810"/>
        <item m="1" x="2811"/>
        <item m="1" x="2813"/>
        <item m="1" x="2814"/>
        <item m="1" x="2816"/>
        <item m="1" x="2155"/>
        <item m="1" x="2577"/>
        <item m="1" x="2819"/>
        <item m="1" x="2820"/>
        <item m="1" x="2821"/>
        <item m="1" x="2823"/>
        <item m="1" x="2824"/>
        <item m="1" x="2826"/>
        <item x="4"/>
        <item m="1" x="2428"/>
        <item m="1" x="2429"/>
        <item m="1" x="2430"/>
        <item m="1" x="2431"/>
        <item x="11"/>
        <item m="1" x="2211"/>
        <item m="1" x="2212"/>
        <item x="38"/>
        <item m="1" x="1088"/>
        <item m="1" x="2433"/>
        <item m="1" x="2434"/>
        <item m="1" x="2435"/>
        <item x="59"/>
        <item m="1" x="2190"/>
        <item m="1" x="1427"/>
        <item x="64"/>
        <item m="1" x="2436"/>
        <item m="1" x="2437"/>
        <item m="1" x="2175"/>
        <item m="1" x="2438"/>
        <item m="1" x="2185"/>
        <item x="86"/>
        <item x="87"/>
        <item x="83"/>
        <item m="1" x="2441"/>
        <item x="93"/>
        <item m="1" x="2446"/>
        <item m="1" x="2448"/>
        <item m="1" x="2450"/>
        <item m="1" x="2453"/>
        <item m="1" x="2458"/>
        <item m="1" x="2459"/>
        <item m="1" x="2461"/>
        <item m="1" x="2096"/>
        <item m="1" x="2097"/>
        <item x="137"/>
        <item x="136"/>
        <item m="1" x="2463"/>
        <item m="1" x="2464"/>
        <item m="1" x="2465"/>
        <item m="1" x="2466"/>
        <item m="1" x="2467"/>
        <item m="1" x="2468"/>
        <item m="1" x="1099"/>
        <item m="1" x="1098"/>
        <item m="1" x="2469"/>
        <item m="1" x="2470"/>
        <item m="1" x="650"/>
        <item m="1" x="2472"/>
        <item m="1" x="2473"/>
        <item m="1" x="2474"/>
        <item m="1" x="2479"/>
        <item m="1" x="1418"/>
        <item m="1" x="2222"/>
        <item m="1" x="2223"/>
        <item m="1" x="1456"/>
        <item x="205"/>
        <item x="206"/>
        <item x="204"/>
        <item x="202"/>
        <item m="1" x="2229"/>
        <item x="177"/>
        <item x="178"/>
        <item x="179"/>
        <item m="1" x="2224"/>
        <item m="1" x="2225"/>
        <item x="180"/>
        <item m="1" x="2481"/>
        <item m="1" x="2482"/>
        <item m="1" x="2483"/>
        <item m="1" x="2484"/>
        <item m="1" x="2238"/>
        <item x="260"/>
        <item m="1" x="2187"/>
        <item m="1" x="686"/>
        <item m="1" x="1490"/>
        <item m="1" x="1491"/>
        <item m="1" x="2254"/>
        <item m="1" x="2504"/>
        <item m="1" x="2253"/>
        <item m="1" x="2290"/>
        <item m="1" x="2275"/>
        <item m="1" x="2276"/>
        <item m="1" x="2288"/>
        <item m="1" x="2289"/>
        <item m="1" x="2274"/>
        <item m="1" x="2277"/>
        <item m="1" x="2278"/>
        <item m="1" x="2279"/>
        <item m="1" x="2280"/>
        <item m="1" x="1505"/>
        <item m="1" x="2421"/>
        <item m="1" x="1109"/>
        <item m="1" x="1110"/>
        <item m="1" x="1113"/>
        <item m="1" x="1114"/>
        <item m="1" x="1115"/>
        <item m="1" x="1116"/>
        <item m="1" x="1117"/>
        <item m="1" x="1118"/>
        <item m="1" x="2303"/>
        <item m="1" x="1306"/>
        <item m="1" x="2331"/>
        <item m="1" x="2332"/>
        <item m="1" x="2508"/>
        <item m="1" x="2316"/>
        <item m="1" x="2330"/>
        <item m="1" x="2509"/>
        <item m="1" x="1498"/>
        <item m="1" x="1499"/>
        <item m="1" x="2510"/>
        <item m="1" x="2273"/>
        <item m="1" x="2511"/>
        <item m="1" x="2512"/>
        <item m="1" x="2262"/>
        <item m="1" x="1494"/>
        <item m="1" x="1500"/>
        <item m="1" x="800"/>
        <item m="1" x="2272"/>
        <item m="1" x="2267"/>
        <item x="361"/>
        <item m="1" x="2513"/>
        <item m="1" x="1592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1926"/>
        <item m="1" x="2529"/>
        <item m="1" x="1142"/>
        <item m="1" x="2530"/>
        <item m="1" x="2531"/>
        <item m="1" x="2532"/>
        <item m="1" x="2534"/>
        <item m="1" x="2535"/>
        <item m="1" x="2536"/>
        <item m="1" x="2537"/>
        <item m="1" x="2538"/>
        <item m="1" x="2539"/>
        <item m="1" x="2541"/>
        <item m="1" x="2542"/>
        <item m="1" x="2543"/>
        <item m="1" x="1901"/>
        <item m="1" x="2545"/>
        <item m="1" x="2546"/>
        <item m="1" x="1940"/>
        <item m="1" x="2547"/>
        <item m="1" x="1952"/>
        <item m="1" x="1953"/>
        <item m="1" x="1939"/>
        <item m="1" x="2417"/>
        <item m="1" x="2548"/>
        <item x="393"/>
        <item m="1" x="2550"/>
        <item m="1" x="2292"/>
        <item m="1" x="2420"/>
        <item m="1" x="1932"/>
        <item m="1" x="1966"/>
        <item m="1" x="2551"/>
        <item m="1" x="2552"/>
        <item m="1" x="2553"/>
        <item m="1" x="2555"/>
        <item m="1" x="2557"/>
        <item m="1" x="2558"/>
        <item m="1" x="2561"/>
        <item m="1" x="2562"/>
        <item m="1" x="2563"/>
        <item m="1" x="2564"/>
        <item m="1" x="2566"/>
        <item m="1" x="2567"/>
        <item m="1" x="2568"/>
        <item m="1" x="2569"/>
        <item m="1" x="2570"/>
        <item m="1" x="2573"/>
        <item m="1" x="2575"/>
        <item m="1" x="2576"/>
        <item m="1" x="1637"/>
        <item m="1" x="1638"/>
        <item m="1" x="2025"/>
        <item m="1" x="2579"/>
        <item m="1" x="2580"/>
        <item m="1" x="2581"/>
        <item m="1" x="2582"/>
        <item x="520"/>
        <item m="1" x="2583"/>
        <item m="1" x="2584"/>
        <item x="517"/>
        <item m="1" x="2585"/>
        <item m="1" x="1289"/>
        <item x="234"/>
        <item m="1" x="1386"/>
        <item m="1" x="2339"/>
        <item m="1" x="2340"/>
        <item m="1" x="2341"/>
        <item m="1" x="2342"/>
        <item m="1" x="2343"/>
        <item m="1" x="1525"/>
        <item m="1" x="820"/>
        <item m="1" x="2344"/>
        <item m="1" x="2345"/>
        <item m="1" x="2346"/>
        <item m="1" x="2347"/>
        <item m="1" x="2348"/>
        <item m="1" x="2349"/>
        <item m="1" x="1284"/>
        <item m="1" x="2350"/>
        <item m="1" x="1089"/>
        <item m="1" x="2351"/>
        <item m="1" x="2352"/>
        <item m="1" x="1584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154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158"/>
        <item m="1" x="2389"/>
        <item m="1" x="2390"/>
        <item m="1" x="2065"/>
        <item m="1" x="2167"/>
        <item m="1" x="2398"/>
        <item x="522"/>
        <item x="531"/>
        <item x="94"/>
        <item m="1" x="2399"/>
        <item m="1" x="2400"/>
        <item m="1" x="2174"/>
        <item x="90"/>
        <item m="1" x="2178"/>
        <item m="1" x="1102"/>
        <item m="1" x="2181"/>
        <item m="1" x="2183"/>
        <item x="88"/>
        <item m="1" x="1666"/>
        <item m="1" x="1283"/>
        <item m="1" x="2192"/>
        <item m="1" x="1434"/>
        <item m="1" x="2402"/>
        <item m="1" x="2403"/>
        <item m="1" x="2194"/>
        <item m="1" x="1764"/>
        <item m="1" x="1257"/>
        <item m="1" x="1441"/>
        <item m="1" x="1792"/>
        <item m="1" x="1442"/>
        <item m="1" x="2206"/>
        <item m="1" x="2199"/>
        <item m="1" x="2204"/>
        <item m="1" x="2205"/>
        <item m="1" x="2203"/>
        <item x="529"/>
        <item x="516"/>
        <item x="528"/>
        <item m="1" x="2405"/>
        <item m="1" x="2406"/>
        <item m="1" x="1455"/>
        <item m="1" x="1454"/>
        <item m="1" x="2219"/>
        <item m="1" x="659"/>
        <item m="1" x="2218"/>
        <item m="1" x="1891"/>
        <item m="1" x="2226"/>
        <item m="1" x="2227"/>
        <item x="201"/>
        <item x="200"/>
        <item m="1" x="2407"/>
        <item m="1" x="1900"/>
        <item m="1" x="2237"/>
        <item m="1" x="2084"/>
        <item m="1" x="2236"/>
        <item m="1" x="1954"/>
        <item m="1" x="2408"/>
        <item m="1" x="1943"/>
        <item m="1" x="1948"/>
        <item m="1" x="2409"/>
        <item x="119"/>
        <item m="1" x="2245"/>
        <item x="117"/>
        <item m="1" x="2095"/>
        <item m="1" x="1957"/>
        <item m="1" x="1958"/>
        <item m="1" x="2414"/>
        <item m="1" x="2415"/>
        <item m="1" x="2416"/>
        <item m="1" x="2418"/>
        <item m="1" x="2419"/>
        <item m="1" x="2252"/>
        <item m="1" x="1474"/>
        <item m="1" x="1971"/>
        <item m="1" x="1970"/>
        <item x="255"/>
        <item m="1" x="2255"/>
        <item m="1" x="2263"/>
        <item m="1" x="2264"/>
        <item m="1" x="2265"/>
        <item m="1" x="1375"/>
        <item m="1" x="1994"/>
        <item m="1" x="1376"/>
        <item m="1" x="2286"/>
        <item m="1" x="2287"/>
        <item m="1" x="2422"/>
        <item m="1" x="2024"/>
        <item m="1" x="2301"/>
        <item x="354"/>
        <item m="1" x="2300"/>
        <item m="1" x="2423"/>
        <item m="1" x="2424"/>
        <item m="1" x="2425"/>
        <item m="1" x="2426"/>
        <item m="1" x="2112"/>
        <item m="1" x="2043"/>
        <item m="1" x="2042"/>
        <item m="1" x="2338"/>
        <item m="1" x="2333"/>
        <item m="1" x="2334"/>
        <item m="1" x="2118"/>
        <item m="1" x="2323"/>
        <item m="1" x="2427"/>
        <item m="1" x="2322"/>
        <item x="333"/>
        <item m="1" x="926"/>
        <item m="1" x="1290"/>
        <item m="1" x="1522"/>
        <item m="1" x="2123"/>
        <item m="1" x="2124"/>
        <item m="1" x="2125"/>
        <item m="1" x="1546"/>
        <item m="1" x="1526"/>
        <item m="1" x="1543"/>
        <item m="1" x="1545"/>
        <item m="1" x="1544"/>
        <item m="1" x="1542"/>
        <item m="1" x="1541"/>
        <item m="1" x="1532"/>
        <item m="1" x="1538"/>
        <item m="1" x="1534"/>
        <item m="1" x="1529"/>
        <item m="1" x="1530"/>
        <item m="1" x="1540"/>
        <item m="1" x="1533"/>
        <item m="1" x="1536"/>
        <item m="1" x="1535"/>
        <item m="1" x="1539"/>
        <item m="1" x="1537"/>
        <item m="1" x="1555"/>
        <item m="1" x="1561"/>
        <item m="1" x="1550"/>
        <item m="1" x="1557"/>
        <item m="1" x="1554"/>
        <item m="1" x="1559"/>
        <item m="1" x="1563"/>
        <item m="1" x="1556"/>
        <item m="1" x="1558"/>
        <item m="1" x="1570"/>
        <item m="1" x="1565"/>
        <item m="1" x="1566"/>
        <item m="1" x="1547"/>
        <item m="1" x="1564"/>
        <item m="1" x="1568"/>
        <item m="1" x="1569"/>
        <item m="1" x="1562"/>
        <item m="1" x="1548"/>
        <item m="1" x="1549"/>
        <item m="1" x="1567"/>
        <item m="1" x="1560"/>
        <item m="1" x="1552"/>
        <item m="1" x="1574"/>
        <item m="1" x="1090"/>
        <item m="1" x="2126"/>
        <item m="1" x="2127"/>
        <item m="1" x="1576"/>
        <item m="1" x="2128"/>
        <item m="1" x="2129"/>
        <item m="1" x="2130"/>
        <item m="1" x="1579"/>
        <item m="1" x="2131"/>
        <item m="1" x="2132"/>
        <item m="1" x="2133"/>
        <item m="1" x="1588"/>
        <item m="1" x="1589"/>
        <item x="100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064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6"/>
        <item m="1" x="2157"/>
        <item m="1" x="1630"/>
        <item x="77"/>
        <item m="1" x="2166"/>
        <item x="76"/>
        <item m="1" x="1634"/>
        <item m="1" x="2168"/>
        <item m="1" x="2169"/>
        <item m="1" x="873"/>
        <item m="1" x="2170"/>
        <item m="1" x="2171"/>
        <item m="1" x="2172"/>
        <item m="1" x="2173"/>
        <item m="1" x="920"/>
        <item m="1" x="2176"/>
        <item m="1" x="1645"/>
        <item x="148"/>
        <item m="1" x="2180"/>
        <item x="155"/>
        <item m="1" x="2182"/>
        <item x="84"/>
        <item x="85"/>
        <item m="1" x="2184"/>
        <item m="1" x="2186"/>
        <item m="1" x="2188"/>
        <item m="1" x="2189"/>
        <item m="1" x="1667"/>
        <item m="1" x="1431"/>
        <item m="1" x="2191"/>
        <item m="1" x="1432"/>
        <item m="1" x="1693"/>
        <item m="1" x="1694"/>
        <item m="1" x="2193"/>
        <item m="1" x="1744"/>
        <item m="1" x="1258"/>
        <item m="1" x="1259"/>
        <item m="1" x="1260"/>
        <item m="1" x="1261"/>
        <item m="1" x="1771"/>
        <item m="1" x="2195"/>
        <item x="21"/>
        <item x="40"/>
        <item x="41"/>
        <item x="57"/>
        <item m="1" x="2197"/>
        <item m="1" x="1793"/>
        <item m="1" x="1446"/>
        <item x="523"/>
        <item m="1" x="1272"/>
        <item m="1" x="2198"/>
        <item m="1" x="2200"/>
        <item m="1" x="2201"/>
        <item m="1" x="2202"/>
        <item x="25"/>
        <item x="26"/>
        <item x="27"/>
        <item m="1" x="2207"/>
        <item m="1" x="2208"/>
        <item m="1" x="2209"/>
        <item m="1" x="2210"/>
        <item m="1" x="2213"/>
        <item x="13"/>
        <item m="1" x="2214"/>
        <item m="1" x="2215"/>
        <item m="1" x="1818"/>
        <item m="1" x="1821"/>
        <item m="1" x="1830"/>
        <item m="1" x="913"/>
        <item m="1" x="1877"/>
        <item m="1" x="1878"/>
        <item m="1" x="1869"/>
        <item m="1" x="2216"/>
        <item m="1" x="2217"/>
        <item m="1" x="1870"/>
        <item m="1" x="1839"/>
        <item m="1" x="1840"/>
        <item m="1" x="1832"/>
        <item m="1" x="1831"/>
        <item m="1" x="1844"/>
        <item m="1" x="1834"/>
        <item m="1" x="1833"/>
        <item m="1" x="1841"/>
        <item m="1" x="1842"/>
        <item m="1" x="1835"/>
        <item m="1" x="1836"/>
        <item m="1" x="2220"/>
        <item m="1" x="2221"/>
        <item x="183"/>
        <item x="181"/>
        <item x="182"/>
        <item m="1" x="1458"/>
        <item m="1" x="2230"/>
        <item m="1" x="2231"/>
        <item m="1" x="2232"/>
        <item m="1" x="2234"/>
        <item m="1" x="2235"/>
        <item m="1" x="1459"/>
        <item m="1" x="2239"/>
        <item m="1" x="1915"/>
        <item m="1" x="2240"/>
        <item m="1" x="2241"/>
        <item m="1" x="1933"/>
        <item x="118"/>
        <item x="122"/>
        <item x="134"/>
        <item x="135"/>
        <item x="126"/>
        <item m="1" x="2092"/>
        <item m="1" x="2246"/>
        <item x="120"/>
        <item m="1" x="2093"/>
        <item m="1" x="1181"/>
        <item m="1" x="1180"/>
        <item m="1" x="1945"/>
        <item m="1" x="1949"/>
        <item m="1" x="1960"/>
        <item m="1" x="1959"/>
        <item m="1" x="2248"/>
        <item m="1" x="2249"/>
        <item m="1" x="2250"/>
        <item m="1" x="2099"/>
        <item m="1" x="1963"/>
        <item m="1" x="2251"/>
        <item m="1" x="1483"/>
        <item m="1" x="1484"/>
        <item m="1" x="1481"/>
        <item m="1" x="1489"/>
        <item m="1" x="1975"/>
        <item x="257"/>
        <item m="1" x="2256"/>
        <item m="1" x="2257"/>
        <item m="1" x="2258"/>
        <item m="1" x="2259"/>
        <item m="1" x="2260"/>
        <item m="1" x="2261"/>
        <item m="1" x="1502"/>
        <item m="1" x="2268"/>
        <item m="1" x="2269"/>
        <item m="1" x="2270"/>
        <item m="1" x="2271"/>
        <item m="1" x="1309"/>
        <item m="1" x="2104"/>
        <item m="1" x="2105"/>
        <item m="1" x="2282"/>
        <item m="1" x="2283"/>
        <item m="1" x="2284"/>
        <item m="1" x="2285"/>
        <item m="1" x="2291"/>
        <item m="1" x="2293"/>
        <item m="1" x="2294"/>
        <item m="1" x="1108"/>
        <item m="1" x="2295"/>
        <item m="1" x="2296"/>
        <item m="1" x="2297"/>
        <item m="1" x="2298"/>
        <item m="1" x="2299"/>
        <item m="1" x="2310"/>
        <item m="1" x="2111"/>
        <item m="1" x="2311"/>
        <item m="1" x="2117"/>
        <item x="334"/>
        <item m="1" x="2317"/>
        <item m="1" x="2318"/>
        <item m="1" x="2319"/>
        <item m="1" x="2320"/>
        <item m="1" x="2321"/>
        <item m="1" x="2324"/>
        <item m="1" x="2325"/>
        <item m="1" x="2326"/>
        <item m="1" x="2327"/>
        <item m="1" x="2328"/>
        <item m="1" x="2329"/>
        <item m="1" x="765"/>
        <item x="30"/>
        <item m="1" x="1523"/>
        <item m="1" x="2044"/>
        <item m="1" x="2045"/>
        <item m="1" x="2046"/>
        <item m="1" x="2047"/>
        <item m="1" x="1390"/>
        <item m="1" x="1091"/>
        <item m="1" x="2052"/>
        <item x="68"/>
        <item x="69"/>
        <item x="70"/>
        <item m="1" x="2053"/>
        <item x="450"/>
        <item m="1" x="1585"/>
        <item m="1" x="1586"/>
        <item m="1" x="1587"/>
        <item m="1" x="2054"/>
        <item m="1" x="2055"/>
        <item m="1" x="2056"/>
        <item m="1" x="2057"/>
        <item m="1" x="1624"/>
        <item m="1" x="2058"/>
        <item m="1" x="2059"/>
        <item m="1" x="2060"/>
        <item m="1" x="1597"/>
        <item m="1" x="1623"/>
        <item m="1" x="1603"/>
        <item m="1" x="1604"/>
        <item m="1" x="1622"/>
        <item m="1" x="1620"/>
        <item m="1" x="1621"/>
        <item m="1" x="1625"/>
        <item m="1" x="1626"/>
        <item m="1" x="1605"/>
        <item m="1" x="2061"/>
        <item m="1" x="2062"/>
        <item m="1" x="2063"/>
        <item m="1" x="1598"/>
        <item m="1" x="1613"/>
        <item m="1" x="1614"/>
        <item m="1" x="1610"/>
        <item m="1" x="1611"/>
        <item m="1" x="1612"/>
        <item m="1" x="1606"/>
        <item m="1" x="1607"/>
        <item m="1" x="1608"/>
        <item m="1" x="1609"/>
        <item m="1" x="1615"/>
        <item x="427"/>
        <item x="493"/>
        <item m="1" x="2066"/>
        <item m="1" x="2067"/>
        <item m="1" x="1662"/>
        <item m="1" x="1331"/>
        <item m="1" x="1332"/>
        <item m="1" x="1646"/>
        <item m="1" x="731"/>
        <item m="1" x="1649"/>
        <item m="1" x="1650"/>
        <item m="1" x="2072"/>
        <item m="1" x="1665"/>
        <item m="1" x="1430"/>
        <item x="53"/>
        <item x="54"/>
        <item x="55"/>
        <item x="56"/>
        <item m="1" x="1429"/>
        <item m="1" x="1677"/>
        <item m="1" x="1678"/>
        <item m="1" x="1679"/>
        <item m="1" x="1680"/>
        <item m="1" x="1681"/>
        <item m="1" x="1682"/>
        <item m="1" x="1683"/>
        <item m="1" x="1692"/>
        <item m="1" x="1691"/>
        <item m="1" x="1688"/>
        <item m="1" x="1689"/>
        <item m="1" x="1690"/>
        <item m="1" x="1685"/>
        <item m="1" x="1686"/>
        <item m="1" x="1687"/>
        <item x="358"/>
        <item m="1" x="1157"/>
        <item m="1" x="1262"/>
        <item m="1" x="1263"/>
        <item x="6"/>
        <item m="1" x="2073"/>
        <item m="1" x="2074"/>
        <item m="1" x="2075"/>
        <item x="43"/>
        <item m="1" x="1790"/>
        <item x="379"/>
        <item m="1" x="2077"/>
        <item x="24"/>
        <item x="3"/>
        <item m="1" x="1822"/>
        <item m="1" x="1823"/>
        <item m="1" x="1824"/>
        <item m="1" x="1825"/>
        <item m="1" x="1826"/>
        <item m="1" x="1852"/>
        <item m="1" x="1853"/>
        <item m="1" x="1813"/>
        <item m="1" x="1855"/>
        <item m="1" x="1812"/>
        <item m="1" x="1811"/>
        <item m="1" x="1810"/>
        <item m="1" x="1809"/>
        <item m="1" x="1871"/>
        <item m="1" x="2078"/>
        <item m="1" x="1847"/>
        <item m="1" x="1849"/>
        <item m="1" x="1848"/>
        <item m="1" x="1843"/>
        <item m="1" x="1850"/>
        <item m="1" x="1837"/>
        <item m="1" x="1838"/>
        <item m="1" x="1845"/>
        <item m="1" x="1846"/>
        <item m="1" x="1889"/>
        <item x="187"/>
        <item m="1" x="2081"/>
        <item x="186"/>
        <item m="1" x="1892"/>
        <item m="1" x="2082"/>
        <item m="1" x="2083"/>
        <item x="236"/>
        <item m="1" x="2085"/>
        <item m="1" x="2086"/>
        <item m="1" x="2088"/>
        <item m="1" x="2089"/>
        <item m="1" x="2090"/>
        <item m="1" x="2091"/>
        <item m="1" x="1961"/>
        <item m="1" x="1962"/>
        <item m="1" x="2100"/>
        <item m="1" x="1477"/>
        <item m="1" x="1478"/>
        <item m="1" x="1967"/>
        <item m="1" x="1968"/>
        <item m="1" x="693"/>
        <item m="1" x="1976"/>
        <item m="1" x="2101"/>
        <item m="1" x="1486"/>
        <item x="245"/>
        <item m="1" x="1981"/>
        <item m="1" x="2102"/>
        <item m="1" x="1993"/>
        <item m="1" x="2103"/>
        <item m="1" x="1995"/>
        <item m="1" x="1997"/>
        <item m="1" x="1998"/>
        <item m="1" x="1999"/>
        <item m="1" x="2106"/>
        <item m="1" x="2107"/>
        <item m="1" x="2108"/>
        <item m="1" x="2109"/>
        <item m="1" x="1106"/>
        <item m="1" x="1107"/>
        <item m="1" x="1105"/>
        <item m="1" x="2017"/>
        <item m="1" x="2023"/>
        <item m="1" x="1514"/>
        <item m="1" x="1515"/>
        <item m="1" x="1509"/>
        <item m="1" x="1510"/>
        <item m="1" x="1511"/>
        <item m="1" x="1512"/>
        <item m="1" x="2119"/>
        <item x="342"/>
        <item x="343"/>
        <item m="1" x="2033"/>
        <item m="1" x="2120"/>
        <item m="1" x="761"/>
        <item m="1" x="2121"/>
        <item m="1" x="2034"/>
        <item m="1" x="2122"/>
        <item m="1" x="1355"/>
        <item m="1" x="1520"/>
        <item m="1" x="1524"/>
        <item m="1" x="1571"/>
        <item m="1" x="1572"/>
        <item m="1" x="1573"/>
        <item m="1" x="1578"/>
        <item m="1" x="1581"/>
        <item m="1" x="1582"/>
        <item m="1" x="1593"/>
        <item m="1" x="1594"/>
        <item m="1" x="1404"/>
        <item m="1" x="1595"/>
        <item m="1" x="1596"/>
        <item x="387"/>
        <item m="1" x="1405"/>
        <item x="385"/>
        <item x="386"/>
        <item m="1" x="1599"/>
        <item m="1" x="1600"/>
        <item m="1" x="1601"/>
        <item m="1" x="1602"/>
        <item m="1" x="1616"/>
        <item m="1" x="1617"/>
        <item m="1" x="1618"/>
        <item m="1" x="1619"/>
        <item m="1" x="1627"/>
        <item m="1" x="1628"/>
        <item m="1" x="1629"/>
        <item x="526"/>
        <item m="1" x="1643"/>
        <item m="1" x="1644"/>
        <item x="269"/>
        <item m="1" x="1187"/>
        <item m="1" x="657"/>
        <item m="1" x="1423"/>
        <item m="1" x="1647"/>
        <item m="1" x="1651"/>
        <item m="1" x="1652"/>
        <item m="1" x="1654"/>
        <item m="1" x="1655"/>
        <item m="1" x="641"/>
        <item m="1" x="642"/>
        <item m="1" x="1663"/>
        <item m="1" x="1428"/>
        <item m="1" x="1435"/>
        <item m="1" x="1436"/>
        <item m="1" x="1684"/>
        <item m="1" x="1698"/>
        <item m="1" x="1699"/>
        <item m="1" x="1700"/>
        <item x="139"/>
        <item x="73"/>
        <item m="1" x="1439"/>
        <item x="505"/>
        <item m="1" x="1719"/>
        <item m="1" x="1440"/>
        <item m="1" x="1766"/>
        <item m="1" x="1767"/>
        <item m="1" x="1769"/>
        <item m="1" x="1087"/>
        <item m="1" x="1772"/>
        <item m="1" x="1773"/>
        <item m="1" x="1774"/>
        <item m="1" x="1775"/>
        <item m="1" x="1278"/>
        <item m="1" x="1795"/>
        <item m="1" x="1796"/>
        <item m="1" x="1798"/>
        <item m="1" x="1799"/>
        <item m="1" x="1800"/>
        <item m="1" x="1801"/>
        <item x="79"/>
        <item m="1" x="1806"/>
        <item m="1" x="871"/>
        <item m="1" x="1814"/>
        <item m="1" x="1815"/>
        <item m="1" x="1816"/>
        <item m="1" x="1817"/>
        <item m="1" x="1820"/>
        <item m="1" x="1827"/>
        <item m="1" x="1828"/>
        <item m="1" x="1829"/>
        <item m="1" x="1851"/>
        <item m="1" x="1854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72"/>
        <item m="1" x="1873"/>
        <item m="1" x="1874"/>
        <item m="1" x="1875"/>
        <item m="1" x="1876"/>
        <item m="1" x="1879"/>
        <item m="1" x="1880"/>
        <item m="1" x="1884"/>
        <item m="1" x="1885"/>
        <item m="1" x="1886"/>
        <item m="1" x="1887"/>
        <item m="1" x="1888"/>
        <item x="167"/>
        <item m="1" x="1890"/>
        <item m="1" x="1200"/>
        <item m="1" x="1183"/>
        <item m="1" x="1182"/>
        <item m="1" x="885"/>
        <item m="1" x="1917"/>
        <item x="121"/>
        <item m="1" x="645"/>
        <item m="1" x="1936"/>
        <item m="1" x="883"/>
        <item m="1" x="1956"/>
        <item m="1" x="1314"/>
        <item m="1" x="1374"/>
        <item m="1" x="1965"/>
        <item m="1" x="1479"/>
        <item m="1" x="1972"/>
        <item m="1" x="1973"/>
        <item m="1" x="1974"/>
        <item m="1" x="1492"/>
        <item m="1" x="1300"/>
        <item m="1" x="1978"/>
        <item m="1" x="1487"/>
        <item x="46"/>
        <item m="1" x="723"/>
        <item m="1" x="1982"/>
        <item m="1" x="1983"/>
        <item m="1" x="1984"/>
        <item m="1" x="1986"/>
        <item m="1" x="1987"/>
        <item m="1" x="1988"/>
        <item m="1" x="788"/>
        <item m="1" x="1989"/>
        <item m="1" x="1990"/>
        <item m="1" x="1991"/>
        <item m="1" x="1992"/>
        <item x="355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1150"/>
        <item m="1" x="1130"/>
        <item m="1" x="2035"/>
        <item m="1" x="2036"/>
        <item m="1" x="2037"/>
        <item m="1" x="2038"/>
        <item m="1" x="2039"/>
        <item m="1" x="2040"/>
        <item m="1" x="2041"/>
        <item m="1" x="1387"/>
        <item m="1" x="1388"/>
        <item m="1" x="1389"/>
        <item m="1" x="1093"/>
        <item m="1" x="1391"/>
        <item m="1" x="1392"/>
        <item m="1" x="1291"/>
        <item m="1" x="1393"/>
        <item m="1" x="1394"/>
        <item m="1" x="1395"/>
        <item m="1" x="1396"/>
        <item m="1" x="1338"/>
        <item m="1" x="1397"/>
        <item m="1" x="1398"/>
        <item m="1" x="1399"/>
        <item m="1" x="1400"/>
        <item m="1" x="1401"/>
        <item m="1" x="1402"/>
        <item m="1" x="1403"/>
        <item x="95"/>
        <item x="96"/>
        <item m="1" x="619"/>
        <item x="158"/>
        <item m="1" x="1407"/>
        <item m="1" x="1408"/>
        <item m="1" x="1293"/>
        <item m="1" x="1294"/>
        <item m="1" x="1295"/>
        <item x="149"/>
        <item m="1" x="1297"/>
        <item m="1" x="1298"/>
        <item m="1" x="1296"/>
        <item m="1" x="1189"/>
        <item m="1" x="1409"/>
        <item m="1" x="1188"/>
        <item m="1" x="1185"/>
        <item m="1" x="1186"/>
        <item m="1" x="1410"/>
        <item m="1" x="1411"/>
        <item m="1" x="1412"/>
        <item x="151"/>
        <item x="152"/>
        <item x="156"/>
        <item x="157"/>
        <item m="1" x="1414"/>
        <item m="1" x="631"/>
        <item m="1" x="1415"/>
        <item m="1" x="1420"/>
        <item m="1" x="1421"/>
        <item m="1" x="1422"/>
        <item m="1" x="1310"/>
        <item m="1" x="1311"/>
        <item m="1" x="1424"/>
        <item m="1" x="1426"/>
        <item m="1" x="845"/>
        <item m="1" x="807"/>
        <item m="1" x="808"/>
        <item m="1" x="1438"/>
        <item x="263"/>
        <item x="264"/>
        <item x="265"/>
        <item x="266"/>
        <item m="1" x="923"/>
        <item m="1" x="854"/>
        <item m="1" x="541"/>
        <item m="1" x="539"/>
        <item m="1" x="848"/>
        <item x="37"/>
        <item m="1" x="1275"/>
        <item m="1" x="1378"/>
        <item m="1" x="1379"/>
        <item m="1" x="1380"/>
        <item m="1" x="1381"/>
        <item m="1" x="1356"/>
        <item x="19"/>
        <item m="1" x="1269"/>
        <item m="1" x="1079"/>
        <item m="1" x="544"/>
        <item m="1" x="1443"/>
        <item m="1" x="1270"/>
        <item m="1" x="1271"/>
        <item m="1" x="906"/>
        <item x="5"/>
        <item x="2"/>
        <item x="1"/>
        <item m="1" x="966"/>
        <item m="1" x="967"/>
        <item m="1" x="968"/>
        <item m="1" x="969"/>
        <item m="1" x="970"/>
        <item m="1" x="977"/>
        <item m="1" x="962"/>
        <item m="1" x="971"/>
        <item m="1" x="965"/>
        <item m="1" x="964"/>
        <item m="1" x="963"/>
        <item m="1" x="961"/>
        <item m="1" x="1023"/>
        <item m="1" x="1448"/>
        <item m="1" x="1449"/>
        <item m="1" x="1450"/>
        <item m="1" x="1451"/>
        <item m="1" x="1452"/>
        <item m="1" x="1453"/>
        <item m="1" x="1457"/>
        <item x="199"/>
        <item x="225"/>
        <item x="197"/>
        <item x="198"/>
        <item x="227"/>
        <item x="226"/>
        <item x="166"/>
        <item x="191"/>
        <item x="184"/>
        <item x="185"/>
        <item x="237"/>
        <item m="1" x="682"/>
        <item x="235"/>
        <item x="124"/>
        <item x="125"/>
        <item m="1" x="886"/>
        <item m="1" x="1460"/>
        <item m="1" x="1461"/>
        <item m="1" x="1462"/>
        <item m="1" x="1463"/>
        <item m="1" x="1464"/>
        <item m="1" x="865"/>
        <item x="111"/>
        <item x="112"/>
        <item x="113"/>
        <item x="367"/>
        <item m="1" x="1465"/>
        <item m="1" x="1178"/>
        <item m="1" x="1466"/>
        <item m="1" x="1176"/>
        <item m="1" x="1467"/>
        <item m="1" x="1177"/>
        <item m="1" x="1468"/>
        <item m="1" x="1201"/>
        <item m="1" x="1179"/>
        <item m="1" x="1469"/>
        <item m="1" x="1470"/>
        <item m="1" x="1471"/>
        <item m="1" x="1315"/>
        <item m="1" x="1472"/>
        <item m="1" x="908"/>
        <item m="1" x="907"/>
        <item m="1" x="1473"/>
        <item m="1" x="1384"/>
        <item m="1" x="1475"/>
        <item m="1" x="1476"/>
        <item m="1" x="709"/>
        <item m="1" x="710"/>
        <item m="1" x="691"/>
        <item m="1" x="1488"/>
        <item m="1" x="1329"/>
        <item m="1" x="1495"/>
        <item m="1" x="1496"/>
        <item m="1" x="1497"/>
        <item m="1" x="1501"/>
        <item x="469"/>
        <item x="462"/>
        <item m="1" x="1506"/>
        <item m="1" x="1507"/>
        <item m="1" x="1508"/>
        <item m="1" x="1513"/>
        <item x="307"/>
        <item x="308"/>
        <item x="309"/>
        <item m="1" x="1304"/>
        <item m="1" x="1305"/>
        <item m="1" x="750"/>
        <item m="1" x="1206"/>
        <item m="1" x="1205"/>
        <item m="1" x="1238"/>
        <item m="1" x="1516"/>
        <item m="1" x="1517"/>
        <item m="1" x="1518"/>
        <item m="1" x="1519"/>
        <item m="1" x="540"/>
        <item m="1" x="1256"/>
        <item x="16"/>
        <item x="22"/>
        <item m="1" x="1264"/>
        <item m="1" x="1265"/>
        <item m="1" x="1266"/>
        <item m="1" x="1267"/>
        <item m="1" x="1044"/>
        <item m="1" x="1268"/>
        <item x="42"/>
        <item x="44"/>
        <item x="45"/>
        <item x="47"/>
        <item x="48"/>
        <item m="1" x="562"/>
        <item m="1" x="563"/>
        <item m="1" x="573"/>
        <item m="1" x="1092"/>
        <item m="1" x="1273"/>
        <item m="1" x="578"/>
        <item m="1" x="1276"/>
        <item m="1" x="1277"/>
        <item m="1" x="1094"/>
        <item m="1" x="1279"/>
        <item m="1" x="1280"/>
        <item m="1" x="1281"/>
        <item m="1" x="1286"/>
        <item m="1" x="629"/>
        <item m="1" x="630"/>
        <item x="497"/>
        <item m="1" x="632"/>
        <item m="1" x="643"/>
        <item x="97"/>
        <item x="98"/>
        <item x="99"/>
        <item m="1" x="1292"/>
        <item m="1" x="1100"/>
        <item x="154"/>
        <item m="1" x="1190"/>
        <item m="1" x="1191"/>
        <item m="1" x="1101"/>
        <item m="1" x="660"/>
        <item m="1" x="664"/>
        <item m="1" x="1299"/>
        <item m="1" x="669"/>
        <item m="1" x="670"/>
        <item m="1" x="671"/>
        <item x="195"/>
        <item x="194"/>
        <item x="196"/>
        <item x="229"/>
        <item m="1" x="1175"/>
        <item m="1" x="1174"/>
        <item m="1" x="1184"/>
        <item m="1" x="684"/>
        <item m="1" x="685"/>
        <item m="1" x="706"/>
        <item m="1" x="689"/>
        <item x="252"/>
        <item m="1" x="688"/>
        <item m="1" x="690"/>
        <item m="1" x="1301"/>
        <item x="258"/>
        <item x="259"/>
        <item m="1" x="704"/>
        <item m="1" x="722"/>
        <item m="1" x="729"/>
        <item m="1" x="737"/>
        <item m="1" x="738"/>
        <item m="1" x="739"/>
        <item m="1" x="748"/>
        <item m="1" x="1104"/>
        <item m="1" x="752"/>
        <item x="310"/>
        <item x="311"/>
        <item x="312"/>
        <item x="313"/>
        <item x="314"/>
        <item x="315"/>
        <item x="316"/>
        <item x="317"/>
        <item x="305"/>
        <item x="306"/>
        <item x="303"/>
        <item x="304"/>
        <item m="1" x="1302"/>
        <item m="1" x="1303"/>
        <item m="1" x="776"/>
        <item m="1" x="760"/>
        <item m="1" x="1308"/>
        <item m="1" x="792"/>
        <item x="349"/>
        <item x="350"/>
        <item x="351"/>
        <item x="362"/>
        <item m="1" x="1312"/>
        <item m="1" x="1313"/>
        <item m="1" x="1316"/>
        <item m="1" x="1317"/>
        <item m="1" x="1318"/>
        <item m="1" x="1319"/>
        <item x="368"/>
        <item m="1" x="1320"/>
        <item m="1" x="1212"/>
        <item m="1" x="1321"/>
        <item m="1" x="1322"/>
        <item m="1" x="1323"/>
        <item m="1" x="1324"/>
        <item m="1" x="1325"/>
        <item m="1" x="1211"/>
        <item m="1" x="1326"/>
        <item m="1" x="1327"/>
        <item x="389"/>
        <item x="384"/>
        <item m="1" x="1328"/>
        <item m="1" x="1330"/>
        <item m="1" x="1333"/>
        <item m="1" x="1132"/>
        <item m="1" x="1334"/>
        <item m="1" x="1335"/>
        <item m="1" x="1336"/>
        <item x="415"/>
        <item m="1" x="1337"/>
        <item m="1" x="1339"/>
        <item m="1" x="1340"/>
        <item m="1" x="1341"/>
        <item m="1" x="847"/>
        <item m="1" x="1342"/>
        <item m="1" x="1343"/>
        <item m="1" x="1344"/>
        <item m="1" x="1345"/>
        <item m="1" x="1346"/>
        <item m="1" x="1347"/>
        <item m="1" x="838"/>
        <item m="1" x="1348"/>
        <item m="1" x="1349"/>
        <item m="1" x="889"/>
        <item m="1" x="888"/>
        <item m="1" x="1350"/>
        <item m="1" x="1149"/>
        <item m="1" x="1351"/>
        <item m="1" x="1352"/>
        <item m="1" x="929"/>
        <item m="1" x="930"/>
        <item m="1" x="931"/>
        <item m="1" x="946"/>
        <item m="1" x="947"/>
        <item m="1" x="948"/>
        <item m="1" x="928"/>
        <item m="1" x="932"/>
        <item m="1" x="935"/>
        <item m="1" x="973"/>
        <item m="1" x="976"/>
        <item m="1" x="933"/>
        <item m="1" x="978"/>
        <item m="1" x="979"/>
        <item m="1" x="934"/>
        <item m="1" x="972"/>
        <item m="1" x="975"/>
        <item m="1" x="97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03"/>
        <item m="1" x="1004"/>
        <item m="1" x="937"/>
        <item m="1" x="938"/>
        <item m="1" x="939"/>
        <item m="1" x="940"/>
        <item m="1" x="941"/>
        <item m="1" x="942"/>
        <item m="1" x="1015"/>
        <item m="1" x="1016"/>
        <item m="1" x="1017"/>
        <item m="1" x="1018"/>
        <item m="1" x="1019"/>
        <item m="1" x="1020"/>
        <item m="1" x="1021"/>
        <item m="1" x="936"/>
        <item m="1" x="960"/>
        <item m="1" x="959"/>
        <item m="1" x="943"/>
        <item m="1" x="944"/>
        <item m="1" x="945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x="495"/>
        <item m="1" x="1353"/>
        <item m="1" x="1354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7"/>
        <item x="521"/>
        <item m="1" x="1382"/>
        <item m="1" x="1080"/>
        <item m="1" x="1383"/>
        <item m="1" x="1166"/>
        <item x="0"/>
        <item m="1" x="1085"/>
        <item m="1" x="545"/>
        <item m="1" x="546"/>
        <item m="1" x="550"/>
        <item m="1" x="565"/>
        <item m="1" x="575"/>
        <item x="50"/>
        <item m="1" x="582"/>
        <item m="1" x="593"/>
        <item m="1" x="1167"/>
        <item m="1" x="1168"/>
        <item m="1" x="1169"/>
        <item m="1" x="1170"/>
        <item m="1" x="1171"/>
        <item m="1" x="1172"/>
        <item m="1" x="1095"/>
        <item x="71"/>
        <item x="72"/>
        <item m="1" x="1096"/>
        <item m="1" x="1173"/>
        <item m="1" x="618"/>
        <item m="1" x="637"/>
        <item m="1" x="634"/>
        <item m="1" x="625"/>
        <item m="1" x="626"/>
        <item m="1" x="627"/>
        <item m="1" x="628"/>
        <item x="80"/>
        <item x="159"/>
        <item x="160"/>
        <item m="1" x="1097"/>
        <item x="143"/>
        <item x="145"/>
        <item x="146"/>
        <item x="147"/>
        <item m="1" x="1192"/>
        <item m="1" x="649"/>
        <item m="1" x="647"/>
        <item m="1" x="1193"/>
        <item m="1" x="1194"/>
        <item m="1" x="648"/>
        <item x="153"/>
        <item m="1" x="661"/>
        <item x="222"/>
        <item m="1" x="672"/>
        <item x="168"/>
        <item x="174"/>
        <item x="175"/>
        <item x="176"/>
        <item m="1" x="673"/>
        <item x="221"/>
        <item x="219"/>
        <item x="220"/>
        <item x="218"/>
        <item x="192"/>
        <item x="193"/>
        <item x="228"/>
        <item m="1" x="676"/>
        <item m="1" x="674"/>
        <item m="1" x="1195"/>
        <item m="1" x="1196"/>
        <item m="1" x="1197"/>
        <item m="1" x="1198"/>
        <item m="1" x="1199"/>
        <item m="1" x="1202"/>
        <item m="1" x="712"/>
        <item m="1" x="711"/>
        <item x="248"/>
        <item x="249"/>
        <item x="250"/>
        <item m="1" x="696"/>
        <item m="1" x="702"/>
        <item m="1" x="699"/>
        <item m="1" x="698"/>
        <item m="1" x="705"/>
        <item m="1" x="718"/>
        <item m="1" x="724"/>
        <item m="1" x="725"/>
        <item m="1" x="727"/>
        <item m="1" x="728"/>
        <item m="1" x="1203"/>
        <item x="261"/>
        <item m="1" x="740"/>
        <item m="1" x="741"/>
        <item m="1" x="742"/>
        <item m="1" x="743"/>
        <item m="1" x="744"/>
        <item m="1" x="745"/>
        <item m="1" x="1103"/>
        <item x="276"/>
        <item m="1" x="1204"/>
        <item m="1" x="755"/>
        <item m="1" x="756"/>
        <item m="1" x="757"/>
        <item m="1" x="767"/>
        <item x="341"/>
        <item m="1" x="768"/>
        <item m="1" x="769"/>
        <item m="1" x="758"/>
        <item m="1" x="759"/>
        <item m="1" x="770"/>
        <item m="1" x="771"/>
        <item m="1" x="777"/>
        <item x="325"/>
        <item m="1" x="787"/>
        <item m="1" x="790"/>
        <item m="1" x="791"/>
        <item m="1" x="793"/>
        <item m="1" x="794"/>
        <item m="1" x="804"/>
        <item x="364"/>
        <item x="365"/>
        <item x="366"/>
        <item m="1" x="1207"/>
        <item m="1" x="1208"/>
        <item m="1" x="1122"/>
        <item m="1" x="1209"/>
        <item m="1" x="1124"/>
        <item m="1" x="1210"/>
        <item m="1" x="1123"/>
        <item x="377"/>
        <item m="1" x="1127"/>
        <item m="1" x="897"/>
        <item m="1" x="896"/>
        <item m="1" x="898"/>
        <item x="399"/>
        <item m="1" x="1213"/>
        <item m="1" x="1214"/>
        <item m="1" x="1129"/>
        <item m="1" x="881"/>
        <item m="1" x="882"/>
        <item m="1" x="1215"/>
        <item m="1" x="1216"/>
        <item m="1" x="1217"/>
        <item m="1" x="884"/>
        <item m="1" x="1218"/>
        <item m="1" x="1219"/>
        <item m="1" x="1220"/>
        <item m="1" x="851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823"/>
        <item m="1" x="1234"/>
        <item x="429"/>
        <item m="1" x="1235"/>
        <item m="1" x="1236"/>
        <item m="1" x="870"/>
        <item m="1" x="1237"/>
        <item m="1" x="872"/>
        <item x="411"/>
        <item x="412"/>
        <item m="1" x="916"/>
        <item m="1" x="915"/>
        <item m="1" x="1239"/>
        <item m="1" x="1240"/>
        <item x="465"/>
        <item x="464"/>
        <item x="466"/>
        <item m="1" x="924"/>
        <item m="1" x="1022"/>
        <item m="1" x="989"/>
        <item m="1" x="990"/>
        <item m="1" x="992"/>
        <item m="1" x="991"/>
        <item m="1" x="980"/>
        <item m="1" x="987"/>
        <item m="1" x="988"/>
        <item m="1" x="982"/>
        <item m="1" x="983"/>
        <item m="1" x="984"/>
        <item m="1" x="985"/>
        <item m="1" x="1025"/>
        <item m="1" x="1030"/>
        <item m="1" x="1026"/>
        <item m="1" x="1027"/>
        <item m="1" x="1028"/>
        <item m="1" x="1029"/>
        <item m="1" x="981"/>
        <item m="1" x="986"/>
        <item m="1" x="1024"/>
        <item m="1" x="1241"/>
        <item x="499"/>
        <item x="501"/>
        <item m="1" x="1242"/>
        <item x="504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x="512"/>
        <item x="513"/>
        <item m="1" x="1084"/>
        <item x="20"/>
        <item m="1" x="554"/>
        <item m="1" x="560"/>
        <item m="1" x="561"/>
        <item m="1" x="551"/>
        <item m="1" x="552"/>
        <item m="1" x="553"/>
        <item m="1" x="571"/>
        <item m="1" x="572"/>
        <item m="1" x="566"/>
        <item m="1" x="574"/>
        <item m="1" x="576"/>
        <item m="1" x="591"/>
        <item m="1" x="581"/>
        <item x="67"/>
        <item m="1" x="603"/>
        <item x="81"/>
        <item m="1" x="640"/>
        <item x="496"/>
        <item m="1" x="644"/>
        <item x="101"/>
        <item m="1" x="663"/>
        <item x="169"/>
        <item x="173"/>
        <item x="172"/>
        <item x="170"/>
        <item x="171"/>
        <item x="223"/>
        <item x="224"/>
        <item x="217"/>
        <item m="1" x="675"/>
        <item x="232"/>
        <item x="231"/>
        <item x="238"/>
        <item x="162"/>
        <item x="142"/>
        <item x="144"/>
        <item x="150"/>
        <item m="1" x="646"/>
        <item m="1" x="715"/>
        <item m="1" x="716"/>
        <item m="1" x="717"/>
        <item x="251"/>
        <item m="1" x="697"/>
        <item m="1" x="720"/>
        <item m="1" x="721"/>
        <item m="1" x="730"/>
        <item m="1" x="726"/>
        <item m="1" x="732"/>
        <item m="1" x="734"/>
        <item x="268"/>
        <item m="1" x="735"/>
        <item x="273"/>
        <item m="1" x="783"/>
        <item x="326"/>
        <item m="1" x="773"/>
        <item m="1" x="774"/>
        <item m="1" x="766"/>
        <item m="1" x="762"/>
        <item x="344"/>
        <item m="1" x="798"/>
        <item m="1" x="801"/>
        <item m="1" x="803"/>
        <item m="1" x="797"/>
        <item m="1" x="786"/>
        <item m="1" x="805"/>
        <item m="1" x="1120"/>
        <item m="1" x="1121"/>
        <item m="1" x="1125"/>
        <item m="1" x="1126"/>
        <item x="388"/>
        <item m="1" x="1128"/>
        <item m="1" x="1131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836"/>
        <item m="1" x="1143"/>
        <item m="1" x="1144"/>
        <item m="1" x="1145"/>
        <item m="1" x="1146"/>
        <item m="1" x="1147"/>
        <item x="428"/>
        <item m="1" x="1148"/>
        <item x="460"/>
        <item x="463"/>
        <item m="1" x="1152"/>
        <item m="1" x="1047"/>
        <item m="1" x="1153"/>
        <item m="1" x="1154"/>
        <item m="1" x="1155"/>
        <item m="1" x="1156"/>
        <item m="1" x="1158"/>
        <item m="1" x="1159"/>
        <item m="1" x="1160"/>
        <item m="1" x="1161"/>
        <item m="1" x="1162"/>
        <item m="1" x="1163"/>
        <item m="1" x="1062"/>
        <item m="1" x="1164"/>
        <item m="1" x="1165"/>
        <item x="524"/>
        <item x="532"/>
        <item m="1" x="542"/>
        <item x="12"/>
        <item m="1" x="547"/>
        <item m="1" x="548"/>
        <item m="1" x="549"/>
        <item m="1" x="555"/>
        <item m="1" x="556"/>
        <item m="1" x="558"/>
        <item m="1" x="559"/>
        <item x="33"/>
        <item x="34"/>
        <item x="32"/>
        <item m="1" x="564"/>
        <item m="1" x="567"/>
        <item m="1" x="568"/>
        <item m="1" x="569"/>
        <item m="1" x="570"/>
        <item x="49"/>
        <item m="1" x="579"/>
        <item m="1" x="589"/>
        <item m="1" x="590"/>
        <item m="1" x="592"/>
        <item m="1" x="594"/>
        <item m="1" x="595"/>
        <item m="1" x="596"/>
        <item m="1" x="597"/>
        <item m="1" x="598"/>
        <item m="1" x="599"/>
        <item m="1" x="600"/>
        <item x="102"/>
        <item m="1" x="601"/>
        <item m="1" x="602"/>
        <item x="65"/>
        <item m="1" x="605"/>
        <item m="1" x="606"/>
        <item m="1" x="607"/>
        <item m="1" x="608"/>
        <item m="1" x="609"/>
        <item m="1" x="610"/>
        <item m="1" x="611"/>
        <item m="1" x="612"/>
        <item m="1" x="616"/>
        <item m="1" x="617"/>
        <item m="1" x="620"/>
        <item x="78"/>
        <item m="1" x="624"/>
        <item x="89"/>
        <item m="1" x="633"/>
        <item m="1" x="638"/>
        <item x="105"/>
        <item x="104"/>
        <item x="131"/>
        <item x="106"/>
        <item x="141"/>
        <item m="1" x="651"/>
        <item m="1" x="652"/>
        <item x="161"/>
        <item x="163"/>
        <item m="1" x="662"/>
        <item x="164"/>
        <item x="165"/>
        <item x="211"/>
        <item x="212"/>
        <item x="213"/>
        <item x="214"/>
        <item x="215"/>
        <item x="216"/>
        <item x="208"/>
        <item x="207"/>
        <item x="209"/>
        <item x="210"/>
        <item x="189"/>
        <item x="190"/>
        <item x="188"/>
        <item x="132"/>
        <item x="133"/>
        <item x="140"/>
        <item m="1" x="687"/>
        <item m="1" x="692"/>
        <item m="1" x="694"/>
        <item m="1" x="695"/>
        <item m="1" x="701"/>
        <item m="1" x="703"/>
        <item m="1" x="713"/>
        <item m="1" x="714"/>
        <item m="1" x="733"/>
        <item m="1" x="736"/>
        <item x="270"/>
        <item x="271"/>
        <item x="272"/>
        <item x="275"/>
        <item m="1" x="747"/>
        <item x="267"/>
        <item m="1" x="749"/>
        <item x="274"/>
        <item x="301"/>
        <item m="1" x="763"/>
        <item m="1" x="764"/>
        <item m="1" x="772"/>
        <item x="297"/>
        <item m="1" x="782"/>
        <item x="29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784"/>
        <item m="1" x="785"/>
        <item x="319"/>
        <item x="320"/>
        <item x="321"/>
        <item x="322"/>
        <item x="323"/>
        <item x="324"/>
        <item x="299"/>
        <item x="300"/>
        <item m="1" x="789"/>
        <item m="1" x="795"/>
        <item m="1" x="796"/>
        <item m="1" x="802"/>
        <item m="1" x="806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21"/>
        <item m="1" x="822"/>
        <item m="1" x="824"/>
        <item m="1" x="825"/>
        <item m="1" x="826"/>
        <item x="425"/>
        <item m="1" x="827"/>
        <item m="1" x="828"/>
        <item m="1" x="829"/>
        <item m="1" x="830"/>
        <item m="1" x="831"/>
        <item m="1" x="832"/>
        <item m="1" x="833"/>
        <item m="1" x="835"/>
        <item m="1" x="837"/>
        <item m="1" x="839"/>
        <item m="1" x="840"/>
        <item m="1" x="841"/>
        <item m="1" x="842"/>
        <item m="1" x="843"/>
        <item m="1" x="844"/>
        <item x="434"/>
        <item m="1" x="846"/>
        <item m="1" x="849"/>
        <item m="1" x="850"/>
        <item m="1" x="852"/>
        <item m="1" x="853"/>
        <item m="1" x="855"/>
        <item m="1" x="856"/>
        <item m="1" x="857"/>
        <item m="1" x="858"/>
        <item m="1" x="859"/>
        <item m="1" x="860"/>
        <item m="1" x="864"/>
        <item m="1" x="866"/>
        <item m="1" x="867"/>
        <item m="1" x="868"/>
        <item m="1" x="869"/>
        <item x="452"/>
        <item x="454"/>
        <item m="1" x="876"/>
        <item m="1" x="877"/>
        <item m="1" x="878"/>
        <item m="1" x="879"/>
        <item m="1" x="880"/>
        <item m="1" x="887"/>
        <item m="1" x="890"/>
        <item m="1" x="891"/>
        <item x="438"/>
        <item m="1" x="892"/>
        <item m="1" x="893"/>
        <item m="1" x="894"/>
        <item m="1" x="895"/>
        <item m="1" x="899"/>
        <item m="1" x="900"/>
        <item m="1" x="901"/>
        <item m="1" x="902"/>
        <item m="1" x="903"/>
        <item m="1" x="904"/>
        <item m="1" x="905"/>
        <item x="409"/>
        <item x="401"/>
        <item m="1" x="909"/>
        <item m="1" x="910"/>
        <item m="1" x="911"/>
        <item x="414"/>
        <item m="1" x="912"/>
        <item m="1" x="914"/>
        <item x="433"/>
        <item x="456"/>
        <item x="461"/>
        <item m="1" x="917"/>
        <item m="1" x="918"/>
        <item x="459"/>
        <item m="1" x="919"/>
        <item m="1" x="921"/>
        <item m="1" x="922"/>
        <item x="471"/>
        <item m="1" x="925"/>
        <item x="476"/>
        <item m="1" x="927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x="498"/>
        <item x="500"/>
        <item m="1" x="1048"/>
        <item x="506"/>
        <item x="50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4"/>
        <item x="510"/>
        <item x="514"/>
        <item m="1" x="1070"/>
        <item x="519"/>
        <item m="1" x="1076"/>
        <item m="1" x="1078"/>
        <item m="1" x="1081"/>
        <item x="533"/>
        <item x="534"/>
        <item x="7"/>
        <item x="8"/>
        <item x="9"/>
        <item x="10"/>
        <item x="18"/>
        <item x="23"/>
        <item x="28"/>
        <item x="29"/>
        <item x="35"/>
        <item x="36"/>
        <item x="39"/>
        <item x="51"/>
        <item x="52"/>
        <item x="58"/>
        <item x="60"/>
        <item x="61"/>
        <item x="66"/>
        <item x="91"/>
        <item x="107"/>
        <item x="108"/>
        <item x="109"/>
        <item x="110"/>
        <item x="114"/>
        <item x="115"/>
        <item x="116"/>
        <item x="123"/>
        <item x="127"/>
        <item x="128"/>
        <item x="129"/>
        <item x="130"/>
        <item x="138"/>
        <item x="239"/>
        <item x="240"/>
        <item x="241"/>
        <item x="242"/>
        <item x="243"/>
        <item x="244"/>
        <item x="253"/>
        <item x="254"/>
        <item x="256"/>
        <item x="262"/>
        <item x="277"/>
        <item x="278"/>
        <item x="291"/>
        <item x="292"/>
        <item x="293"/>
        <item x="294"/>
        <item x="295"/>
        <item x="296"/>
        <item x="318"/>
        <item x="327"/>
        <item x="328"/>
        <item x="329"/>
        <item x="330"/>
        <item x="331"/>
        <item x="332"/>
        <item x="336"/>
        <item x="337"/>
        <item x="338"/>
        <item x="339"/>
        <item x="340"/>
        <item x="345"/>
        <item x="346"/>
        <item x="347"/>
        <item x="348"/>
        <item x="352"/>
        <item x="353"/>
        <item x="356"/>
        <item x="359"/>
        <item x="360"/>
        <item x="363"/>
        <item x="369"/>
        <item x="370"/>
        <item x="371"/>
        <item x="372"/>
        <item x="373"/>
        <item x="374"/>
        <item x="375"/>
        <item x="376"/>
        <item x="378"/>
        <item x="380"/>
        <item x="381"/>
        <item x="382"/>
        <item x="383"/>
        <item x="390"/>
        <item x="392"/>
        <item x="394"/>
        <item x="395"/>
        <item x="396"/>
        <item x="397"/>
        <item x="398"/>
        <item x="400"/>
        <item x="402"/>
        <item x="403"/>
        <item x="404"/>
        <item x="405"/>
        <item x="406"/>
        <item x="407"/>
        <item x="408"/>
        <item x="410"/>
        <item x="413"/>
        <item x="416"/>
        <item x="417"/>
        <item x="418"/>
        <item x="419"/>
        <item x="420"/>
        <item x="421"/>
        <item x="422"/>
        <item x="423"/>
        <item x="424"/>
        <item x="426"/>
        <item x="430"/>
        <item x="431"/>
        <item x="432"/>
        <item x="435"/>
        <item x="436"/>
        <item x="437"/>
        <item x="439"/>
        <item x="440"/>
        <item x="441"/>
        <item x="443"/>
        <item x="444"/>
        <item x="446"/>
        <item x="447"/>
        <item x="448"/>
        <item x="449"/>
        <item x="451"/>
        <item x="453"/>
        <item x="455"/>
        <item x="457"/>
        <item x="467"/>
        <item x="468"/>
        <item x="470"/>
        <item x="472"/>
        <item x="473"/>
        <item x="474"/>
        <item x="475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502"/>
        <item x="503"/>
        <item x="508"/>
        <item x="509"/>
        <item x="515"/>
        <item x="518"/>
        <item x="525"/>
        <item x="527"/>
        <item x="5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69">
        <item x="75"/>
        <item m="1" x="93"/>
        <item x="66"/>
        <item m="1" x="92"/>
        <item m="1" x="88"/>
        <item x="25"/>
        <item m="1" x="115"/>
        <item m="1" x="79"/>
        <item x="21"/>
        <item m="1" x="87"/>
        <item x="59"/>
        <item x="67"/>
        <item x="29"/>
        <item m="1" x="94"/>
        <item m="1" x="99"/>
        <item x="26"/>
        <item x="73"/>
        <item x="34"/>
        <item m="1" x="162"/>
        <item x="15"/>
        <item x="60"/>
        <item m="1" x="132"/>
        <item x="7"/>
        <item x="2"/>
        <item x="74"/>
        <item x="0"/>
        <item x="13"/>
        <item x="23"/>
        <item x="17"/>
        <item m="1" x="130"/>
        <item m="1" x="90"/>
        <item x="24"/>
        <item x="18"/>
        <item m="1" x="77"/>
        <item x="16"/>
        <item x="62"/>
        <item m="1" x="160"/>
        <item x="20"/>
        <item x="4"/>
        <item x="1"/>
        <item x="36"/>
        <item x="64"/>
        <item x="31"/>
        <item x="10"/>
        <item x="72"/>
        <item m="1" x="153"/>
        <item m="1" x="109"/>
        <item x="38"/>
        <item m="1" x="97"/>
        <item x="61"/>
        <item x="35"/>
        <item x="8"/>
        <item m="1" x="114"/>
        <item m="1" x="127"/>
        <item m="1" x="76"/>
        <item x="39"/>
        <item x="14"/>
        <item x="70"/>
        <item x="19"/>
        <item m="1" x="89"/>
        <item x="33"/>
        <item m="1" x="135"/>
        <item x="37"/>
        <item m="1" x="167"/>
        <item x="43"/>
        <item x="40"/>
        <item x="58"/>
        <item x="41"/>
        <item x="42"/>
        <item m="1" x="136"/>
        <item x="44"/>
        <item m="1" x="144"/>
        <item x="30"/>
        <item m="1" x="78"/>
        <item x="27"/>
        <item m="1" x="81"/>
        <item m="1" x="104"/>
        <item m="1" x="142"/>
        <item m="1" x="96"/>
        <item x="69"/>
        <item m="1" x="124"/>
        <item m="1" x="150"/>
        <item x="71"/>
        <item x="45"/>
        <item x="32"/>
        <item x="6"/>
        <item x="46"/>
        <item m="1" x="145"/>
        <item m="1" x="83"/>
        <item x="49"/>
        <item x="48"/>
        <item m="1" x="166"/>
        <item m="1" x="108"/>
        <item m="1" x="86"/>
        <item m="1" x="129"/>
        <item x="50"/>
        <item m="1" x="133"/>
        <item m="1" x="149"/>
        <item m="1" x="107"/>
        <item x="63"/>
        <item m="1" x="105"/>
        <item x="47"/>
        <item x="9"/>
        <item x="11"/>
        <item x="3"/>
        <item x="12"/>
        <item m="1" x="98"/>
        <item m="1" x="111"/>
        <item m="1" x="113"/>
        <item m="1" x="80"/>
        <item m="1" x="152"/>
        <item m="1" x="106"/>
        <item m="1" x="154"/>
        <item m="1" x="82"/>
        <item x="22"/>
        <item m="1" x="165"/>
        <item x="5"/>
        <item m="1" x="164"/>
        <item m="1" x="147"/>
        <item x="68"/>
        <item m="1" x="103"/>
        <item m="1" x="126"/>
        <item m="1" x="138"/>
        <item m="1" x="112"/>
        <item m="1" x="101"/>
        <item m="1" x="131"/>
        <item m="1" x="163"/>
        <item m="1" x="118"/>
        <item m="1" x="134"/>
        <item m="1" x="161"/>
        <item m="1" x="123"/>
        <item m="1" x="122"/>
        <item x="28"/>
        <item m="1" x="84"/>
        <item m="1" x="159"/>
        <item m="1" x="158"/>
        <item m="1" x="146"/>
        <item m="1" x="157"/>
        <item m="1" x="139"/>
        <item m="1" x="156"/>
        <item m="1" x="91"/>
        <item m="1" x="155"/>
        <item m="1" x="141"/>
        <item m="1" x="137"/>
        <item m="1" x="125"/>
        <item m="1" x="148"/>
        <item m="1" x="140"/>
        <item m="1" x="151"/>
        <item m="1" x="120"/>
        <item m="1" x="85"/>
        <item m="1" x="143"/>
        <item x="65"/>
        <item x="55"/>
        <item m="1" x="102"/>
        <item x="51"/>
        <item m="1" x="110"/>
        <item m="1" x="116"/>
        <item x="54"/>
        <item x="53"/>
        <item x="57"/>
        <item x="52"/>
        <item m="1" x="100"/>
        <item m="1" x="128"/>
        <item m="1" x="121"/>
        <item m="1" x="119"/>
        <item m="1" x="117"/>
        <item m="1" x="95"/>
        <item x="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2"/>
        <item h="1" m="1" x="8"/>
        <item x="0"/>
        <item x="4"/>
        <item x="3"/>
        <item x="5"/>
        <item x="1"/>
        <item h="1" m="1" x="9"/>
        <item m="1" x="7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76">
    <i>
      <x v="42"/>
    </i>
    <i>
      <x v="40"/>
    </i>
    <i>
      <x v="154"/>
    </i>
    <i>
      <x v="39"/>
    </i>
    <i>
      <x v="11"/>
    </i>
    <i>
      <x v="17"/>
    </i>
    <i>
      <x v="152"/>
    </i>
    <i>
      <x v="157"/>
    </i>
    <i>
      <x v="38"/>
    </i>
    <i>
      <x v="20"/>
    </i>
    <i>
      <x v="27"/>
    </i>
    <i>
      <x v="5"/>
    </i>
    <i>
      <x v="47"/>
    </i>
    <i>
      <x v="67"/>
    </i>
    <i>
      <x v="62"/>
    </i>
    <i>
      <x v="19"/>
    </i>
    <i>
      <x v="64"/>
    </i>
    <i>
      <x v="8"/>
    </i>
    <i>
      <x v="160"/>
    </i>
    <i>
      <x v="90"/>
    </i>
    <i>
      <x v="25"/>
    </i>
    <i>
      <x v="159"/>
    </i>
    <i>
      <x v="23"/>
    </i>
    <i>
      <x v="72"/>
    </i>
    <i>
      <x v="68"/>
    </i>
    <i>
      <x v="151"/>
    </i>
    <i>
      <x v="104"/>
    </i>
    <i>
      <x v="74"/>
    </i>
    <i>
      <x v="83"/>
    </i>
    <i>
      <x v="10"/>
    </i>
    <i>
      <x v="95"/>
    </i>
    <i>
      <x v="55"/>
    </i>
    <i>
      <x v="102"/>
    </i>
    <i>
      <x v="32"/>
    </i>
    <i>
      <x v="31"/>
    </i>
    <i>
      <x v="24"/>
    </i>
    <i>
      <x v="43"/>
    </i>
    <i>
      <x v="58"/>
    </i>
    <i>
      <x v="105"/>
    </i>
    <i>
      <x v="158"/>
    </i>
    <i>
      <x v="41"/>
    </i>
    <i>
      <x v="35"/>
    </i>
    <i>
      <x v="15"/>
    </i>
    <i>
      <x v="26"/>
    </i>
    <i>
      <x v="22"/>
    </i>
    <i>
      <x v="79"/>
    </i>
    <i>
      <x v="49"/>
    </i>
    <i>
      <x v="99"/>
    </i>
    <i>
      <x v="50"/>
    </i>
    <i>
      <x v="57"/>
    </i>
    <i>
      <x v="16"/>
    </i>
    <i>
      <x v="84"/>
    </i>
    <i>
      <x v="65"/>
    </i>
    <i>
      <x v="167"/>
    </i>
    <i>
      <x v="70"/>
    </i>
    <i>
      <x v="60"/>
    </i>
    <i>
      <x v="28"/>
    </i>
    <i>
      <x v="12"/>
    </i>
    <i>
      <x v="2"/>
    </i>
    <i>
      <x v="34"/>
    </i>
    <i>
      <x v="82"/>
    </i>
    <i>
      <x v="85"/>
    </i>
    <i>
      <x v="37"/>
    </i>
    <i>
      <x v="103"/>
    </i>
    <i>
      <x v="132"/>
    </i>
    <i>
      <x v="86"/>
    </i>
    <i>
      <x v="51"/>
    </i>
    <i>
      <x v="89"/>
    </i>
    <i>
      <x v="56"/>
    </i>
    <i>
      <x v="114"/>
    </i>
    <i>
      <x v="66"/>
    </i>
    <i>
      <x v="116"/>
    </i>
    <i>
      <x v="101"/>
    </i>
    <i>
      <x v="119"/>
    </i>
    <i>
      <x v="44"/>
    </i>
    <i t="grand">
      <x/>
    </i>
  </rowItems>
  <colFields count="1">
    <field x="36"/>
  </colFields>
  <colItems count="7">
    <i>
      <x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ntagem de Grupo Empresarial" fld="20" subtotal="count" baseField="0" baseItem="0" numFmtId="3"/>
  </dataFields>
  <formats count="156">
    <format dxfId="1127">
      <pivotArea outline="0" collapsedLevelsAreSubtotals="1" fieldPosition="0"/>
    </format>
    <format dxfId="1126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125">
      <pivotArea dataOnly="0" labelOnly="1" grandCol="1" outline="0" fieldPosition="0"/>
    </format>
    <format dxfId="1124">
      <pivotArea type="all" dataOnly="0" outline="0" fieldPosition="0"/>
    </format>
    <format dxfId="1123">
      <pivotArea outline="0" collapsedLevelsAreSubtotals="1" fieldPosition="0"/>
    </format>
    <format dxfId="1122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1121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1120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119">
      <pivotArea dataOnly="0" labelOnly="1" grandCol="1" outline="0" fieldPosition="0"/>
    </format>
    <format dxfId="1118">
      <pivotArea outline="0" collapsedLevelsAreSubtotals="1" fieldPosition="0"/>
    </format>
    <format dxfId="1117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116">
      <pivotArea dataOnly="0" labelOnly="1" grandCol="1" outline="0" fieldPosition="0"/>
    </format>
    <format dxfId="1115">
      <pivotArea field="20" grandCol="1" collapsedLevelsAreSubtotals="1" axis="axisRow" fieldPosition="0">
        <references count="1">
          <reference field="20" count="0"/>
        </references>
      </pivotArea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type="origin" dataOnly="0" labelOnly="1" outline="0" fieldPosition="0"/>
    </format>
    <format dxfId="1111">
      <pivotArea field="36" type="button" dataOnly="0" labelOnly="1" outline="0" axis="axisCol" fieldPosition="0"/>
    </format>
    <format dxfId="1110">
      <pivotArea type="topRight" dataOnly="0" labelOnly="1" outline="0" fieldPosition="0"/>
    </format>
    <format dxfId="1109">
      <pivotArea field="20" type="button" dataOnly="0" labelOnly="1" outline="0" axis="axisRow" fieldPosition="0"/>
    </format>
    <format dxfId="1108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107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106">
      <pivotArea dataOnly="0" labelOnly="1" grandRow="1" outline="0" fieldPosition="0"/>
    </format>
    <format dxfId="1105">
      <pivotArea dataOnly="0" labelOnly="1" fieldPosition="0">
        <references count="1">
          <reference field="36" count="0"/>
        </references>
      </pivotArea>
    </format>
    <format dxfId="1104">
      <pivotArea dataOnly="0" labelOnly="1" grandCol="1" outline="0" fieldPosition="0"/>
    </format>
    <format dxfId="1103">
      <pivotArea type="all" dataOnly="0" outline="0" fieldPosition="0"/>
    </format>
    <format dxfId="1102">
      <pivotArea outline="0" collapsedLevelsAreSubtotals="1" fieldPosition="0"/>
    </format>
    <format dxfId="1101">
      <pivotArea type="origin" dataOnly="0" labelOnly="1" outline="0" fieldPosition="0"/>
    </format>
    <format dxfId="1100">
      <pivotArea field="36" type="button" dataOnly="0" labelOnly="1" outline="0" axis="axisCol" fieldPosition="0"/>
    </format>
    <format dxfId="1099">
      <pivotArea type="topRight" dataOnly="0" labelOnly="1" outline="0" fieldPosition="0"/>
    </format>
    <format dxfId="1098">
      <pivotArea field="20" type="button" dataOnly="0" labelOnly="1" outline="0" axis="axisRow" fieldPosition="0"/>
    </format>
    <format dxfId="1097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096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095">
      <pivotArea dataOnly="0" labelOnly="1" grandRow="1" outline="0" fieldPosition="0"/>
    </format>
    <format dxfId="1094">
      <pivotArea dataOnly="0" labelOnly="1" fieldPosition="0">
        <references count="1">
          <reference field="36" count="0"/>
        </references>
      </pivotArea>
    </format>
    <format dxfId="1093">
      <pivotArea dataOnly="0" labelOnly="1" grandCol="1" outline="0" fieldPosition="0"/>
    </format>
    <format dxfId="1092">
      <pivotArea type="all" dataOnly="0" outline="0" fieldPosition="0"/>
    </format>
    <format dxfId="1091">
      <pivotArea outline="0" collapsedLevelsAreSubtotals="1" fieldPosition="0"/>
    </format>
    <format dxfId="1090">
      <pivotArea type="origin" dataOnly="0" labelOnly="1" outline="0" fieldPosition="0"/>
    </format>
    <format dxfId="1089">
      <pivotArea field="36" type="button" dataOnly="0" labelOnly="1" outline="0" axis="axisCol" fieldPosition="0"/>
    </format>
    <format dxfId="1088">
      <pivotArea type="topRight" dataOnly="0" labelOnly="1" outline="0" fieldPosition="0"/>
    </format>
    <format dxfId="1087">
      <pivotArea field="20" type="button" dataOnly="0" labelOnly="1" outline="0" axis="axisRow" fieldPosition="0"/>
    </format>
    <format dxfId="1086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085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084">
      <pivotArea dataOnly="0" labelOnly="1" grandRow="1" outline="0" fieldPosition="0"/>
    </format>
    <format dxfId="1083">
      <pivotArea dataOnly="0" labelOnly="1" fieldPosition="0">
        <references count="1">
          <reference field="36" count="0"/>
        </references>
      </pivotArea>
    </format>
    <format dxfId="1082">
      <pivotArea dataOnly="0" labelOnly="1" grandCol="1" outline="0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type="origin" dataOnly="0" labelOnly="1" outline="0" fieldPosition="0"/>
    </format>
    <format dxfId="1078">
      <pivotArea field="36" type="button" dataOnly="0" labelOnly="1" outline="0" axis="axisCol" fieldPosition="0"/>
    </format>
    <format dxfId="1077">
      <pivotArea type="topRight" dataOnly="0" labelOnly="1" outline="0" fieldPosition="0"/>
    </format>
    <format dxfId="1076">
      <pivotArea field="20" type="button" dataOnly="0" labelOnly="1" outline="0" axis="axisRow" fieldPosition="0"/>
    </format>
    <format dxfId="1075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074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073">
      <pivotArea dataOnly="0" labelOnly="1" grandRow="1" outline="0" fieldPosition="0"/>
    </format>
    <format dxfId="1072">
      <pivotArea dataOnly="0" labelOnly="1" fieldPosition="0">
        <references count="1">
          <reference field="36" count="0"/>
        </references>
      </pivotArea>
    </format>
    <format dxfId="1071">
      <pivotArea dataOnly="0" labelOnly="1" grandCol="1" outline="0" fieldPosition="0"/>
    </format>
    <format dxfId="1070">
      <pivotArea type="all" dataOnly="0" outline="0" fieldPosition="0"/>
    </format>
    <format dxfId="1069">
      <pivotArea outline="0" collapsedLevelsAreSubtotals="1" fieldPosition="0"/>
    </format>
    <format dxfId="1068">
      <pivotArea type="origin" dataOnly="0" labelOnly="1" outline="0" fieldPosition="0"/>
    </format>
    <format dxfId="1067">
      <pivotArea field="20" type="button" dataOnly="0" labelOnly="1" outline="0" axis="axisRow" fieldPosition="0"/>
    </format>
    <format dxfId="1066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065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064">
      <pivotArea dataOnly="0" labelOnly="1" grandRow="1" outline="0" fieldPosition="0"/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Col="1" outline="0" fieldPosition="0"/>
    </format>
    <format dxfId="1061">
      <pivotArea type="origin" dataOnly="0" labelOnly="1" outline="0" fieldPosition="0"/>
    </format>
    <format dxfId="1060">
      <pivotArea field="20" type="button" dataOnly="0" labelOnly="1" outline="0" axis="axisRow" fieldPosition="0"/>
    </format>
    <format dxfId="1059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058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057">
      <pivotArea dataOnly="0" labelOnly="1" grandRow="1" outline="0" fieldPosition="0"/>
    </format>
    <format dxfId="1056">
      <pivotArea outline="0" collapsedLevelsAreSubtotals="1" fieldPosition="0"/>
    </format>
    <format dxfId="1055">
      <pivotArea dataOnly="0" labelOnly="1" fieldPosition="0">
        <references count="1">
          <reference field="36" count="0"/>
        </references>
      </pivotArea>
    </format>
    <format dxfId="1054">
      <pivotArea dataOnly="0" labelOnly="1" grandCol="1" outline="0" fieldPosition="0"/>
    </format>
    <format dxfId="1053">
      <pivotArea outline="0" collapsedLevelsAreSubtotals="1" fieldPosition="0"/>
    </format>
    <format dxfId="1052">
      <pivotArea dataOnly="0" labelOnly="1" fieldPosition="0">
        <references count="1">
          <reference field="36" count="0"/>
        </references>
      </pivotArea>
    </format>
    <format dxfId="1051">
      <pivotArea dataOnly="0" labelOnly="1" grandCol="1" outline="0" fieldPosition="0"/>
    </format>
    <format dxfId="1050">
      <pivotArea field="20" grandCol="1" collapsedLevelsAreSubtotals="1" axis="axisRow" fieldPosition="0">
        <references count="1">
          <reference field="20" count="0"/>
        </references>
      </pivotArea>
    </format>
    <format dxfId="1049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1048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1047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1046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1045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1044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1043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1042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1041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1040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type="origin" dataOnly="0" labelOnly="1" outline="0" fieldPosition="0"/>
    </format>
    <format dxfId="1036">
      <pivotArea field="36" type="button" dataOnly="0" labelOnly="1" outline="0" axis="axisCol" fieldPosition="0"/>
    </format>
    <format dxfId="1035">
      <pivotArea type="topRight" dataOnly="0" labelOnly="1" outline="0" fieldPosition="0"/>
    </format>
    <format dxfId="1034">
      <pivotArea field="20" type="button" dataOnly="0" labelOnly="1" outline="0" axis="axisRow" fieldPosition="0"/>
    </format>
    <format dxfId="1033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1032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1031">
      <pivotArea dataOnly="0" labelOnly="1" grandRow="1" outline="0" fieldPosition="0"/>
    </format>
    <format dxfId="1030">
      <pivotArea dataOnly="0" labelOnly="1" fieldPosition="0">
        <references count="1">
          <reference field="36" count="0"/>
        </references>
      </pivotArea>
    </format>
    <format dxfId="1029">
      <pivotArea dataOnly="0" labelOnly="1" grandCol="1" outline="0" fieldPosition="0"/>
    </format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6" type="button" dataOnly="0" labelOnly="1" outline="0" axis="axisCol" fieldPosition="0"/>
    </format>
    <format dxfId="1025">
      <pivotArea type="topRight" dataOnly="0" labelOnly="1" outline="0" fieldPosition="0"/>
    </format>
    <format dxfId="1024">
      <pivotArea dataOnly="0" labelOnly="1" fieldPosition="0">
        <references count="1">
          <reference field="36" count="0"/>
        </references>
      </pivotArea>
    </format>
    <format dxfId="1023">
      <pivotArea dataOnly="0" labelOnly="1" grandCol="1" outline="0" fieldPosition="0"/>
    </format>
    <format dxfId="1022">
      <pivotArea dataOnly="0" labelOnly="1" fieldPosition="0">
        <references count="1">
          <reference field="20" count="0"/>
        </references>
      </pivotArea>
    </format>
    <format dxfId="1021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1020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1019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1018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1017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1016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1015">
      <pivotArea type="origin" dataOnly="0" labelOnly="1" outline="0" fieldPosition="0"/>
    </format>
    <format dxfId="1014">
      <pivotArea field="20" type="button" dataOnly="0" labelOnly="1" outline="0" axis="axisRow" fieldPosition="0"/>
    </format>
    <format dxfId="1013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1012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1011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1010">
      <pivotArea dataOnly="0" labelOnly="1" grandRow="1" outline="0" fieldPosition="0"/>
    </format>
    <format dxfId="1009">
      <pivotArea type="all" dataOnly="0" outline="0" fieldPosition="0"/>
    </format>
    <format dxfId="1008">
      <pivotArea outline="0" collapsedLevelsAreSubtotals="1" fieldPosition="0"/>
    </format>
    <format dxfId="1007">
      <pivotArea type="origin" dataOnly="0" labelOnly="1" outline="0" fieldPosition="0"/>
    </format>
    <format dxfId="1006">
      <pivotArea field="36" type="button" dataOnly="0" labelOnly="1" outline="0" axis="axisCol" fieldPosition="0"/>
    </format>
    <format dxfId="1005">
      <pivotArea type="topRight" dataOnly="0" labelOnly="1" outline="0" fieldPosition="0"/>
    </format>
    <format dxfId="1004">
      <pivotArea field="20" type="button" dataOnly="0" labelOnly="1" outline="0" axis="axisRow" fieldPosition="0"/>
    </format>
    <format dxfId="1003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1002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1001">
      <pivotArea dataOnly="0" labelOnly="1" grandRow="1" outline="0" fieldPosition="0"/>
    </format>
    <format dxfId="1000">
      <pivotArea dataOnly="0" labelOnly="1" fieldPosition="0">
        <references count="1">
          <reference field="36" count="0"/>
        </references>
      </pivotArea>
    </format>
    <format dxfId="999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998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997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996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995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994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993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992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991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990">
      <pivotArea type="origin" dataOnly="0" labelOnly="1" outline="0" fieldPosition="0"/>
    </format>
    <format dxfId="989">
      <pivotArea field="20" type="button" dataOnly="0" labelOnly="1" outline="0" axis="axisRow" fieldPosition="0"/>
    </format>
    <format dxfId="988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987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98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7"/>
  <sheetViews>
    <sheetView showGridLines="0" tabSelected="1" zoomScale="80" zoomScaleNormal="80" zoomScaleSheetLayoutView="85" zoomScalePageLayoutView="30" workbookViewId="0">
      <selection activeCell="F16" sqref="F16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" style="15" bestFit="1" customWidth="1"/>
    <col min="8" max="8" width="13.140625" style="15" bestFit="1" customWidth="1"/>
    <col min="9" max="9" width="19.140625" style="15" bestFit="1" customWidth="1"/>
    <col min="10" max="10" width="12.7109375" style="15" bestFit="1" customWidth="1"/>
    <col min="11" max="11" width="12.42578125" style="15" bestFit="1" customWidth="1"/>
    <col min="12" max="12" width="12.7109375" style="15" customWidth="1"/>
    <col min="13" max="13" width="45.7109375" style="16" bestFit="1" customWidth="1"/>
    <col min="14" max="14" width="20.28515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22" width="9.42578125" style="15" customWidth="1"/>
    <col min="23" max="23" width="9.85546875" style="15" customWidth="1"/>
    <col min="24" max="63" width="13.7109375" style="15" bestFit="1" customWidth="1"/>
    <col min="64" max="64" width="5.85546875" style="15" bestFit="1" customWidth="1"/>
    <col min="65" max="664" width="13.7109375" style="15" bestFit="1" customWidth="1"/>
    <col min="665" max="665" width="12.28515625" style="15" bestFit="1" customWidth="1"/>
    <col min="666" max="1054" width="20.5703125" style="15" bestFit="1" customWidth="1"/>
    <col min="1055" max="1055" width="7" style="15" bestFit="1" customWidth="1"/>
    <col min="1056" max="1056" width="13.28515625" style="15" bestFit="1" customWidth="1"/>
    <col min="1057" max="1609" width="33.28515625" style="15" customWidth="1"/>
    <col min="1610" max="16384" width="33.28515625" style="15"/>
  </cols>
  <sheetData>
    <row r="1" spans="1:21" ht="46.5" customHeight="1" x14ac:dyDescent="0.25">
      <c r="A1" s="51" t="str">
        <f ca="1">"Análise de Erros "&amp;TEXT(TODAY(),"dd/mm/aa")</f>
        <v>Análise de Erros 12/09/25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52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49" t="s">
        <v>0</v>
      </c>
      <c r="B3" s="48"/>
      <c r="C3" s="48"/>
      <c r="D3" s="48"/>
      <c r="E3" s="48"/>
      <c r="F3" s="48"/>
      <c r="M3" s="49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17</v>
      </c>
      <c r="B6" s="20">
        <v>170</v>
      </c>
      <c r="C6" s="20">
        <v>44</v>
      </c>
      <c r="D6" s="20">
        <v>179</v>
      </c>
      <c r="E6" s="20">
        <v>23</v>
      </c>
      <c r="F6" s="20">
        <v>416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19</v>
      </c>
      <c r="B7" s="20">
        <v>2</v>
      </c>
      <c r="C7" s="20">
        <v>7</v>
      </c>
      <c r="D7" s="20">
        <v>32</v>
      </c>
      <c r="E7" s="20">
        <v>2</v>
      </c>
      <c r="F7" s="20">
        <v>43</v>
      </c>
      <c r="M7" s="40" t="s">
        <v>20</v>
      </c>
      <c r="N7" s="36">
        <v>58</v>
      </c>
      <c r="O7" s="36">
        <v>13</v>
      </c>
      <c r="P7" s="36">
        <v>87</v>
      </c>
      <c r="Q7" s="36">
        <v>5</v>
      </c>
      <c r="R7" s="36">
        <v>106</v>
      </c>
      <c r="S7" s="36">
        <v>269</v>
      </c>
    </row>
    <row r="8" spans="1:21" x14ac:dyDescent="0.25">
      <c r="A8" s="16" t="s">
        <v>21</v>
      </c>
      <c r="B8" s="20">
        <v>3</v>
      </c>
      <c r="C8" s="20">
        <v>4</v>
      </c>
      <c r="D8" s="20">
        <v>52</v>
      </c>
      <c r="E8" s="20">
        <v>1</v>
      </c>
      <c r="F8" s="20">
        <v>60</v>
      </c>
      <c r="M8" s="30" t="s">
        <v>22</v>
      </c>
      <c r="N8" s="37">
        <v>58</v>
      </c>
      <c r="O8" s="37">
        <v>13</v>
      </c>
      <c r="P8" s="37">
        <v>87</v>
      </c>
      <c r="Q8" s="37">
        <v>5</v>
      </c>
      <c r="R8" s="37">
        <v>106</v>
      </c>
      <c r="S8" s="37">
        <v>269</v>
      </c>
    </row>
    <row r="9" spans="1:21" x14ac:dyDescent="0.25">
      <c r="A9" s="16" t="s">
        <v>23</v>
      </c>
      <c r="B9" s="20">
        <v>6</v>
      </c>
      <c r="C9" s="20">
        <v>18</v>
      </c>
      <c r="D9" s="20">
        <v>40</v>
      </c>
      <c r="E9" s="20">
        <v>1</v>
      </c>
      <c r="F9" s="20">
        <v>65</v>
      </c>
      <c r="M9" s="31" t="s">
        <v>31</v>
      </c>
      <c r="N9" s="20"/>
      <c r="O9" s="20"/>
      <c r="P9" s="20"/>
      <c r="Q9" s="20"/>
      <c r="R9" s="20"/>
      <c r="S9" s="20"/>
    </row>
    <row r="10" spans="1:21" x14ac:dyDescent="0.25">
      <c r="A10" s="32" t="s">
        <v>25</v>
      </c>
      <c r="B10" s="35">
        <v>1</v>
      </c>
      <c r="C10" s="35"/>
      <c r="D10" s="35">
        <v>8</v>
      </c>
      <c r="E10" s="35"/>
      <c r="F10" s="35">
        <v>9</v>
      </c>
      <c r="M10" s="40" t="s">
        <v>20</v>
      </c>
      <c r="N10" s="36">
        <v>39</v>
      </c>
      <c r="O10" s="36">
        <v>48</v>
      </c>
      <c r="P10" s="36"/>
      <c r="Q10" s="36"/>
      <c r="R10" s="36">
        <v>46</v>
      </c>
      <c r="S10" s="36">
        <v>133</v>
      </c>
    </row>
    <row r="11" spans="1:21" x14ac:dyDescent="0.25">
      <c r="A11" s="16" t="s">
        <v>10</v>
      </c>
      <c r="B11" s="20">
        <v>182</v>
      </c>
      <c r="C11" s="20">
        <v>73</v>
      </c>
      <c r="D11" s="20">
        <v>311</v>
      </c>
      <c r="E11" s="20">
        <v>27</v>
      </c>
      <c r="F11" s="34">
        <v>593</v>
      </c>
      <c r="M11" s="30" t="s">
        <v>32</v>
      </c>
      <c r="N11" s="37">
        <v>39</v>
      </c>
      <c r="O11" s="37">
        <v>48</v>
      </c>
      <c r="P11" s="37"/>
      <c r="Q11" s="37"/>
      <c r="R11" s="37">
        <v>46</v>
      </c>
      <c r="S11" s="37">
        <v>133</v>
      </c>
    </row>
    <row r="12" spans="1:21" x14ac:dyDescent="0.25">
      <c r="A12"/>
      <c r="B12"/>
      <c r="C12"/>
      <c r="D12"/>
      <c r="E12"/>
      <c r="F12"/>
      <c r="M12" s="31" t="s">
        <v>24</v>
      </c>
      <c r="N12" s="20"/>
      <c r="O12" s="20"/>
      <c r="P12" s="20"/>
      <c r="Q12" s="20"/>
      <c r="R12" s="20"/>
      <c r="S12" s="20"/>
    </row>
    <row r="13" spans="1:21" x14ac:dyDescent="0.25">
      <c r="A13"/>
      <c r="B13"/>
      <c r="C13"/>
      <c r="D13"/>
      <c r="E13"/>
      <c r="F13"/>
      <c r="M13" s="40" t="s">
        <v>20</v>
      </c>
      <c r="N13" s="36">
        <v>2</v>
      </c>
      <c r="O13" s="36">
        <v>2</v>
      </c>
      <c r="P13" s="36"/>
      <c r="Q13" s="36">
        <v>5</v>
      </c>
      <c r="R13" s="36">
        <v>69</v>
      </c>
      <c r="S13" s="36">
        <v>78</v>
      </c>
    </row>
    <row r="14" spans="1:21" x14ac:dyDescent="0.25">
      <c r="M14" s="40" t="s">
        <v>26</v>
      </c>
      <c r="N14" s="36"/>
      <c r="O14" s="36">
        <v>9</v>
      </c>
      <c r="P14" s="36"/>
      <c r="Q14" s="36"/>
      <c r="R14" s="36">
        <v>31</v>
      </c>
      <c r="S14" s="37">
        <v>40</v>
      </c>
    </row>
    <row r="15" spans="1:21" x14ac:dyDescent="0.25">
      <c r="A15" s="50" t="s">
        <v>30</v>
      </c>
      <c r="B15" s="48"/>
      <c r="C15" s="48"/>
      <c r="D15" s="48"/>
      <c r="E15" s="48"/>
      <c r="F15" s="28">
        <v>168</v>
      </c>
      <c r="M15" s="40" t="s">
        <v>43</v>
      </c>
      <c r="N15" s="36"/>
      <c r="O15" s="36"/>
      <c r="P15" s="36"/>
      <c r="Q15" s="36"/>
      <c r="R15" s="36">
        <v>2</v>
      </c>
      <c r="S15" s="36">
        <v>2</v>
      </c>
    </row>
    <row r="16" spans="1:21" x14ac:dyDescent="0.25">
      <c r="A16" s="47" t="str">
        <f>IF(($F$15/$F$6)&gt;=100%,"Eficiência Positiva","Eficiência Negativa")</f>
        <v>Eficiência Negativa</v>
      </c>
      <c r="B16" s="48"/>
      <c r="C16" s="48"/>
      <c r="D16" s="48"/>
      <c r="E16" s="48"/>
      <c r="F16" s="29">
        <f>($F$15/$F$6)-100%</f>
        <v>-0.59615384615384615</v>
      </c>
      <c r="M16" s="40" t="s">
        <v>27</v>
      </c>
      <c r="N16" s="20"/>
      <c r="O16" s="20"/>
      <c r="P16" s="20"/>
      <c r="Q16" s="20"/>
      <c r="R16" s="20">
        <v>1</v>
      </c>
      <c r="S16" s="20">
        <v>1</v>
      </c>
    </row>
    <row r="17" spans="1:19" x14ac:dyDescent="0.25">
      <c r="M17" s="40" t="s">
        <v>28</v>
      </c>
      <c r="N17" s="36"/>
      <c r="O17" s="36"/>
      <c r="P17" s="36"/>
      <c r="Q17" s="36">
        <v>1</v>
      </c>
      <c r="R17" s="36"/>
      <c r="S17" s="36">
        <v>1</v>
      </c>
    </row>
    <row r="18" spans="1:19" x14ac:dyDescent="0.25">
      <c r="A18" s="49" t="s">
        <v>33</v>
      </c>
      <c r="B18" s="48"/>
      <c r="C18" s="48"/>
      <c r="D18" s="48"/>
      <c r="E18" s="48"/>
      <c r="F18" s="48"/>
      <c r="M18" s="30" t="s">
        <v>29</v>
      </c>
      <c r="N18" s="37">
        <v>2</v>
      </c>
      <c r="O18" s="37">
        <v>11</v>
      </c>
      <c r="P18" s="37"/>
      <c r="Q18" s="37">
        <v>6</v>
      </c>
      <c r="R18" s="37">
        <v>103</v>
      </c>
      <c r="S18" s="37">
        <v>122</v>
      </c>
    </row>
    <row r="19" spans="1:19" x14ac:dyDescent="0.25">
      <c r="A19" s="19" t="s">
        <v>35</v>
      </c>
      <c r="B19" s="21" t="s">
        <v>5</v>
      </c>
      <c r="M19" s="31" t="s">
        <v>34</v>
      </c>
      <c r="N19" s="20"/>
      <c r="O19" s="20"/>
      <c r="P19" s="20"/>
      <c r="Q19" s="20"/>
      <c r="R19" s="20"/>
      <c r="S19" s="20"/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 s="40" t="s">
        <v>20</v>
      </c>
      <c r="N20" s="36"/>
      <c r="O20" s="36">
        <v>2</v>
      </c>
      <c r="P20" s="36"/>
      <c r="Q20" s="36"/>
      <c r="R20" s="36">
        <v>18</v>
      </c>
      <c r="S20" s="36">
        <v>20</v>
      </c>
    </row>
    <row r="21" spans="1:19" x14ac:dyDescent="0.25">
      <c r="A21" s="16" t="s">
        <v>16</v>
      </c>
      <c r="B21" s="53">
        <v>120</v>
      </c>
      <c r="C21" s="53">
        <v>20</v>
      </c>
      <c r="D21" s="53">
        <v>137</v>
      </c>
      <c r="E21" s="53"/>
      <c r="F21" s="53">
        <v>277</v>
      </c>
      <c r="M21" s="30" t="s">
        <v>36</v>
      </c>
      <c r="N21" s="37"/>
      <c r="O21" s="37">
        <v>2</v>
      </c>
      <c r="P21" s="37"/>
      <c r="Q21" s="37"/>
      <c r="R21" s="37">
        <v>18</v>
      </c>
      <c r="S21" s="37">
        <v>20</v>
      </c>
    </row>
    <row r="22" spans="1:19" x14ac:dyDescent="0.25">
      <c r="A22" s="16" t="s">
        <v>12</v>
      </c>
      <c r="B22" s="53">
        <v>17</v>
      </c>
      <c r="C22" s="53">
        <v>25</v>
      </c>
      <c r="D22" s="53">
        <v>51</v>
      </c>
      <c r="E22" s="53">
        <v>23</v>
      </c>
      <c r="F22" s="53">
        <v>116</v>
      </c>
      <c r="M22" s="31" t="s">
        <v>37</v>
      </c>
      <c r="N22" s="20"/>
      <c r="O22" s="20"/>
      <c r="P22" s="20"/>
      <c r="Q22" s="20"/>
      <c r="R22" s="20"/>
      <c r="S22" s="20"/>
    </row>
    <row r="23" spans="1:19" x14ac:dyDescent="0.25">
      <c r="A23" s="16" t="s">
        <v>14</v>
      </c>
      <c r="B23" s="53"/>
      <c r="C23" s="53">
        <v>10</v>
      </c>
      <c r="D23" s="53">
        <v>74</v>
      </c>
      <c r="E23" s="53">
        <v>4</v>
      </c>
      <c r="F23" s="53">
        <v>88</v>
      </c>
      <c r="M23" s="40" t="s">
        <v>26</v>
      </c>
      <c r="N23" s="36">
        <v>11</v>
      </c>
      <c r="O23" s="36">
        <v>4</v>
      </c>
      <c r="P23" s="36"/>
      <c r="Q23" s="36"/>
      <c r="R23" s="36">
        <v>1</v>
      </c>
      <c r="S23" s="36">
        <v>16</v>
      </c>
    </row>
    <row r="24" spans="1:19" x14ac:dyDescent="0.25">
      <c r="A24" s="16" t="s">
        <v>13</v>
      </c>
      <c r="B24" s="53">
        <v>16</v>
      </c>
      <c r="C24" s="53">
        <v>13</v>
      </c>
      <c r="D24" s="53">
        <v>49</v>
      </c>
      <c r="E24" s="53"/>
      <c r="F24" s="53">
        <v>78</v>
      </c>
      <c r="M24" s="30" t="s">
        <v>38</v>
      </c>
      <c r="N24" s="37">
        <v>11</v>
      </c>
      <c r="O24" s="37">
        <v>4</v>
      </c>
      <c r="P24" s="37"/>
      <c r="Q24" s="37"/>
      <c r="R24" s="37">
        <v>1</v>
      </c>
      <c r="S24" s="37">
        <v>16</v>
      </c>
    </row>
    <row r="25" spans="1:19" x14ac:dyDescent="0.25">
      <c r="A25" s="16" t="s">
        <v>39</v>
      </c>
      <c r="B25" s="53">
        <v>22</v>
      </c>
      <c r="C25" s="53"/>
      <c r="D25" s="53"/>
      <c r="E25" s="53"/>
      <c r="F25" s="53">
        <v>22</v>
      </c>
      <c r="M25" s="16" t="s">
        <v>10</v>
      </c>
      <c r="N25" s="37">
        <v>110</v>
      </c>
      <c r="O25" s="37">
        <v>78</v>
      </c>
      <c r="P25" s="37">
        <v>87</v>
      </c>
      <c r="Q25" s="37">
        <v>11</v>
      </c>
      <c r="R25" s="37">
        <v>274</v>
      </c>
      <c r="S25" s="37">
        <v>560</v>
      </c>
    </row>
    <row r="26" spans="1:19" x14ac:dyDescent="0.25">
      <c r="A26" s="16" t="s">
        <v>15</v>
      </c>
      <c r="B26" s="53">
        <v>7</v>
      </c>
      <c r="C26" s="53">
        <v>5</v>
      </c>
      <c r="D26" s="53"/>
      <c r="E26" s="53"/>
      <c r="F26" s="53">
        <v>12</v>
      </c>
    </row>
    <row r="27" spans="1:19" x14ac:dyDescent="0.25">
      <c r="A27" s="16" t="s">
        <v>10</v>
      </c>
      <c r="B27" s="53">
        <v>182</v>
      </c>
      <c r="C27" s="53">
        <v>73</v>
      </c>
      <c r="D27" s="53">
        <v>311</v>
      </c>
      <c r="E27" s="53">
        <v>27</v>
      </c>
      <c r="F27" s="34">
        <v>593</v>
      </c>
    </row>
    <row r="28" spans="1:19" x14ac:dyDescent="0.25">
      <c r="A28"/>
      <c r="B28"/>
      <c r="C28"/>
      <c r="D28"/>
      <c r="E28"/>
      <c r="F28"/>
    </row>
    <row r="30" spans="1:19" x14ac:dyDescent="0.25">
      <c r="A30" s="31" t="s">
        <v>41</v>
      </c>
      <c r="B30" s="42"/>
      <c r="C30" s="42"/>
      <c r="D30" s="42"/>
      <c r="E30" s="42"/>
      <c r="F30" s="42"/>
      <c r="G30" s="42"/>
      <c r="H30" s="42"/>
      <c r="I30" s="42"/>
    </row>
    <row r="31" spans="1:19" x14ac:dyDescent="0.25">
      <c r="A31" s="33" t="s">
        <v>42</v>
      </c>
      <c r="B31" s="25" t="s">
        <v>5</v>
      </c>
      <c r="C31" s="26"/>
      <c r="D31" s="26"/>
      <c r="E31" s="26"/>
      <c r="F31" s="26"/>
      <c r="G31" s="26"/>
      <c r="H31" s="26"/>
      <c r="I31"/>
    </row>
    <row r="32" spans="1:19" x14ac:dyDescent="0.25">
      <c r="A32" s="33" t="s">
        <v>11</v>
      </c>
      <c r="B32" s="27" t="s">
        <v>12</v>
      </c>
      <c r="C32" s="27" t="s">
        <v>13</v>
      </c>
      <c r="D32" s="27" t="s">
        <v>39</v>
      </c>
      <c r="E32" s="27" t="s">
        <v>14</v>
      </c>
      <c r="F32" s="27" t="s">
        <v>15</v>
      </c>
      <c r="G32" s="27" t="s">
        <v>16</v>
      </c>
      <c r="H32" s="27" t="s">
        <v>10</v>
      </c>
      <c r="I32"/>
    </row>
    <row r="33" spans="1:21" x14ac:dyDescent="0.25">
      <c r="A33" s="16" t="s">
        <v>20</v>
      </c>
      <c r="B33" s="20">
        <v>105</v>
      </c>
      <c r="C33" s="20">
        <v>65</v>
      </c>
      <c r="D33" s="20">
        <v>7</v>
      </c>
      <c r="E33" s="20">
        <v>88</v>
      </c>
      <c r="F33" s="20">
        <v>11</v>
      </c>
      <c r="G33" s="20">
        <v>242</v>
      </c>
      <c r="H33" s="20">
        <v>518</v>
      </c>
      <c r="I33"/>
    </row>
    <row r="34" spans="1:21" x14ac:dyDescent="0.25">
      <c r="A34" s="16" t="s">
        <v>26</v>
      </c>
      <c r="B34" s="20">
        <v>11</v>
      </c>
      <c r="C34" s="20">
        <v>13</v>
      </c>
      <c r="D34" s="20">
        <v>5</v>
      </c>
      <c r="E34" s="20"/>
      <c r="F34" s="20"/>
      <c r="G34" s="20">
        <v>32</v>
      </c>
      <c r="H34" s="20">
        <v>61</v>
      </c>
      <c r="I34"/>
    </row>
    <row r="35" spans="1:21" x14ac:dyDescent="0.25">
      <c r="A35" s="16" t="s">
        <v>43</v>
      </c>
      <c r="B35" s="20"/>
      <c r="C35" s="20"/>
      <c r="D35" s="20">
        <v>10</v>
      </c>
      <c r="E35" s="20"/>
      <c r="F35" s="20"/>
      <c r="G35" s="20">
        <v>2</v>
      </c>
      <c r="H35" s="20">
        <v>12</v>
      </c>
      <c r="I35"/>
    </row>
    <row r="36" spans="1:21" x14ac:dyDescent="0.25">
      <c r="A36" s="16" t="s">
        <v>27</v>
      </c>
      <c r="B36" s="20"/>
      <c r="C36" s="20"/>
      <c r="D36" s="20"/>
      <c r="E36" s="20"/>
      <c r="F36" s="20"/>
      <c r="G36" s="20">
        <v>1</v>
      </c>
      <c r="H36" s="20">
        <v>1</v>
      </c>
      <c r="I36"/>
    </row>
    <row r="37" spans="1:21" x14ac:dyDescent="0.25">
      <c r="A37" s="16" t="s">
        <v>28</v>
      </c>
      <c r="B37" s="20"/>
      <c r="C37" s="20"/>
      <c r="D37" s="20"/>
      <c r="E37" s="20"/>
      <c r="F37" s="20">
        <v>1</v>
      </c>
      <c r="G37" s="20"/>
      <c r="H37" s="20">
        <v>1</v>
      </c>
      <c r="I37"/>
    </row>
    <row r="38" spans="1:21" x14ac:dyDescent="0.25">
      <c r="A38" s="16" t="s">
        <v>10</v>
      </c>
      <c r="B38" s="20">
        <v>116</v>
      </c>
      <c r="C38" s="20">
        <v>78</v>
      </c>
      <c r="D38" s="20">
        <v>22</v>
      </c>
      <c r="E38" s="20">
        <v>88</v>
      </c>
      <c r="F38" s="20">
        <v>12</v>
      </c>
      <c r="G38" s="20">
        <v>277</v>
      </c>
      <c r="H38" s="20">
        <v>593</v>
      </c>
      <c r="I38"/>
    </row>
    <row r="40" spans="1:21" ht="15" customHeight="1" x14ac:dyDescent="0.25">
      <c r="A40" s="31" t="s">
        <v>44</v>
      </c>
      <c r="B40" s="42"/>
      <c r="C40" s="42"/>
      <c r="D40" s="42"/>
      <c r="E40" s="42"/>
      <c r="F40" s="42"/>
      <c r="G40" s="42"/>
      <c r="H40" s="42"/>
      <c r="I40" s="42"/>
    </row>
    <row r="41" spans="1:21" x14ac:dyDescent="0.25">
      <c r="A41" s="19" t="s">
        <v>45</v>
      </c>
      <c r="B41" s="21" t="s">
        <v>5</v>
      </c>
      <c r="I41"/>
      <c r="M41" s="47" t="s">
        <v>46</v>
      </c>
      <c r="N41" s="48"/>
      <c r="O41" s="48"/>
      <c r="P41" s="48"/>
      <c r="Q41" s="48"/>
      <c r="R41" s="48"/>
      <c r="S41" s="47"/>
      <c r="T41" s="48"/>
      <c r="U41" s="48"/>
    </row>
    <row r="42" spans="1:21" x14ac:dyDescent="0.25">
      <c r="A42" s="19" t="s">
        <v>11</v>
      </c>
      <c r="B42" s="15" t="s">
        <v>12</v>
      </c>
      <c r="C42" s="15" t="s">
        <v>13</v>
      </c>
      <c r="D42" s="15" t="s">
        <v>39</v>
      </c>
      <c r="E42" s="15" t="s">
        <v>14</v>
      </c>
      <c r="F42" s="15" t="s">
        <v>15</v>
      </c>
      <c r="G42" s="15" t="s">
        <v>16</v>
      </c>
      <c r="H42" s="15" t="s">
        <v>10</v>
      </c>
      <c r="I42"/>
      <c r="M42" s="19" t="s">
        <v>47</v>
      </c>
      <c r="N42" s="21" t="s">
        <v>5</v>
      </c>
      <c r="U42"/>
    </row>
    <row r="43" spans="1:21" x14ac:dyDescent="0.25">
      <c r="A43" s="16" t="s">
        <v>48</v>
      </c>
      <c r="B43" s="20">
        <v>94</v>
      </c>
      <c r="C43" s="20">
        <v>54</v>
      </c>
      <c r="D43" s="20"/>
      <c r="E43" s="20">
        <v>87</v>
      </c>
      <c r="F43" s="20"/>
      <c r="G43" s="20">
        <v>142</v>
      </c>
      <c r="H43" s="53">
        <v>377</v>
      </c>
      <c r="I43"/>
      <c r="M43" s="19" t="s">
        <v>11</v>
      </c>
      <c r="N43" s="15" t="s">
        <v>13</v>
      </c>
      <c r="O43" s="15" t="s">
        <v>39</v>
      </c>
      <c r="P43" s="15" t="s">
        <v>14</v>
      </c>
      <c r="Q43" s="15" t="s">
        <v>12</v>
      </c>
      <c r="R43" s="15" t="s">
        <v>15</v>
      </c>
      <c r="S43" s="15" t="s">
        <v>16</v>
      </c>
      <c r="T43" s="15" t="s">
        <v>10</v>
      </c>
      <c r="U43"/>
    </row>
    <row r="44" spans="1:21" x14ac:dyDescent="0.25">
      <c r="A44" s="16" t="s">
        <v>49</v>
      </c>
      <c r="B44" s="20">
        <v>11</v>
      </c>
      <c r="C44" s="20">
        <v>3</v>
      </c>
      <c r="D44" s="20">
        <v>4</v>
      </c>
      <c r="E44" s="20"/>
      <c r="F44" s="20"/>
      <c r="G44" s="20">
        <v>30</v>
      </c>
      <c r="H44" s="53">
        <v>48</v>
      </c>
      <c r="I44"/>
      <c r="M44" s="16" t="s">
        <v>56</v>
      </c>
      <c r="N44" s="53"/>
      <c r="O44" s="53"/>
      <c r="P44" s="53"/>
      <c r="Q44" s="53"/>
      <c r="R44" s="53">
        <v>1</v>
      </c>
      <c r="S44" s="53">
        <v>72</v>
      </c>
      <c r="T44" s="53">
        <v>73</v>
      </c>
      <c r="U44"/>
    </row>
    <row r="45" spans="1:21" x14ac:dyDescent="0.25">
      <c r="A45" s="16" t="s">
        <v>51</v>
      </c>
      <c r="B45" s="20"/>
      <c r="C45" s="20"/>
      <c r="D45" s="20"/>
      <c r="E45" s="20"/>
      <c r="F45" s="20">
        <v>5</v>
      </c>
      <c r="G45" s="20">
        <v>38</v>
      </c>
      <c r="H45" s="53">
        <v>43</v>
      </c>
      <c r="I45"/>
      <c r="M45" s="16" t="s">
        <v>52</v>
      </c>
      <c r="N45" s="53"/>
      <c r="O45" s="53"/>
      <c r="P45" s="53">
        <v>65</v>
      </c>
      <c r="Q45" s="53"/>
      <c r="R45" s="53"/>
      <c r="S45" s="53"/>
      <c r="T45" s="53">
        <v>65</v>
      </c>
      <c r="U45"/>
    </row>
    <row r="46" spans="1:21" x14ac:dyDescent="0.25">
      <c r="A46" s="16" t="s">
        <v>53</v>
      </c>
      <c r="B46" s="20">
        <v>4</v>
      </c>
      <c r="C46" s="20">
        <v>3</v>
      </c>
      <c r="D46" s="20"/>
      <c r="E46" s="20"/>
      <c r="F46" s="20"/>
      <c r="G46" s="20">
        <v>25</v>
      </c>
      <c r="H46" s="53">
        <v>32</v>
      </c>
      <c r="I46"/>
      <c r="M46" s="16" t="s">
        <v>58</v>
      </c>
      <c r="N46" s="53"/>
      <c r="O46" s="53"/>
      <c r="P46" s="53"/>
      <c r="Q46" s="53"/>
      <c r="R46" s="53"/>
      <c r="S46" s="53">
        <v>55</v>
      </c>
      <c r="T46" s="53">
        <v>55</v>
      </c>
      <c r="U46"/>
    </row>
    <row r="47" spans="1:21" x14ac:dyDescent="0.25">
      <c r="A47" s="16" t="s">
        <v>59</v>
      </c>
      <c r="B47" s="20"/>
      <c r="C47" s="20"/>
      <c r="D47" s="20">
        <v>7</v>
      </c>
      <c r="E47" s="20"/>
      <c r="F47" s="20"/>
      <c r="G47" s="20">
        <v>8</v>
      </c>
      <c r="H47" s="53">
        <v>15</v>
      </c>
      <c r="I47"/>
      <c r="M47" s="16" t="s">
        <v>54</v>
      </c>
      <c r="N47" s="53"/>
      <c r="O47" s="53"/>
      <c r="P47" s="53"/>
      <c r="Q47" s="53"/>
      <c r="R47" s="53">
        <v>1</v>
      </c>
      <c r="S47" s="53">
        <v>35</v>
      </c>
      <c r="T47" s="53">
        <v>36</v>
      </c>
      <c r="U47"/>
    </row>
    <row r="48" spans="1:21" x14ac:dyDescent="0.25">
      <c r="A48" s="16" t="s">
        <v>55</v>
      </c>
      <c r="B48" s="20"/>
      <c r="C48" s="20">
        <v>10</v>
      </c>
      <c r="D48" s="20">
        <v>1</v>
      </c>
      <c r="E48" s="20"/>
      <c r="F48" s="20"/>
      <c r="G48" s="20">
        <v>2</v>
      </c>
      <c r="H48" s="53">
        <v>13</v>
      </c>
      <c r="I48"/>
      <c r="M48" s="16" t="s">
        <v>60</v>
      </c>
      <c r="N48" s="53">
        <v>2</v>
      </c>
      <c r="O48" s="53"/>
      <c r="P48" s="53"/>
      <c r="Q48" s="53"/>
      <c r="R48" s="53">
        <v>1</v>
      </c>
      <c r="S48" s="53">
        <v>27</v>
      </c>
      <c r="T48" s="53">
        <v>30</v>
      </c>
      <c r="U48"/>
    </row>
    <row r="49" spans="1:21" x14ac:dyDescent="0.25">
      <c r="A49" s="16" t="s">
        <v>65</v>
      </c>
      <c r="B49" s="20"/>
      <c r="C49" s="20">
        <v>1</v>
      </c>
      <c r="D49" s="20"/>
      <c r="E49" s="20"/>
      <c r="F49" s="20"/>
      <c r="G49" s="20">
        <v>12</v>
      </c>
      <c r="H49" s="53">
        <v>13</v>
      </c>
      <c r="I49"/>
      <c r="M49" s="16" t="s">
        <v>50</v>
      </c>
      <c r="N49" s="53"/>
      <c r="O49" s="53"/>
      <c r="P49" s="53"/>
      <c r="Q49" s="53"/>
      <c r="R49" s="53"/>
      <c r="S49" s="53">
        <v>24</v>
      </c>
      <c r="T49" s="53">
        <v>24</v>
      </c>
      <c r="U49"/>
    </row>
    <row r="50" spans="1:21" x14ac:dyDescent="0.25">
      <c r="A50" s="16" t="s">
        <v>61</v>
      </c>
      <c r="B50" s="20"/>
      <c r="C50" s="20">
        <v>5</v>
      </c>
      <c r="D50" s="20"/>
      <c r="E50" s="20"/>
      <c r="F50" s="20"/>
      <c r="G50" s="20">
        <v>8</v>
      </c>
      <c r="H50" s="53">
        <v>13</v>
      </c>
      <c r="I50"/>
      <c r="M50" s="16" t="s">
        <v>74</v>
      </c>
      <c r="N50" s="53">
        <v>3</v>
      </c>
      <c r="O50" s="53"/>
      <c r="P50" s="53"/>
      <c r="Q50" s="53"/>
      <c r="R50" s="53"/>
      <c r="S50" s="53">
        <v>20</v>
      </c>
      <c r="T50" s="20">
        <v>23</v>
      </c>
      <c r="U50"/>
    </row>
    <row r="51" spans="1:21" x14ac:dyDescent="0.25">
      <c r="A51" s="16" t="s">
        <v>57</v>
      </c>
      <c r="B51" s="20"/>
      <c r="C51" s="20"/>
      <c r="D51" s="20">
        <v>10</v>
      </c>
      <c r="E51" s="20"/>
      <c r="F51" s="20"/>
      <c r="G51" s="20">
        <v>2</v>
      </c>
      <c r="H51" s="53">
        <v>12</v>
      </c>
      <c r="I51"/>
      <c r="M51" s="16" t="s">
        <v>66</v>
      </c>
      <c r="N51" s="53"/>
      <c r="O51" s="53"/>
      <c r="P51" s="53">
        <v>22</v>
      </c>
      <c r="Q51" s="53"/>
      <c r="R51" s="53"/>
      <c r="S51" s="53"/>
      <c r="T51" s="53">
        <v>22</v>
      </c>
      <c r="U51"/>
    </row>
    <row r="52" spans="1:21" x14ac:dyDescent="0.25">
      <c r="A52" s="16" t="s">
        <v>67</v>
      </c>
      <c r="B52" s="20">
        <v>2</v>
      </c>
      <c r="C52" s="20"/>
      <c r="D52" s="20"/>
      <c r="E52" s="20"/>
      <c r="F52" s="20">
        <v>6</v>
      </c>
      <c r="G52" s="20"/>
      <c r="H52" s="53">
        <v>8</v>
      </c>
      <c r="I52"/>
      <c r="M52" s="16" t="s">
        <v>39</v>
      </c>
      <c r="N52" s="53"/>
      <c r="O52" s="53">
        <v>22</v>
      </c>
      <c r="P52" s="53"/>
      <c r="Q52" s="53"/>
      <c r="R52" s="53"/>
      <c r="S52" s="53"/>
      <c r="T52" s="53">
        <v>22</v>
      </c>
      <c r="U52"/>
    </row>
    <row r="53" spans="1:21" x14ac:dyDescent="0.25">
      <c r="A53" s="16" t="s">
        <v>63</v>
      </c>
      <c r="B53" s="20">
        <v>3</v>
      </c>
      <c r="C53" s="20">
        <v>2</v>
      </c>
      <c r="D53" s="20"/>
      <c r="E53" s="20"/>
      <c r="F53" s="20">
        <v>1</v>
      </c>
      <c r="G53" s="20"/>
      <c r="H53" s="53">
        <v>6</v>
      </c>
      <c r="I53"/>
      <c r="M53" s="16" t="s">
        <v>64</v>
      </c>
      <c r="N53" s="53"/>
      <c r="O53" s="53"/>
      <c r="P53" s="53"/>
      <c r="Q53" s="53">
        <v>17</v>
      </c>
      <c r="R53" s="53"/>
      <c r="S53" s="53"/>
      <c r="T53" s="53">
        <v>17</v>
      </c>
      <c r="U53"/>
    </row>
    <row r="54" spans="1:21" x14ac:dyDescent="0.25">
      <c r="A54" s="16" t="s">
        <v>69</v>
      </c>
      <c r="B54" s="20"/>
      <c r="C54" s="20"/>
      <c r="D54" s="20"/>
      <c r="E54" s="20">
        <v>1</v>
      </c>
      <c r="F54" s="20"/>
      <c r="G54" s="20">
        <v>3</v>
      </c>
      <c r="H54" s="53">
        <v>4</v>
      </c>
      <c r="I54"/>
      <c r="M54" s="16" t="s">
        <v>68</v>
      </c>
      <c r="N54" s="53"/>
      <c r="O54" s="53"/>
      <c r="P54" s="53"/>
      <c r="Q54" s="53">
        <v>11</v>
      </c>
      <c r="R54" s="53">
        <v>5</v>
      </c>
      <c r="S54" s="53"/>
      <c r="T54" s="53">
        <v>16</v>
      </c>
      <c r="U54"/>
    </row>
    <row r="55" spans="1:21" x14ac:dyDescent="0.25">
      <c r="A55" s="16" t="s">
        <v>71</v>
      </c>
      <c r="B55" s="20"/>
      <c r="C55" s="20"/>
      <c r="D55" s="20"/>
      <c r="E55" s="20"/>
      <c r="F55" s="20"/>
      <c r="G55" s="20">
        <v>4</v>
      </c>
      <c r="H55" s="53">
        <v>4</v>
      </c>
      <c r="I55"/>
      <c r="M55" s="16" t="s">
        <v>70</v>
      </c>
      <c r="N55" s="53"/>
      <c r="O55" s="53"/>
      <c r="P55" s="53"/>
      <c r="Q55" s="53">
        <v>16</v>
      </c>
      <c r="R55" s="53"/>
      <c r="S55" s="53"/>
      <c r="T55" s="53">
        <v>16</v>
      </c>
      <c r="U55"/>
    </row>
    <row r="56" spans="1:21" x14ac:dyDescent="0.25">
      <c r="A56" s="16" t="s">
        <v>75</v>
      </c>
      <c r="B56" s="20">
        <v>2</v>
      </c>
      <c r="C56" s="20"/>
      <c r="D56" s="20"/>
      <c r="E56" s="20"/>
      <c r="F56" s="20"/>
      <c r="G56" s="20"/>
      <c r="H56" s="53">
        <v>2</v>
      </c>
      <c r="I56"/>
      <c r="M56" s="16" t="s">
        <v>62</v>
      </c>
      <c r="N56" s="53"/>
      <c r="O56" s="53"/>
      <c r="P56" s="53"/>
      <c r="Q56" s="53">
        <v>14</v>
      </c>
      <c r="R56" s="53"/>
      <c r="S56" s="53"/>
      <c r="T56" s="53">
        <v>14</v>
      </c>
      <c r="U56"/>
    </row>
    <row r="57" spans="1:21" x14ac:dyDescent="0.25">
      <c r="A57" s="16" t="s">
        <v>73</v>
      </c>
      <c r="B57" s="20"/>
      <c r="C57" s="20"/>
      <c r="D57" s="20"/>
      <c r="E57" s="20"/>
      <c r="F57" s="20"/>
      <c r="G57" s="20">
        <v>1</v>
      </c>
      <c r="H57" s="53">
        <v>1</v>
      </c>
      <c r="I57"/>
      <c r="M57" s="16" t="s">
        <v>76</v>
      </c>
      <c r="N57" s="53"/>
      <c r="O57" s="53"/>
      <c r="P57" s="53"/>
      <c r="Q57" s="53"/>
      <c r="R57" s="53">
        <v>1</v>
      </c>
      <c r="S57" s="53">
        <v>12</v>
      </c>
      <c r="T57" s="20">
        <v>13</v>
      </c>
      <c r="U57"/>
    </row>
    <row r="58" spans="1:21" x14ac:dyDescent="0.25">
      <c r="A58" s="15" t="s">
        <v>2071</v>
      </c>
      <c r="B58" s="20"/>
      <c r="C58" s="20"/>
      <c r="D58" s="20"/>
      <c r="E58" s="20"/>
      <c r="F58" s="20"/>
      <c r="G58" s="20">
        <v>1</v>
      </c>
      <c r="H58" s="53">
        <v>1</v>
      </c>
      <c r="I58"/>
      <c r="M58" s="16" t="s">
        <v>83</v>
      </c>
      <c r="N58" s="53">
        <v>12</v>
      </c>
      <c r="O58" s="53"/>
      <c r="P58" s="53"/>
      <c r="Q58" s="53"/>
      <c r="R58" s="53"/>
      <c r="S58" s="53"/>
      <c r="T58" s="20">
        <v>12</v>
      </c>
      <c r="U58"/>
    </row>
    <row r="59" spans="1:21" x14ac:dyDescent="0.25">
      <c r="A59" s="16" t="s">
        <v>77</v>
      </c>
      <c r="B59" s="20"/>
      <c r="C59" s="20"/>
      <c r="D59" s="20"/>
      <c r="E59" s="20"/>
      <c r="F59" s="20"/>
      <c r="G59" s="20">
        <v>1</v>
      </c>
      <c r="H59" s="53">
        <v>1</v>
      </c>
      <c r="I59"/>
      <c r="M59" s="16" t="s">
        <v>79</v>
      </c>
      <c r="N59" s="53"/>
      <c r="O59" s="53"/>
      <c r="P59" s="53"/>
      <c r="Q59" s="53">
        <v>10</v>
      </c>
      <c r="R59" s="53"/>
      <c r="S59" s="53"/>
      <c r="T59" s="53">
        <v>10</v>
      </c>
      <c r="U59"/>
    </row>
    <row r="60" spans="1:21" x14ac:dyDescent="0.25">
      <c r="A60" s="16" t="s">
        <v>10</v>
      </c>
      <c r="B60" s="20">
        <v>116</v>
      </c>
      <c r="C60" s="20">
        <v>78</v>
      </c>
      <c r="D60" s="20">
        <v>22</v>
      </c>
      <c r="E60" s="20">
        <v>88</v>
      </c>
      <c r="F60" s="20">
        <v>12</v>
      </c>
      <c r="G60" s="20">
        <v>277</v>
      </c>
      <c r="H60" s="20">
        <v>593</v>
      </c>
      <c r="I60"/>
      <c r="M60" s="16" t="s">
        <v>82</v>
      </c>
      <c r="N60" s="53"/>
      <c r="O60" s="53"/>
      <c r="P60" s="53"/>
      <c r="Q60" s="53"/>
      <c r="R60" s="53">
        <v>1</v>
      </c>
      <c r="S60" s="53">
        <v>8</v>
      </c>
      <c r="T60" s="53">
        <v>9</v>
      </c>
      <c r="U60"/>
    </row>
    <row r="61" spans="1:21" x14ac:dyDescent="0.25">
      <c r="A61"/>
      <c r="B61"/>
      <c r="C61"/>
      <c r="D61"/>
      <c r="E61"/>
      <c r="F61"/>
      <c r="G61"/>
      <c r="H61"/>
      <c r="I61"/>
      <c r="M61" s="16" t="s">
        <v>72</v>
      </c>
      <c r="N61" s="53"/>
      <c r="O61" s="53"/>
      <c r="P61" s="53"/>
      <c r="Q61" s="53">
        <v>9</v>
      </c>
      <c r="R61" s="53"/>
      <c r="S61" s="53"/>
      <c r="T61" s="53">
        <v>9</v>
      </c>
      <c r="U61"/>
    </row>
    <row r="62" spans="1:21" x14ac:dyDescent="0.25">
      <c r="M62" s="16" t="s">
        <v>81</v>
      </c>
      <c r="N62" s="53"/>
      <c r="O62" s="53"/>
      <c r="P62" s="53"/>
      <c r="Q62" s="53">
        <v>8</v>
      </c>
      <c r="R62" s="53"/>
      <c r="S62" s="53"/>
      <c r="T62" s="53">
        <v>8</v>
      </c>
      <c r="U62"/>
    </row>
    <row r="63" spans="1:21" x14ac:dyDescent="0.25">
      <c r="J63" s="20"/>
      <c r="K63" s="20"/>
      <c r="L63" s="20"/>
      <c r="M63" s="16" t="s">
        <v>92</v>
      </c>
      <c r="N63" s="53">
        <v>8</v>
      </c>
      <c r="O63" s="53"/>
      <c r="P63" s="53"/>
      <c r="Q63" s="53"/>
      <c r="R63" s="53"/>
      <c r="S63" s="53"/>
      <c r="T63" s="53">
        <v>8</v>
      </c>
      <c r="U63"/>
    </row>
    <row r="64" spans="1:21" x14ac:dyDescent="0.25">
      <c r="M64" s="16" t="s">
        <v>91</v>
      </c>
      <c r="N64" s="53"/>
      <c r="O64" s="53"/>
      <c r="P64" s="53"/>
      <c r="Q64" s="53">
        <v>5</v>
      </c>
      <c r="R64" s="53"/>
      <c r="S64" s="53">
        <v>2</v>
      </c>
      <c r="T64" s="53">
        <v>7</v>
      </c>
      <c r="U64"/>
    </row>
    <row r="65" spans="1:21" x14ac:dyDescent="0.25">
      <c r="M65" s="16" t="s">
        <v>88</v>
      </c>
      <c r="N65" s="53">
        <v>7</v>
      </c>
      <c r="O65" s="53"/>
      <c r="P65" s="53"/>
      <c r="Q65" s="53"/>
      <c r="R65" s="53"/>
      <c r="S65" s="53"/>
      <c r="T65" s="53">
        <v>7</v>
      </c>
      <c r="U65"/>
    </row>
    <row r="66" spans="1:21" x14ac:dyDescent="0.25">
      <c r="K66" s="27"/>
      <c r="L66" s="27"/>
      <c r="M66" s="16" t="s">
        <v>105</v>
      </c>
      <c r="N66" s="53">
        <v>7</v>
      </c>
      <c r="O66" s="53"/>
      <c r="P66" s="53"/>
      <c r="Q66" s="53"/>
      <c r="R66" s="53"/>
      <c r="S66" s="53"/>
      <c r="T66" s="53">
        <v>7</v>
      </c>
      <c r="U66"/>
    </row>
    <row r="67" spans="1:21" x14ac:dyDescent="0.25">
      <c r="A67" s="49" t="s">
        <v>86</v>
      </c>
      <c r="B67" s="48"/>
      <c r="C67" s="48"/>
      <c r="D67" s="48"/>
      <c r="E67" s="48"/>
      <c r="F67" s="48"/>
      <c r="G67" s="48"/>
      <c r="H67" s="48"/>
      <c r="I67" s="48"/>
      <c r="K67" s="20"/>
      <c r="L67" s="20"/>
      <c r="M67" s="16" t="s">
        <v>87</v>
      </c>
      <c r="N67" s="53">
        <v>7</v>
      </c>
      <c r="O67" s="53"/>
      <c r="P67" s="53"/>
      <c r="Q67" s="53"/>
      <c r="R67" s="53"/>
      <c r="S67" s="53"/>
      <c r="T67" s="53">
        <v>7</v>
      </c>
      <c r="U67"/>
    </row>
    <row r="68" spans="1:21" x14ac:dyDescent="0.25">
      <c r="A68" s="19" t="s">
        <v>4</v>
      </c>
      <c r="B68" s="21" t="s">
        <v>5</v>
      </c>
      <c r="J68"/>
      <c r="M68" s="16" t="s">
        <v>93</v>
      </c>
      <c r="N68" s="53">
        <v>6</v>
      </c>
      <c r="O68" s="53"/>
      <c r="P68" s="53"/>
      <c r="Q68" s="53"/>
      <c r="R68" s="53"/>
      <c r="S68" s="53"/>
      <c r="T68" s="53">
        <v>6</v>
      </c>
      <c r="U68"/>
    </row>
    <row r="69" spans="1:21" x14ac:dyDescent="0.25">
      <c r="A69" s="19" t="s">
        <v>11</v>
      </c>
      <c r="B69" s="15" t="s">
        <v>24</v>
      </c>
      <c r="C69" s="15" t="s">
        <v>37</v>
      </c>
      <c r="D69" s="15" t="s">
        <v>34</v>
      </c>
      <c r="E69" s="15" t="s">
        <v>89</v>
      </c>
      <c r="F69" s="15" t="s">
        <v>31</v>
      </c>
      <c r="G69" s="15" t="s">
        <v>18</v>
      </c>
      <c r="H69" s="15" t="s">
        <v>90</v>
      </c>
      <c r="I69" s="38" t="s">
        <v>10</v>
      </c>
      <c r="J69"/>
      <c r="L69" s="27"/>
      <c r="M69" s="16" t="s">
        <v>80</v>
      </c>
      <c r="N69" s="53"/>
      <c r="O69" s="53"/>
      <c r="P69" s="53"/>
      <c r="Q69" s="53">
        <v>6</v>
      </c>
      <c r="R69" s="53"/>
      <c r="S69" s="53"/>
      <c r="T69" s="53">
        <v>6</v>
      </c>
      <c r="U69"/>
    </row>
    <row r="70" spans="1:21" x14ac:dyDescent="0.25">
      <c r="A70" s="16" t="s">
        <v>17</v>
      </c>
      <c r="B70" s="36">
        <v>119</v>
      </c>
      <c r="C70" s="36">
        <v>16</v>
      </c>
      <c r="D70" s="36">
        <v>20</v>
      </c>
      <c r="E70" s="36">
        <v>16</v>
      </c>
      <c r="F70" s="36">
        <v>83</v>
      </c>
      <c r="G70" s="36">
        <v>154</v>
      </c>
      <c r="H70" s="36">
        <v>8</v>
      </c>
      <c r="I70" s="36">
        <v>416</v>
      </c>
      <c r="J70"/>
      <c r="L70" s="20"/>
      <c r="M70" s="16" t="s">
        <v>102</v>
      </c>
      <c r="N70" s="53"/>
      <c r="O70" s="53"/>
      <c r="P70" s="53"/>
      <c r="Q70" s="53"/>
      <c r="R70" s="53"/>
      <c r="S70" s="53">
        <v>5</v>
      </c>
      <c r="T70" s="53">
        <v>5</v>
      </c>
      <c r="U70"/>
    </row>
    <row r="71" spans="1:21" x14ac:dyDescent="0.25">
      <c r="A71" s="16" t="s">
        <v>19</v>
      </c>
      <c r="B71" s="36">
        <v>1</v>
      </c>
      <c r="C71" s="36"/>
      <c r="D71" s="36"/>
      <c r="E71" s="36"/>
      <c r="F71" s="36">
        <v>5</v>
      </c>
      <c r="G71" s="36">
        <v>35</v>
      </c>
      <c r="H71" s="36">
        <v>2</v>
      </c>
      <c r="I71" s="36">
        <v>43</v>
      </c>
      <c r="J71"/>
      <c r="L71" s="20"/>
      <c r="M71" s="16" t="s">
        <v>97</v>
      </c>
      <c r="N71" s="53"/>
      <c r="O71" s="53"/>
      <c r="P71" s="53"/>
      <c r="Q71" s="53">
        <v>5</v>
      </c>
      <c r="R71" s="53"/>
      <c r="S71" s="53"/>
      <c r="T71" s="53">
        <v>5</v>
      </c>
      <c r="U71"/>
    </row>
    <row r="72" spans="1:21" x14ac:dyDescent="0.25">
      <c r="A72" s="16" t="s">
        <v>21</v>
      </c>
      <c r="B72" s="36">
        <v>1</v>
      </c>
      <c r="C72" s="36"/>
      <c r="D72" s="36"/>
      <c r="E72" s="36">
        <v>2</v>
      </c>
      <c r="F72" s="36">
        <v>17</v>
      </c>
      <c r="G72" s="36">
        <v>39</v>
      </c>
      <c r="H72" s="36">
        <v>1</v>
      </c>
      <c r="I72" s="36">
        <v>60</v>
      </c>
      <c r="J72"/>
      <c r="L72" s="20"/>
      <c r="M72" s="16" t="s">
        <v>107</v>
      </c>
      <c r="N72" s="53">
        <v>4</v>
      </c>
      <c r="O72" s="53"/>
      <c r="P72" s="53"/>
      <c r="Q72" s="53"/>
      <c r="R72" s="53"/>
      <c r="S72" s="53"/>
      <c r="T72" s="53">
        <v>4</v>
      </c>
      <c r="U72"/>
    </row>
    <row r="73" spans="1:21" x14ac:dyDescent="0.25">
      <c r="A73" s="16" t="s">
        <v>23</v>
      </c>
      <c r="B73" s="36">
        <v>1</v>
      </c>
      <c r="C73" s="36"/>
      <c r="D73" s="36"/>
      <c r="E73" s="36">
        <v>4</v>
      </c>
      <c r="F73" s="36">
        <v>24</v>
      </c>
      <c r="G73" s="36">
        <v>36</v>
      </c>
      <c r="H73" s="36"/>
      <c r="I73" s="36">
        <v>65</v>
      </c>
      <c r="J73"/>
      <c r="L73" s="20"/>
      <c r="M73" s="16" t="s">
        <v>94</v>
      </c>
      <c r="N73" s="53">
        <v>4</v>
      </c>
      <c r="O73" s="53"/>
      <c r="P73" s="53"/>
      <c r="Q73" s="53"/>
      <c r="R73" s="53"/>
      <c r="S73" s="53"/>
      <c r="T73" s="53">
        <v>4</v>
      </c>
      <c r="U73"/>
    </row>
    <row r="74" spans="1:21" x14ac:dyDescent="0.25">
      <c r="A74" s="32" t="s">
        <v>25</v>
      </c>
      <c r="B74" s="39"/>
      <c r="C74" s="39"/>
      <c r="D74" s="39"/>
      <c r="E74" s="39"/>
      <c r="F74" s="39">
        <v>4</v>
      </c>
      <c r="G74" s="39">
        <v>5</v>
      </c>
      <c r="H74" s="39"/>
      <c r="I74" s="39">
        <v>9</v>
      </c>
      <c r="J74"/>
      <c r="L74" s="35"/>
      <c r="M74" s="16" t="s">
        <v>84</v>
      </c>
      <c r="N74" s="53"/>
      <c r="O74" s="53"/>
      <c r="P74" s="53"/>
      <c r="Q74" s="53"/>
      <c r="R74" s="53"/>
      <c r="S74" s="53">
        <v>4</v>
      </c>
      <c r="T74" s="53">
        <v>4</v>
      </c>
      <c r="U74"/>
    </row>
    <row r="75" spans="1:21" x14ac:dyDescent="0.25">
      <c r="A75" s="16" t="s">
        <v>10</v>
      </c>
      <c r="B75" s="36">
        <v>122</v>
      </c>
      <c r="C75" s="36">
        <v>16</v>
      </c>
      <c r="D75" s="36">
        <v>20</v>
      </c>
      <c r="E75" s="36">
        <v>22</v>
      </c>
      <c r="F75" s="36">
        <v>133</v>
      </c>
      <c r="G75" s="36">
        <v>269</v>
      </c>
      <c r="H75" s="36">
        <v>11</v>
      </c>
      <c r="I75" s="36">
        <v>593</v>
      </c>
      <c r="J75"/>
      <c r="L75" s="35"/>
      <c r="M75" s="16" t="s">
        <v>98</v>
      </c>
      <c r="N75" s="53">
        <v>4</v>
      </c>
      <c r="O75" s="53"/>
      <c r="P75" s="53"/>
      <c r="Q75" s="53"/>
      <c r="R75" s="53"/>
      <c r="S75" s="53"/>
      <c r="T75" s="20">
        <v>4</v>
      </c>
      <c r="U75"/>
    </row>
    <row r="76" spans="1:21" x14ac:dyDescent="0.25">
      <c r="A76"/>
      <c r="B76"/>
      <c r="C76"/>
      <c r="D76"/>
      <c r="E76"/>
      <c r="F76"/>
      <c r="G76"/>
      <c r="H76"/>
      <c r="I76"/>
      <c r="J76"/>
      <c r="L76" s="20"/>
      <c r="M76" s="16" t="s">
        <v>131</v>
      </c>
      <c r="N76" s="53"/>
      <c r="O76" s="53"/>
      <c r="P76" s="53"/>
      <c r="Q76" s="53">
        <v>3</v>
      </c>
      <c r="R76" s="53"/>
      <c r="S76" s="53"/>
      <c r="T76" s="53">
        <v>3</v>
      </c>
      <c r="U76"/>
    </row>
    <row r="77" spans="1:21" x14ac:dyDescent="0.25">
      <c r="A77"/>
      <c r="B77"/>
      <c r="C77"/>
      <c r="D77"/>
      <c r="E77"/>
      <c r="F77"/>
      <c r="G77"/>
      <c r="H77"/>
      <c r="I77"/>
      <c r="J77"/>
      <c r="M77" s="16" t="s">
        <v>112</v>
      </c>
      <c r="N77" s="53"/>
      <c r="O77" s="53"/>
      <c r="P77" s="53"/>
      <c r="Q77" s="53"/>
      <c r="R77" s="53"/>
      <c r="S77" s="53">
        <v>3</v>
      </c>
      <c r="T77" s="20">
        <v>3</v>
      </c>
      <c r="U77"/>
    </row>
    <row r="78" spans="1:21" x14ac:dyDescent="0.25">
      <c r="B78" s="36"/>
      <c r="C78" s="36"/>
      <c r="D78" s="36"/>
      <c r="E78" s="36"/>
      <c r="F78" s="36"/>
      <c r="G78" s="36"/>
      <c r="H78" s="36"/>
      <c r="I78" s="36"/>
      <c r="J78" s="36"/>
      <c r="M78" s="16" t="s">
        <v>106</v>
      </c>
      <c r="N78" s="53">
        <v>3</v>
      </c>
      <c r="O78" s="53"/>
      <c r="P78" s="53"/>
      <c r="Q78" s="53"/>
      <c r="R78" s="53"/>
      <c r="S78" s="53"/>
      <c r="T78" s="53">
        <v>3</v>
      </c>
      <c r="U78"/>
    </row>
    <row r="79" spans="1:21" x14ac:dyDescent="0.25">
      <c r="A79" s="31" t="s">
        <v>100</v>
      </c>
      <c r="M79" s="16" t="s">
        <v>99</v>
      </c>
      <c r="N79" s="53"/>
      <c r="O79" s="53"/>
      <c r="P79" s="53"/>
      <c r="Q79" s="53">
        <v>2</v>
      </c>
      <c r="R79" s="53"/>
      <c r="S79" s="53">
        <v>1</v>
      </c>
      <c r="T79" s="53">
        <v>3</v>
      </c>
      <c r="U79"/>
    </row>
    <row r="80" spans="1:21" x14ac:dyDescent="0.25">
      <c r="A80" s="19" t="s">
        <v>4</v>
      </c>
      <c r="B80" s="21" t="s">
        <v>5</v>
      </c>
      <c r="J80"/>
      <c r="L80" s="20"/>
      <c r="M80" s="16" t="s">
        <v>101</v>
      </c>
      <c r="N80" s="53"/>
      <c r="O80" s="53"/>
      <c r="P80" s="53"/>
      <c r="Q80" s="53">
        <v>2</v>
      </c>
      <c r="R80" s="53">
        <v>1</v>
      </c>
      <c r="S80" s="53"/>
      <c r="T80" s="53">
        <v>3</v>
      </c>
      <c r="U80"/>
    </row>
    <row r="81" spans="1:21" x14ac:dyDescent="0.25">
      <c r="A81" s="19" t="s">
        <v>11</v>
      </c>
      <c r="B81" s="15" t="s">
        <v>24</v>
      </c>
      <c r="C81" s="15" t="s">
        <v>37</v>
      </c>
      <c r="D81" s="15" t="s">
        <v>34</v>
      </c>
      <c r="E81" s="15" t="s">
        <v>89</v>
      </c>
      <c r="F81" s="15" t="s">
        <v>31</v>
      </c>
      <c r="G81" s="15" t="s">
        <v>18</v>
      </c>
      <c r="H81" s="15" t="s">
        <v>90</v>
      </c>
      <c r="I81" s="20" t="s">
        <v>10</v>
      </c>
      <c r="J81"/>
      <c r="L81" s="20"/>
      <c r="M81" s="16" t="s">
        <v>109</v>
      </c>
      <c r="N81" s="53"/>
      <c r="O81" s="53"/>
      <c r="P81" s="53"/>
      <c r="Q81" s="53">
        <v>3</v>
      </c>
      <c r="R81" s="53"/>
      <c r="S81" s="53"/>
      <c r="T81" s="20">
        <v>3</v>
      </c>
      <c r="U81"/>
    </row>
    <row r="82" spans="1:21" x14ac:dyDescent="0.25">
      <c r="A82" s="16" t="s">
        <v>9</v>
      </c>
      <c r="B82" s="20"/>
      <c r="C82" s="20"/>
      <c r="D82" s="20">
        <v>13</v>
      </c>
      <c r="E82" s="20"/>
      <c r="F82" s="20">
        <v>131</v>
      </c>
      <c r="G82" s="20">
        <v>162</v>
      </c>
      <c r="H82" s="20">
        <v>5</v>
      </c>
      <c r="I82" s="20">
        <v>311</v>
      </c>
      <c r="J82"/>
      <c r="L82" s="20"/>
      <c r="M82" s="16" t="s">
        <v>103</v>
      </c>
      <c r="N82" s="53"/>
      <c r="O82" s="53"/>
      <c r="P82" s="53"/>
      <c r="Q82" s="53"/>
      <c r="R82" s="53"/>
      <c r="S82" s="53">
        <v>2</v>
      </c>
      <c r="T82" s="53">
        <v>2</v>
      </c>
      <c r="U82"/>
    </row>
    <row r="83" spans="1:21" x14ac:dyDescent="0.25">
      <c r="A83" s="16" t="s">
        <v>7</v>
      </c>
      <c r="B83" s="20">
        <v>122</v>
      </c>
      <c r="C83" s="20">
        <v>16</v>
      </c>
      <c r="D83" s="20">
        <v>2</v>
      </c>
      <c r="E83" s="20">
        <v>22</v>
      </c>
      <c r="F83" s="20"/>
      <c r="G83" s="20">
        <v>16</v>
      </c>
      <c r="H83" s="20">
        <v>4</v>
      </c>
      <c r="I83" s="20">
        <v>182</v>
      </c>
      <c r="J83"/>
      <c r="L83" s="20"/>
      <c r="M83" s="16" t="s">
        <v>111</v>
      </c>
      <c r="N83" s="53">
        <v>2</v>
      </c>
      <c r="O83" s="53"/>
      <c r="P83" s="53"/>
      <c r="Q83" s="53"/>
      <c r="R83" s="53"/>
      <c r="S83" s="53"/>
      <c r="T83" s="53">
        <v>2</v>
      </c>
      <c r="U83"/>
    </row>
    <row r="84" spans="1:21" x14ac:dyDescent="0.25">
      <c r="A84" s="16" t="s">
        <v>8</v>
      </c>
      <c r="B84" s="20"/>
      <c r="C84" s="20"/>
      <c r="D84" s="20">
        <v>5</v>
      </c>
      <c r="E84" s="20"/>
      <c r="F84" s="20">
        <v>2</v>
      </c>
      <c r="G84" s="20">
        <v>64</v>
      </c>
      <c r="H84" s="20">
        <v>2</v>
      </c>
      <c r="I84" s="20">
        <v>73</v>
      </c>
      <c r="J84"/>
      <c r="L84" s="20"/>
      <c r="M84" s="16" t="s">
        <v>95</v>
      </c>
      <c r="N84" s="53">
        <v>2</v>
      </c>
      <c r="O84" s="53"/>
      <c r="P84" s="53"/>
      <c r="Q84" s="53"/>
      <c r="R84" s="53"/>
      <c r="S84" s="53"/>
      <c r="T84" s="53">
        <v>2</v>
      </c>
      <c r="U84"/>
    </row>
    <row r="85" spans="1:21" x14ac:dyDescent="0.25">
      <c r="A85" s="16" t="s">
        <v>3</v>
      </c>
      <c r="B85" s="20"/>
      <c r="C85" s="20"/>
      <c r="D85" s="20"/>
      <c r="E85" s="20"/>
      <c r="F85" s="20"/>
      <c r="G85" s="20">
        <v>27</v>
      </c>
      <c r="H85" s="20"/>
      <c r="I85" s="20">
        <v>27</v>
      </c>
      <c r="J85"/>
      <c r="L85" s="20"/>
      <c r="M85" s="16" t="s">
        <v>1534</v>
      </c>
      <c r="N85" s="53">
        <v>2</v>
      </c>
      <c r="O85" s="53"/>
      <c r="P85" s="53"/>
      <c r="Q85" s="53"/>
      <c r="R85" s="53"/>
      <c r="S85" s="53"/>
      <c r="T85" s="53">
        <v>2</v>
      </c>
      <c r="U85"/>
    </row>
    <row r="86" spans="1:21" x14ac:dyDescent="0.25">
      <c r="A86" s="16" t="s">
        <v>10</v>
      </c>
      <c r="B86" s="20">
        <v>122</v>
      </c>
      <c r="C86" s="20">
        <v>16</v>
      </c>
      <c r="D86" s="20">
        <v>20</v>
      </c>
      <c r="E86" s="20">
        <v>22</v>
      </c>
      <c r="F86" s="20">
        <v>133</v>
      </c>
      <c r="G86" s="20">
        <v>269</v>
      </c>
      <c r="H86" s="20">
        <v>11</v>
      </c>
      <c r="I86" s="20">
        <v>593</v>
      </c>
      <c r="J86"/>
      <c r="M86" s="16" t="s">
        <v>114</v>
      </c>
      <c r="N86" s="53"/>
      <c r="O86" s="53"/>
      <c r="P86" s="53"/>
      <c r="Q86" s="53"/>
      <c r="R86" s="53"/>
      <c r="S86" s="53">
        <v>2</v>
      </c>
      <c r="T86" s="53">
        <v>2</v>
      </c>
      <c r="U86"/>
    </row>
    <row r="87" spans="1:21" x14ac:dyDescent="0.25">
      <c r="B87" s="20"/>
      <c r="C87" s="20"/>
      <c r="D87" s="20"/>
      <c r="E87" s="20"/>
      <c r="F87" s="20"/>
      <c r="G87" s="20"/>
      <c r="H87" s="20"/>
      <c r="I87" s="20"/>
      <c r="M87" s="16" t="s">
        <v>96</v>
      </c>
      <c r="N87" s="53"/>
      <c r="O87" s="53"/>
      <c r="P87" s="53"/>
      <c r="Q87" s="53"/>
      <c r="R87" s="53"/>
      <c r="S87" s="53">
        <v>2</v>
      </c>
      <c r="T87" s="53">
        <v>2</v>
      </c>
      <c r="U87"/>
    </row>
    <row r="88" spans="1:21" x14ac:dyDescent="0.25">
      <c r="M88" s="16" t="s">
        <v>123</v>
      </c>
      <c r="N88" s="53"/>
      <c r="O88" s="53"/>
      <c r="P88" s="53"/>
      <c r="Q88" s="53"/>
      <c r="R88" s="53"/>
      <c r="S88" s="53">
        <v>2</v>
      </c>
      <c r="T88" s="53">
        <v>2</v>
      </c>
      <c r="U88"/>
    </row>
    <row r="89" spans="1:21" x14ac:dyDescent="0.25">
      <c r="A89" s="31" t="s">
        <v>108</v>
      </c>
      <c r="M89" s="16" t="s">
        <v>1735</v>
      </c>
      <c r="N89" s="53">
        <v>2</v>
      </c>
      <c r="O89" s="53"/>
      <c r="P89" s="53"/>
      <c r="Q89" s="53"/>
      <c r="R89" s="53"/>
      <c r="S89" s="53"/>
      <c r="T89" s="53">
        <v>2</v>
      </c>
      <c r="U89"/>
    </row>
    <row r="90" spans="1:21" x14ac:dyDescent="0.25">
      <c r="A90" s="19" t="s">
        <v>110</v>
      </c>
      <c r="B90" s="21" t="s">
        <v>5</v>
      </c>
      <c r="I90"/>
      <c r="M90" s="16" t="s">
        <v>135</v>
      </c>
      <c r="N90" s="53"/>
      <c r="O90" s="53"/>
      <c r="P90" s="53"/>
      <c r="Q90" s="53">
        <v>1</v>
      </c>
      <c r="R90" s="53"/>
      <c r="S90" s="53"/>
      <c r="T90" s="53">
        <v>1</v>
      </c>
      <c r="U90"/>
    </row>
    <row r="91" spans="1:21" x14ac:dyDescent="0.25">
      <c r="A91" s="19" t="s">
        <v>11</v>
      </c>
      <c r="B91" s="20" t="s">
        <v>12</v>
      </c>
      <c r="C91" s="20" t="s">
        <v>13</v>
      </c>
      <c r="D91" s="20" t="s">
        <v>39</v>
      </c>
      <c r="E91" s="20" t="s">
        <v>14</v>
      </c>
      <c r="F91" s="20" t="s">
        <v>15</v>
      </c>
      <c r="G91" s="20" t="s">
        <v>16</v>
      </c>
      <c r="H91" s="20" t="s">
        <v>10</v>
      </c>
      <c r="I91"/>
      <c r="M91" s="54" t="s">
        <v>133</v>
      </c>
      <c r="N91" s="53"/>
      <c r="O91" s="53"/>
      <c r="P91" s="53"/>
      <c r="Q91" s="53">
        <v>1</v>
      </c>
      <c r="R91" s="53"/>
      <c r="S91" s="53"/>
      <c r="T91" s="53">
        <v>1</v>
      </c>
      <c r="U91"/>
    </row>
    <row r="92" spans="1:21" x14ac:dyDescent="0.25">
      <c r="A92" s="16" t="s">
        <v>116</v>
      </c>
      <c r="B92" s="20"/>
      <c r="C92" s="20"/>
      <c r="D92" s="20"/>
      <c r="E92" s="20"/>
      <c r="F92" s="20">
        <v>1</v>
      </c>
      <c r="G92" s="20">
        <v>72</v>
      </c>
      <c r="H92" s="20">
        <v>73</v>
      </c>
      <c r="I92"/>
      <c r="M92" s="16" t="s">
        <v>126</v>
      </c>
      <c r="N92" s="53">
        <v>1</v>
      </c>
      <c r="O92" s="53"/>
      <c r="P92" s="53"/>
      <c r="Q92" s="53"/>
      <c r="R92" s="53"/>
      <c r="S92" s="53"/>
      <c r="T92" s="53">
        <v>1</v>
      </c>
      <c r="U92"/>
    </row>
    <row r="93" spans="1:21" x14ac:dyDescent="0.25">
      <c r="A93" s="16" t="s">
        <v>115</v>
      </c>
      <c r="B93" s="20"/>
      <c r="C93" s="20"/>
      <c r="D93" s="20"/>
      <c r="E93" s="20">
        <v>65</v>
      </c>
      <c r="F93" s="20"/>
      <c r="G93" s="20"/>
      <c r="H93" s="20">
        <v>65</v>
      </c>
      <c r="I93"/>
      <c r="M93" s="16" t="s">
        <v>78</v>
      </c>
      <c r="N93" s="53"/>
      <c r="O93" s="53"/>
      <c r="P93" s="53"/>
      <c r="Q93" s="53">
        <v>1</v>
      </c>
      <c r="R93" s="53"/>
      <c r="S93" s="53"/>
      <c r="T93" s="53">
        <v>1</v>
      </c>
      <c r="U93"/>
    </row>
    <row r="94" spans="1:21" x14ac:dyDescent="0.25">
      <c r="A94" s="16" t="s">
        <v>118</v>
      </c>
      <c r="B94" s="20"/>
      <c r="C94" s="20"/>
      <c r="D94" s="20"/>
      <c r="E94" s="20"/>
      <c r="F94" s="20"/>
      <c r="G94" s="20">
        <v>55</v>
      </c>
      <c r="H94" s="20">
        <v>55</v>
      </c>
      <c r="I94"/>
      <c r="M94" s="15" t="s">
        <v>1895</v>
      </c>
      <c r="N94" s="53"/>
      <c r="O94" s="53"/>
      <c r="P94" s="53"/>
      <c r="Q94" s="53"/>
      <c r="R94" s="53"/>
      <c r="S94" s="53">
        <v>1</v>
      </c>
      <c r="T94" s="53">
        <v>1</v>
      </c>
      <c r="U94"/>
    </row>
    <row r="95" spans="1:21" x14ac:dyDescent="0.25">
      <c r="A95" s="16" t="s">
        <v>119</v>
      </c>
      <c r="B95" s="20"/>
      <c r="C95" s="20"/>
      <c r="D95" s="20"/>
      <c r="E95" s="20"/>
      <c r="F95" s="20">
        <v>1</v>
      </c>
      <c r="G95" s="20">
        <v>27</v>
      </c>
      <c r="H95" s="20">
        <v>28</v>
      </c>
      <c r="I95"/>
      <c r="M95" s="16" t="s">
        <v>85</v>
      </c>
      <c r="N95" s="53"/>
      <c r="O95" s="53"/>
      <c r="P95" s="53"/>
      <c r="Q95" s="53">
        <v>1</v>
      </c>
      <c r="R95" s="53"/>
      <c r="S95" s="53"/>
      <c r="T95" s="53">
        <v>1</v>
      </c>
      <c r="U95"/>
    </row>
    <row r="96" spans="1:21" x14ac:dyDescent="0.25">
      <c r="A96" s="16" t="s">
        <v>113</v>
      </c>
      <c r="B96" s="20"/>
      <c r="C96" s="20"/>
      <c r="D96" s="20"/>
      <c r="E96" s="20"/>
      <c r="F96" s="20"/>
      <c r="G96" s="20">
        <v>24</v>
      </c>
      <c r="H96" s="20">
        <v>24</v>
      </c>
      <c r="I96"/>
      <c r="M96" s="54" t="s">
        <v>121</v>
      </c>
      <c r="N96" s="53"/>
      <c r="O96" s="53"/>
      <c r="P96" s="53"/>
      <c r="Q96" s="53"/>
      <c r="R96" s="53">
        <v>1</v>
      </c>
      <c r="S96" s="53"/>
      <c r="T96" s="53">
        <v>1</v>
      </c>
      <c r="U96"/>
    </row>
    <row r="97" spans="1:21" x14ac:dyDescent="0.25">
      <c r="A97" s="16" t="s">
        <v>124</v>
      </c>
      <c r="B97" s="20"/>
      <c r="C97" s="20"/>
      <c r="D97" s="20"/>
      <c r="E97" s="20">
        <v>22</v>
      </c>
      <c r="F97" s="20"/>
      <c r="G97" s="20"/>
      <c r="H97" s="20">
        <v>22</v>
      </c>
      <c r="I97"/>
      <c r="M97" s="16" t="s">
        <v>117</v>
      </c>
      <c r="N97" s="53">
        <v>1</v>
      </c>
      <c r="O97" s="53"/>
      <c r="P97" s="53"/>
      <c r="Q97" s="53"/>
      <c r="R97" s="53"/>
      <c r="S97" s="53"/>
      <c r="T97" s="53">
        <v>1</v>
      </c>
      <c r="U97"/>
    </row>
    <row r="98" spans="1:21" x14ac:dyDescent="0.25">
      <c r="A98" s="16" t="s">
        <v>122</v>
      </c>
      <c r="B98" s="20">
        <v>17</v>
      </c>
      <c r="C98" s="20"/>
      <c r="D98" s="20"/>
      <c r="E98" s="20"/>
      <c r="F98" s="20"/>
      <c r="G98" s="20"/>
      <c r="H98" s="20">
        <v>17</v>
      </c>
      <c r="I98"/>
      <c r="M98" s="16" t="s">
        <v>104</v>
      </c>
      <c r="N98" s="53"/>
      <c r="O98" s="53"/>
      <c r="P98" s="53"/>
      <c r="Q98" s="53">
        <v>1</v>
      </c>
      <c r="R98" s="53"/>
      <c r="S98" s="53"/>
      <c r="T98" s="53">
        <v>1</v>
      </c>
      <c r="U98"/>
    </row>
    <row r="99" spans="1:21" x14ac:dyDescent="0.25">
      <c r="A99" s="16" t="s">
        <v>127</v>
      </c>
      <c r="B99" s="20">
        <v>16</v>
      </c>
      <c r="C99" s="20"/>
      <c r="D99" s="20"/>
      <c r="E99" s="20"/>
      <c r="F99" s="20"/>
      <c r="G99" s="20"/>
      <c r="H99" s="20">
        <v>16</v>
      </c>
      <c r="I99"/>
      <c r="M99" s="16" t="s">
        <v>137</v>
      </c>
      <c r="N99" s="53"/>
      <c r="O99" s="53"/>
      <c r="P99" s="53">
        <v>1</v>
      </c>
      <c r="Q99" s="53"/>
      <c r="R99" s="53"/>
      <c r="S99" s="53"/>
      <c r="T99" s="53">
        <v>1</v>
      </c>
      <c r="U99"/>
    </row>
    <row r="100" spans="1:21" x14ac:dyDescent="0.25">
      <c r="A100" s="16" t="s">
        <v>125</v>
      </c>
      <c r="B100" s="20">
        <v>11</v>
      </c>
      <c r="C100" s="20"/>
      <c r="D100" s="20"/>
      <c r="E100" s="20"/>
      <c r="F100" s="20">
        <v>5</v>
      </c>
      <c r="G100" s="20"/>
      <c r="H100" s="20">
        <v>16</v>
      </c>
      <c r="I100"/>
      <c r="M100" s="16" t="s">
        <v>128</v>
      </c>
      <c r="N100" s="53">
        <v>1</v>
      </c>
      <c r="O100" s="53"/>
      <c r="P100" s="53"/>
      <c r="Q100" s="53"/>
      <c r="R100" s="53"/>
      <c r="S100" s="53"/>
      <c r="T100" s="53">
        <v>1</v>
      </c>
      <c r="U100"/>
    </row>
    <row r="101" spans="1:21" x14ac:dyDescent="0.25">
      <c r="A101" s="16" t="s">
        <v>132</v>
      </c>
      <c r="B101" s="20"/>
      <c r="C101" s="20"/>
      <c r="D101" s="20">
        <v>15</v>
      </c>
      <c r="E101" s="20"/>
      <c r="F101" s="20"/>
      <c r="G101" s="20"/>
      <c r="H101" s="20">
        <v>15</v>
      </c>
      <c r="I101"/>
      <c r="M101" s="16" t="s">
        <v>10</v>
      </c>
      <c r="N101" s="53">
        <v>78</v>
      </c>
      <c r="O101" s="53">
        <v>22</v>
      </c>
      <c r="P101" s="53">
        <v>88</v>
      </c>
      <c r="Q101" s="53">
        <v>116</v>
      </c>
      <c r="R101" s="53">
        <v>12</v>
      </c>
      <c r="S101" s="53">
        <v>277</v>
      </c>
      <c r="T101" s="53">
        <v>593</v>
      </c>
      <c r="U101"/>
    </row>
    <row r="102" spans="1:21" x14ac:dyDescent="0.25">
      <c r="A102" s="16" t="s">
        <v>134</v>
      </c>
      <c r="B102" s="20"/>
      <c r="C102" s="20"/>
      <c r="D102" s="20"/>
      <c r="E102" s="20"/>
      <c r="F102" s="20">
        <v>1</v>
      </c>
      <c r="G102" s="20">
        <v>12</v>
      </c>
      <c r="H102" s="20">
        <v>13</v>
      </c>
      <c r="I102"/>
      <c r="M102"/>
      <c r="N102"/>
      <c r="O102"/>
      <c r="P102"/>
      <c r="Q102"/>
      <c r="R102"/>
      <c r="S102"/>
      <c r="T102"/>
      <c r="U102"/>
    </row>
    <row r="103" spans="1:21" x14ac:dyDescent="0.25">
      <c r="A103" s="16" t="s">
        <v>120</v>
      </c>
      <c r="B103" s="20">
        <v>12</v>
      </c>
      <c r="C103" s="20"/>
      <c r="D103" s="20"/>
      <c r="E103" s="20"/>
      <c r="F103" s="20"/>
      <c r="G103" s="20"/>
      <c r="H103" s="20">
        <v>12</v>
      </c>
      <c r="I103"/>
      <c r="M103"/>
      <c r="N103"/>
      <c r="O103"/>
      <c r="P103"/>
      <c r="Q103"/>
      <c r="R103"/>
      <c r="S103"/>
      <c r="T103"/>
      <c r="U103"/>
    </row>
    <row r="104" spans="1:21" x14ac:dyDescent="0.25">
      <c r="A104" s="16" t="s">
        <v>142</v>
      </c>
      <c r="B104" s="20"/>
      <c r="C104" s="20"/>
      <c r="D104" s="20"/>
      <c r="E104" s="20"/>
      <c r="F104" s="20"/>
      <c r="G104" s="20">
        <v>11</v>
      </c>
      <c r="H104" s="20">
        <v>11</v>
      </c>
      <c r="I104"/>
      <c r="M104"/>
      <c r="N104"/>
      <c r="O104"/>
      <c r="P104"/>
      <c r="Q104"/>
      <c r="R104"/>
      <c r="S104"/>
      <c r="T104"/>
      <c r="U104"/>
    </row>
    <row r="105" spans="1:21" x14ac:dyDescent="0.25">
      <c r="A105" s="16" t="s">
        <v>140</v>
      </c>
      <c r="B105" s="20">
        <v>10</v>
      </c>
      <c r="C105" s="20"/>
      <c r="D105" s="20"/>
      <c r="E105" s="20"/>
      <c r="F105" s="20"/>
      <c r="G105" s="20"/>
      <c r="H105" s="20">
        <v>10</v>
      </c>
      <c r="I105"/>
      <c r="M105"/>
      <c r="N105"/>
      <c r="O105"/>
      <c r="P105"/>
      <c r="Q105"/>
      <c r="R105"/>
      <c r="S105"/>
      <c r="T105"/>
      <c r="U105"/>
    </row>
    <row r="106" spans="1:21" x14ac:dyDescent="0.25">
      <c r="A106" s="16" t="s">
        <v>136</v>
      </c>
      <c r="B106" s="20">
        <v>10</v>
      </c>
      <c r="C106" s="20"/>
      <c r="D106" s="20"/>
      <c r="E106" s="20"/>
      <c r="F106" s="20"/>
      <c r="G106" s="20"/>
      <c r="H106" s="20">
        <v>10</v>
      </c>
      <c r="I106"/>
      <c r="M106"/>
      <c r="N106"/>
      <c r="O106"/>
      <c r="P106"/>
      <c r="Q106"/>
      <c r="R106"/>
      <c r="S106"/>
      <c r="T106"/>
      <c r="U106"/>
    </row>
    <row r="107" spans="1:21" x14ac:dyDescent="0.25">
      <c r="A107" s="16" t="s">
        <v>129</v>
      </c>
      <c r="B107" s="20">
        <v>9</v>
      </c>
      <c r="C107" s="20"/>
      <c r="D107" s="20"/>
      <c r="E107" s="20"/>
      <c r="F107" s="20"/>
      <c r="G107" s="20"/>
      <c r="H107" s="20">
        <v>9</v>
      </c>
      <c r="I107"/>
      <c r="M107"/>
      <c r="N107"/>
      <c r="O107"/>
      <c r="P107"/>
      <c r="Q107"/>
      <c r="R107"/>
      <c r="S107"/>
      <c r="T107"/>
      <c r="U107"/>
    </row>
    <row r="108" spans="1:21" x14ac:dyDescent="0.25">
      <c r="A108" s="16" t="s">
        <v>145</v>
      </c>
      <c r="B108" s="20"/>
      <c r="C108" s="20"/>
      <c r="D108" s="20"/>
      <c r="E108" s="20"/>
      <c r="F108" s="20"/>
      <c r="G108" s="20">
        <v>9</v>
      </c>
      <c r="H108" s="20">
        <v>9</v>
      </c>
      <c r="I108"/>
    </row>
    <row r="109" spans="1:21" x14ac:dyDescent="0.25">
      <c r="A109" s="16" t="s">
        <v>130</v>
      </c>
      <c r="B109" s="20"/>
      <c r="C109" s="20"/>
      <c r="D109" s="20"/>
      <c r="E109" s="20"/>
      <c r="F109" s="20">
        <v>1</v>
      </c>
      <c r="G109" s="20">
        <v>8</v>
      </c>
      <c r="H109" s="20">
        <v>9</v>
      </c>
      <c r="I109"/>
    </row>
    <row r="110" spans="1:21" x14ac:dyDescent="0.25">
      <c r="A110" s="16" t="s">
        <v>141</v>
      </c>
      <c r="B110" s="20"/>
      <c r="C110" s="20"/>
      <c r="D110" s="20"/>
      <c r="E110" s="20"/>
      <c r="F110" s="20">
        <v>1</v>
      </c>
      <c r="G110" s="20">
        <v>8</v>
      </c>
      <c r="H110" s="20">
        <v>9</v>
      </c>
      <c r="I110"/>
    </row>
    <row r="111" spans="1:21" x14ac:dyDescent="0.25">
      <c r="A111" s="16" t="s">
        <v>152</v>
      </c>
      <c r="B111" s="20"/>
      <c r="C111" s="20">
        <v>8</v>
      </c>
      <c r="D111" s="20"/>
      <c r="E111" s="20"/>
      <c r="F111" s="20"/>
      <c r="G111" s="20"/>
      <c r="H111" s="20">
        <v>8</v>
      </c>
      <c r="I111"/>
    </row>
    <row r="112" spans="1:21" x14ac:dyDescent="0.25">
      <c r="A112" s="16" t="s">
        <v>149</v>
      </c>
      <c r="B112" s="20"/>
      <c r="C112" s="20">
        <v>7</v>
      </c>
      <c r="D112" s="20"/>
      <c r="E112" s="20"/>
      <c r="F112" s="20"/>
      <c r="G112" s="20"/>
      <c r="H112" s="20">
        <v>7</v>
      </c>
      <c r="I112"/>
    </row>
    <row r="113" spans="1:20" x14ac:dyDescent="0.25">
      <c r="A113" s="16" t="s">
        <v>189</v>
      </c>
      <c r="B113" s="20"/>
      <c r="C113" s="20">
        <v>7</v>
      </c>
      <c r="D113" s="20"/>
      <c r="E113" s="20"/>
      <c r="F113" s="20"/>
      <c r="G113" s="20"/>
      <c r="H113" s="20">
        <v>7</v>
      </c>
      <c r="I113"/>
    </row>
    <row r="114" spans="1:20" x14ac:dyDescent="0.25">
      <c r="A114" s="16" t="s">
        <v>148</v>
      </c>
      <c r="B114" s="20"/>
      <c r="C114" s="20">
        <v>7</v>
      </c>
      <c r="D114" s="20"/>
      <c r="E114" s="20"/>
      <c r="F114" s="20"/>
      <c r="G114" s="20"/>
      <c r="H114" s="20">
        <v>7</v>
      </c>
      <c r="I114"/>
    </row>
    <row r="115" spans="1:20" x14ac:dyDescent="0.25">
      <c r="A115" s="16" t="s">
        <v>158</v>
      </c>
      <c r="B115" s="20"/>
      <c r="C115" s="20"/>
      <c r="D115" s="20"/>
      <c r="E115" s="20"/>
      <c r="F115" s="20"/>
      <c r="G115" s="20">
        <v>7</v>
      </c>
      <c r="H115" s="20">
        <v>7</v>
      </c>
      <c r="I115"/>
    </row>
    <row r="116" spans="1:20" x14ac:dyDescent="0.25">
      <c r="A116" s="16" t="s">
        <v>139</v>
      </c>
      <c r="B116" s="20">
        <v>6</v>
      </c>
      <c r="C116" s="20"/>
      <c r="D116" s="20"/>
      <c r="E116" s="20"/>
      <c r="F116" s="20"/>
      <c r="G116" s="20"/>
      <c r="H116" s="20">
        <v>6</v>
      </c>
      <c r="I116"/>
    </row>
    <row r="117" spans="1:20" x14ac:dyDescent="0.25">
      <c r="A117" s="54" t="s">
        <v>167</v>
      </c>
      <c r="B117" s="20"/>
      <c r="C117" s="20"/>
      <c r="D117" s="20">
        <v>6</v>
      </c>
      <c r="E117" s="20"/>
      <c r="F117" s="20"/>
      <c r="G117" s="20"/>
      <c r="H117" s="20">
        <v>6</v>
      </c>
      <c r="I117"/>
    </row>
    <row r="118" spans="1:20" x14ac:dyDescent="0.25">
      <c r="A118" s="16" t="s">
        <v>164</v>
      </c>
      <c r="B118" s="20"/>
      <c r="C118" s="20">
        <v>6</v>
      </c>
      <c r="D118" s="20"/>
      <c r="E118" s="20"/>
      <c r="F118" s="20"/>
      <c r="G118" s="20"/>
      <c r="H118" s="20">
        <v>6</v>
      </c>
      <c r="I118"/>
    </row>
    <row r="119" spans="1:20" x14ac:dyDescent="0.25">
      <c r="A119" s="16" t="s">
        <v>160</v>
      </c>
      <c r="B119" s="20"/>
      <c r="C119" s="20">
        <v>6</v>
      </c>
      <c r="D119" s="20"/>
      <c r="E119" s="20"/>
      <c r="F119" s="20"/>
      <c r="G119" s="20"/>
      <c r="H119" s="20">
        <v>6</v>
      </c>
      <c r="I119"/>
      <c r="M119" s="17" t="s">
        <v>150</v>
      </c>
      <c r="N119" s="15" t="s">
        <v>151</v>
      </c>
      <c r="P119" s="18" t="s">
        <v>150</v>
      </c>
      <c r="Q119" s="15" t="s">
        <v>151</v>
      </c>
      <c r="S119" s="18" t="s">
        <v>150</v>
      </c>
      <c r="T119" s="15" t="s">
        <v>151</v>
      </c>
    </row>
    <row r="120" spans="1:20" x14ac:dyDescent="0.25">
      <c r="A120" s="16" t="s">
        <v>143</v>
      </c>
      <c r="B120" s="20"/>
      <c r="C120" s="20"/>
      <c r="D120" s="20"/>
      <c r="E120" s="20"/>
      <c r="F120" s="20"/>
      <c r="G120" s="20">
        <v>6</v>
      </c>
      <c r="H120" s="20">
        <v>6</v>
      </c>
      <c r="I120"/>
      <c r="M120" s="49" t="s">
        <v>153</v>
      </c>
      <c r="N120" s="48"/>
      <c r="P120" s="49" t="s">
        <v>154</v>
      </c>
      <c r="Q120" s="48"/>
      <c r="S120" s="49" t="s">
        <v>155</v>
      </c>
      <c r="T120" s="48"/>
    </row>
    <row r="121" spans="1:20" x14ac:dyDescent="0.25">
      <c r="A121" s="16" t="s">
        <v>174</v>
      </c>
      <c r="B121" s="20"/>
      <c r="C121" s="20"/>
      <c r="D121" s="20"/>
      <c r="E121" s="20"/>
      <c r="F121" s="20"/>
      <c r="G121" s="20">
        <v>5</v>
      </c>
      <c r="H121" s="20">
        <v>5</v>
      </c>
      <c r="I121"/>
      <c r="M121" s="19" t="s">
        <v>11</v>
      </c>
      <c r="N121" s="22" t="s">
        <v>157</v>
      </c>
      <c r="P121" s="21" t="s">
        <v>11</v>
      </c>
      <c r="Q121" s="22" t="s">
        <v>157</v>
      </c>
      <c r="S121" s="19" t="s">
        <v>11</v>
      </c>
      <c r="T121" s="15" t="s">
        <v>157</v>
      </c>
    </row>
    <row r="122" spans="1:20" x14ac:dyDescent="0.25">
      <c r="A122" s="16" t="s">
        <v>187</v>
      </c>
      <c r="B122" s="20"/>
      <c r="C122" s="20"/>
      <c r="D122" s="20"/>
      <c r="E122" s="20"/>
      <c r="F122" s="20"/>
      <c r="G122" s="20">
        <v>5</v>
      </c>
      <c r="H122" s="20">
        <v>5</v>
      </c>
      <c r="I122"/>
      <c r="M122" s="16" t="s">
        <v>17</v>
      </c>
      <c r="N122" s="23">
        <v>1865</v>
      </c>
      <c r="P122" s="16" t="s">
        <v>159</v>
      </c>
      <c r="Q122" s="22">
        <v>15714</v>
      </c>
      <c r="S122" s="16" t="s">
        <v>159</v>
      </c>
      <c r="T122" s="22">
        <v>15714</v>
      </c>
    </row>
    <row r="123" spans="1:20" x14ac:dyDescent="0.25">
      <c r="A123" s="16" t="s">
        <v>168</v>
      </c>
      <c r="B123" s="20">
        <v>5</v>
      </c>
      <c r="C123" s="20"/>
      <c r="D123" s="20"/>
      <c r="E123" s="20"/>
      <c r="F123" s="20"/>
      <c r="G123" s="20"/>
      <c r="H123" s="20">
        <v>5</v>
      </c>
      <c r="I123"/>
      <c r="M123" s="16" t="s">
        <v>19</v>
      </c>
      <c r="N123" s="23">
        <v>584</v>
      </c>
      <c r="P123" s="41" t="s">
        <v>163</v>
      </c>
      <c r="Q123" s="22">
        <v>3393</v>
      </c>
      <c r="S123" s="41" t="s">
        <v>163</v>
      </c>
      <c r="T123" s="22">
        <v>3393</v>
      </c>
    </row>
    <row r="124" spans="1:20" x14ac:dyDescent="0.25">
      <c r="A124" s="16" t="s">
        <v>181</v>
      </c>
      <c r="B124" s="20"/>
      <c r="C124" s="20">
        <v>4</v>
      </c>
      <c r="D124" s="20"/>
      <c r="E124" s="20"/>
      <c r="F124" s="20"/>
      <c r="G124" s="20"/>
      <c r="H124" s="20">
        <v>4</v>
      </c>
      <c r="I124"/>
      <c r="M124" s="16" t="s">
        <v>21</v>
      </c>
      <c r="N124" s="23">
        <v>2110</v>
      </c>
      <c r="P124" s="41" t="s">
        <v>165</v>
      </c>
      <c r="Q124" s="22">
        <v>12321</v>
      </c>
      <c r="S124" s="41" t="s">
        <v>165</v>
      </c>
      <c r="T124" s="22">
        <v>12321</v>
      </c>
    </row>
    <row r="125" spans="1:20" x14ac:dyDescent="0.25">
      <c r="A125" s="16" t="s">
        <v>146</v>
      </c>
      <c r="B125" s="20"/>
      <c r="C125" s="20"/>
      <c r="D125" s="20"/>
      <c r="E125" s="20"/>
      <c r="F125" s="20"/>
      <c r="G125" s="20">
        <v>4</v>
      </c>
      <c r="H125" s="20">
        <v>4</v>
      </c>
      <c r="I125"/>
      <c r="M125" s="16" t="s">
        <v>23</v>
      </c>
      <c r="N125" s="23">
        <v>5990</v>
      </c>
      <c r="P125" s="16" t="s">
        <v>10</v>
      </c>
      <c r="Q125" s="22">
        <v>15714</v>
      </c>
      <c r="S125" s="15" t="s">
        <v>2138</v>
      </c>
      <c r="T125" s="22"/>
    </row>
    <row r="126" spans="1:20" x14ac:dyDescent="0.25">
      <c r="A126" s="16" t="s">
        <v>162</v>
      </c>
      <c r="B126" s="20"/>
      <c r="C126" s="20">
        <v>4</v>
      </c>
      <c r="D126" s="20"/>
      <c r="E126" s="20"/>
      <c r="F126" s="20"/>
      <c r="G126" s="20"/>
      <c r="H126" s="20">
        <v>4</v>
      </c>
      <c r="I126"/>
      <c r="M126" s="16" t="s">
        <v>10</v>
      </c>
      <c r="N126" s="23">
        <v>10549</v>
      </c>
      <c r="P126"/>
      <c r="Q126"/>
      <c r="S126" s="41" t="s">
        <v>2138</v>
      </c>
      <c r="T126" s="22"/>
    </row>
    <row r="127" spans="1:20" x14ac:dyDescent="0.25">
      <c r="A127" s="16" t="s">
        <v>170</v>
      </c>
      <c r="B127" s="20"/>
      <c r="C127" s="20">
        <v>4</v>
      </c>
      <c r="D127" s="20"/>
      <c r="E127" s="20"/>
      <c r="F127" s="20"/>
      <c r="G127" s="20"/>
      <c r="H127" s="20">
        <v>4</v>
      </c>
      <c r="I127"/>
      <c r="M127"/>
      <c r="N127"/>
      <c r="P127"/>
      <c r="Q127"/>
      <c r="S127" s="24" t="s">
        <v>10</v>
      </c>
      <c r="T127" s="22">
        <v>15714</v>
      </c>
    </row>
    <row r="128" spans="1:20" x14ac:dyDescent="0.25">
      <c r="A128" s="54" t="s">
        <v>176</v>
      </c>
      <c r="B128" s="20"/>
      <c r="C128" s="20">
        <v>4</v>
      </c>
      <c r="D128" s="20"/>
      <c r="E128" s="20"/>
      <c r="F128" s="20"/>
      <c r="G128" s="20"/>
      <c r="H128" s="20">
        <v>4</v>
      </c>
      <c r="I128"/>
      <c r="M128"/>
      <c r="N128"/>
      <c r="P128"/>
      <c r="Q128"/>
      <c r="S128"/>
      <c r="T128"/>
    </row>
    <row r="129" spans="1:20" x14ac:dyDescent="0.25">
      <c r="A129" s="16" t="s">
        <v>172</v>
      </c>
      <c r="B129" s="20"/>
      <c r="C129" s="20"/>
      <c r="D129" s="20"/>
      <c r="E129" s="20"/>
      <c r="F129" s="20"/>
      <c r="G129" s="20">
        <v>4</v>
      </c>
      <c r="H129" s="20">
        <v>4</v>
      </c>
      <c r="I129"/>
      <c r="S129"/>
      <c r="T129"/>
    </row>
    <row r="130" spans="1:20" x14ac:dyDescent="0.25">
      <c r="A130" s="16" t="s">
        <v>177</v>
      </c>
      <c r="B130" s="20"/>
      <c r="C130" s="20">
        <v>3</v>
      </c>
      <c r="D130" s="20"/>
      <c r="E130" s="20"/>
      <c r="F130" s="20"/>
      <c r="G130" s="20"/>
      <c r="H130" s="20">
        <v>3</v>
      </c>
      <c r="I130"/>
    </row>
    <row r="131" spans="1:20" x14ac:dyDescent="0.25">
      <c r="A131" s="16" t="s">
        <v>200</v>
      </c>
      <c r="B131" s="20">
        <v>3</v>
      </c>
      <c r="C131" s="20"/>
      <c r="D131" s="20"/>
      <c r="E131" s="20"/>
      <c r="F131" s="20"/>
      <c r="G131" s="20"/>
      <c r="H131" s="20">
        <v>3</v>
      </c>
      <c r="I131"/>
    </row>
    <row r="132" spans="1:20" x14ac:dyDescent="0.25">
      <c r="A132" s="16" t="s">
        <v>186</v>
      </c>
      <c r="B132" s="20">
        <v>2</v>
      </c>
      <c r="C132" s="20"/>
      <c r="D132" s="20"/>
      <c r="E132" s="20">
        <v>1</v>
      </c>
      <c r="F132" s="20"/>
      <c r="G132" s="20"/>
      <c r="H132" s="20">
        <v>3</v>
      </c>
      <c r="I132"/>
    </row>
    <row r="133" spans="1:20" x14ac:dyDescent="0.25">
      <c r="A133" s="16" t="s">
        <v>166</v>
      </c>
      <c r="B133" s="20">
        <v>2</v>
      </c>
      <c r="C133" s="20"/>
      <c r="D133" s="20"/>
      <c r="E133" s="20"/>
      <c r="F133" s="20">
        <v>1</v>
      </c>
      <c r="G133" s="20"/>
      <c r="H133" s="20">
        <v>3</v>
      </c>
      <c r="I133"/>
    </row>
    <row r="134" spans="1:20" x14ac:dyDescent="0.25">
      <c r="A134" s="16" t="s">
        <v>169</v>
      </c>
      <c r="B134" s="20">
        <v>2</v>
      </c>
      <c r="C134" s="20"/>
      <c r="D134" s="20"/>
      <c r="E134" s="20"/>
      <c r="F134" s="20"/>
      <c r="G134" s="20">
        <v>1</v>
      </c>
      <c r="H134" s="20">
        <v>3</v>
      </c>
      <c r="I134"/>
    </row>
    <row r="135" spans="1:20" x14ac:dyDescent="0.25">
      <c r="A135" s="16" t="s">
        <v>179</v>
      </c>
      <c r="B135" s="20">
        <v>3</v>
      </c>
      <c r="C135" s="20"/>
      <c r="D135" s="20"/>
      <c r="E135" s="20"/>
      <c r="F135" s="20"/>
      <c r="G135" s="20"/>
      <c r="H135" s="20">
        <v>3</v>
      </c>
      <c r="I135"/>
    </row>
    <row r="136" spans="1:20" x14ac:dyDescent="0.25">
      <c r="A136" s="16" t="s">
        <v>178</v>
      </c>
      <c r="B136" s="20"/>
      <c r="C136" s="20"/>
      <c r="D136" s="20"/>
      <c r="E136" s="20"/>
      <c r="F136" s="20"/>
      <c r="G136" s="20">
        <v>3</v>
      </c>
      <c r="H136" s="20">
        <v>3</v>
      </c>
      <c r="I136"/>
    </row>
    <row r="137" spans="1:20" x14ac:dyDescent="0.25">
      <c r="A137" s="16" t="s">
        <v>194</v>
      </c>
      <c r="B137" s="20"/>
      <c r="C137" s="20">
        <v>2</v>
      </c>
      <c r="D137" s="20"/>
      <c r="E137" s="20"/>
      <c r="F137" s="20"/>
      <c r="G137" s="20">
        <v>1</v>
      </c>
      <c r="H137" s="20">
        <v>3</v>
      </c>
      <c r="I137"/>
    </row>
    <row r="138" spans="1:20" x14ac:dyDescent="0.25">
      <c r="A138" s="16" t="s">
        <v>1532</v>
      </c>
      <c r="B138" s="20"/>
      <c r="C138" s="20">
        <v>2</v>
      </c>
      <c r="D138" s="20"/>
      <c r="E138" s="20"/>
      <c r="F138" s="20"/>
      <c r="G138" s="20"/>
      <c r="H138" s="20">
        <v>2</v>
      </c>
      <c r="I138"/>
    </row>
    <row r="139" spans="1:20" x14ac:dyDescent="0.25">
      <c r="A139" s="16" t="s">
        <v>182</v>
      </c>
      <c r="B139" s="20"/>
      <c r="C139" s="20"/>
      <c r="D139" s="20"/>
      <c r="E139" s="20"/>
      <c r="F139" s="20"/>
      <c r="G139" s="20">
        <v>2</v>
      </c>
      <c r="H139" s="20">
        <v>2</v>
      </c>
      <c r="I139"/>
    </row>
    <row r="140" spans="1:20" x14ac:dyDescent="0.25">
      <c r="A140" s="16" t="s">
        <v>201</v>
      </c>
      <c r="B140" s="20"/>
      <c r="C140" s="20"/>
      <c r="D140" s="20"/>
      <c r="E140" s="20"/>
      <c r="F140" s="20"/>
      <c r="G140" s="20">
        <v>2</v>
      </c>
      <c r="H140" s="20">
        <v>2</v>
      </c>
      <c r="I140"/>
    </row>
    <row r="141" spans="1:20" x14ac:dyDescent="0.25">
      <c r="A141" s="16" t="s">
        <v>144</v>
      </c>
      <c r="B141" s="20"/>
      <c r="C141" s="20"/>
      <c r="D141" s="20"/>
      <c r="E141" s="20"/>
      <c r="F141" s="20"/>
      <c r="G141" s="20">
        <v>2</v>
      </c>
      <c r="H141" s="20">
        <v>2</v>
      </c>
      <c r="I141"/>
    </row>
    <row r="142" spans="1:20" x14ac:dyDescent="0.25">
      <c r="A142" s="16" t="s">
        <v>184</v>
      </c>
      <c r="B142" s="20"/>
      <c r="C142" s="20"/>
      <c r="D142" s="20"/>
      <c r="E142" s="20"/>
      <c r="F142" s="20"/>
      <c r="G142" s="20">
        <v>2</v>
      </c>
      <c r="H142" s="20">
        <v>2</v>
      </c>
      <c r="I142"/>
    </row>
    <row r="143" spans="1:20" x14ac:dyDescent="0.25">
      <c r="A143" s="16" t="s">
        <v>185</v>
      </c>
      <c r="B143" s="20"/>
      <c r="C143" s="20">
        <v>2</v>
      </c>
      <c r="D143" s="20"/>
      <c r="E143" s="20"/>
      <c r="F143" s="20"/>
      <c r="G143" s="20"/>
      <c r="H143" s="20">
        <v>2</v>
      </c>
      <c r="I143"/>
    </row>
    <row r="144" spans="1:20" x14ac:dyDescent="0.25">
      <c r="A144" s="16" t="s">
        <v>161</v>
      </c>
      <c r="B144" s="20"/>
      <c r="C144" s="20">
        <v>2</v>
      </c>
      <c r="D144" s="20"/>
      <c r="E144" s="20"/>
      <c r="F144" s="20"/>
      <c r="G144" s="20"/>
      <c r="H144" s="20">
        <v>2</v>
      </c>
      <c r="I144"/>
    </row>
    <row r="145" spans="1:9" x14ac:dyDescent="0.25">
      <c r="A145" s="16" t="s">
        <v>195</v>
      </c>
      <c r="B145" s="20"/>
      <c r="C145" s="20">
        <v>2</v>
      </c>
      <c r="D145" s="20"/>
      <c r="E145" s="20"/>
      <c r="F145" s="20"/>
      <c r="G145" s="20"/>
      <c r="H145" s="20">
        <v>2</v>
      </c>
      <c r="I145"/>
    </row>
    <row r="146" spans="1:9" x14ac:dyDescent="0.25">
      <c r="A146" s="16" t="s">
        <v>156</v>
      </c>
      <c r="B146" s="20">
        <v>2</v>
      </c>
      <c r="C146" s="20"/>
      <c r="D146" s="20"/>
      <c r="E146" s="20"/>
      <c r="F146" s="20"/>
      <c r="G146" s="20"/>
      <c r="H146" s="20">
        <v>2</v>
      </c>
      <c r="I146"/>
    </row>
    <row r="147" spans="1:9" x14ac:dyDescent="0.25">
      <c r="A147" s="16" t="s">
        <v>173</v>
      </c>
      <c r="B147" s="20"/>
      <c r="C147" s="20"/>
      <c r="D147" s="20"/>
      <c r="E147" s="20"/>
      <c r="F147" s="20"/>
      <c r="G147" s="20">
        <v>2</v>
      </c>
      <c r="H147" s="20">
        <v>2</v>
      </c>
      <c r="I147"/>
    </row>
    <row r="148" spans="1:9" x14ac:dyDescent="0.25">
      <c r="A148" s="16" t="s">
        <v>188</v>
      </c>
      <c r="B148" s="20"/>
      <c r="C148" s="20">
        <v>1</v>
      </c>
      <c r="D148" s="20"/>
      <c r="E148" s="20"/>
      <c r="F148" s="20"/>
      <c r="G148" s="20">
        <v>1</v>
      </c>
      <c r="H148" s="20">
        <v>2</v>
      </c>
      <c r="I148"/>
    </row>
    <row r="149" spans="1:9" x14ac:dyDescent="0.25">
      <c r="A149" s="16" t="s">
        <v>180</v>
      </c>
      <c r="B149" s="20"/>
      <c r="C149" s="20">
        <v>2</v>
      </c>
      <c r="D149" s="20"/>
      <c r="E149" s="20"/>
      <c r="F149" s="20"/>
      <c r="G149" s="20"/>
      <c r="H149" s="20">
        <v>2</v>
      </c>
      <c r="I149"/>
    </row>
    <row r="150" spans="1:9" x14ac:dyDescent="0.25">
      <c r="A150" s="16" t="s">
        <v>192</v>
      </c>
      <c r="B150" s="20"/>
      <c r="C150" s="20"/>
      <c r="D150" s="20"/>
      <c r="E150" s="20"/>
      <c r="F150" s="20">
        <v>1</v>
      </c>
      <c r="G150" s="20"/>
      <c r="H150" s="20">
        <v>1</v>
      </c>
      <c r="I150"/>
    </row>
    <row r="151" spans="1:9" x14ac:dyDescent="0.25">
      <c r="A151" s="16" t="s">
        <v>183</v>
      </c>
      <c r="B151" s="20"/>
      <c r="C151" s="20">
        <v>1</v>
      </c>
      <c r="D151" s="20"/>
      <c r="E151" s="20"/>
      <c r="F151" s="20"/>
      <c r="G151" s="20"/>
      <c r="H151" s="20">
        <v>1</v>
      </c>
      <c r="I151"/>
    </row>
    <row r="152" spans="1:9" x14ac:dyDescent="0.25">
      <c r="A152" s="16" t="s">
        <v>175</v>
      </c>
      <c r="B152" s="20">
        <v>1</v>
      </c>
      <c r="C152" s="20"/>
      <c r="D152" s="20"/>
      <c r="E152" s="20"/>
      <c r="F152" s="20"/>
      <c r="G152" s="20"/>
      <c r="H152" s="20">
        <v>1</v>
      </c>
      <c r="I152"/>
    </row>
    <row r="153" spans="1:9" x14ac:dyDescent="0.25">
      <c r="A153" s="16" t="s">
        <v>199</v>
      </c>
      <c r="B153" s="20"/>
      <c r="C153" s="20"/>
      <c r="D153" s="20"/>
      <c r="E153" s="20"/>
      <c r="F153" s="20"/>
      <c r="G153" s="20">
        <v>1</v>
      </c>
      <c r="H153" s="20">
        <v>1</v>
      </c>
      <c r="I153"/>
    </row>
    <row r="154" spans="1:9" x14ac:dyDescent="0.25">
      <c r="A154" s="16" t="s">
        <v>193</v>
      </c>
      <c r="B154" s="20">
        <v>1</v>
      </c>
      <c r="C154" s="20"/>
      <c r="D154" s="20"/>
      <c r="E154" s="20"/>
      <c r="F154" s="20"/>
      <c r="G154" s="20"/>
      <c r="H154" s="20">
        <v>1</v>
      </c>
      <c r="I154"/>
    </row>
    <row r="155" spans="1:9" x14ac:dyDescent="0.25">
      <c r="A155" s="16" t="s">
        <v>198</v>
      </c>
      <c r="B155" s="20"/>
      <c r="C155" s="20">
        <v>1</v>
      </c>
      <c r="D155" s="20"/>
      <c r="E155" s="20"/>
      <c r="F155" s="20"/>
      <c r="G155" s="20"/>
      <c r="H155" s="20">
        <v>1</v>
      </c>
      <c r="I155"/>
    </row>
    <row r="156" spans="1:9" x14ac:dyDescent="0.25">
      <c r="A156" s="16" t="s">
        <v>197</v>
      </c>
      <c r="B156" s="20"/>
      <c r="C156" s="20"/>
      <c r="D156" s="20"/>
      <c r="E156" s="20"/>
      <c r="F156" s="20"/>
      <c r="G156" s="20">
        <v>1</v>
      </c>
      <c r="H156" s="20">
        <v>1</v>
      </c>
      <c r="I156"/>
    </row>
    <row r="157" spans="1:9" x14ac:dyDescent="0.25">
      <c r="A157" s="16" t="s">
        <v>138</v>
      </c>
      <c r="B157" s="20">
        <v>1</v>
      </c>
      <c r="C157" s="20"/>
      <c r="D157" s="20"/>
      <c r="E157" s="20"/>
      <c r="F157" s="20"/>
      <c r="G157" s="20"/>
      <c r="H157" s="20">
        <v>1</v>
      </c>
      <c r="I157"/>
    </row>
    <row r="158" spans="1:9" x14ac:dyDescent="0.25">
      <c r="A158" s="16" t="s">
        <v>147</v>
      </c>
      <c r="B158" s="20">
        <v>1</v>
      </c>
      <c r="C158" s="20"/>
      <c r="D158" s="20"/>
      <c r="E158" s="20"/>
      <c r="F158" s="20"/>
      <c r="G158" s="20"/>
      <c r="H158" s="20">
        <v>1</v>
      </c>
      <c r="I158"/>
    </row>
    <row r="159" spans="1:9" x14ac:dyDescent="0.25">
      <c r="A159" s="16" t="s">
        <v>202</v>
      </c>
      <c r="B159" s="20"/>
      <c r="C159" s="20"/>
      <c r="D159" s="20"/>
      <c r="E159" s="20"/>
      <c r="F159" s="20"/>
      <c r="G159" s="20">
        <v>1</v>
      </c>
      <c r="H159" s="20">
        <v>1</v>
      </c>
      <c r="I159"/>
    </row>
    <row r="160" spans="1:9" x14ac:dyDescent="0.25">
      <c r="A160" s="16" t="s">
        <v>190</v>
      </c>
      <c r="B160" s="20"/>
      <c r="C160" s="20">
        <v>1</v>
      </c>
      <c r="D160" s="20"/>
      <c r="E160" s="20"/>
      <c r="F160" s="20"/>
      <c r="G160" s="20"/>
      <c r="H160" s="20">
        <v>1</v>
      </c>
      <c r="I160"/>
    </row>
    <row r="161" spans="1:9" x14ac:dyDescent="0.25">
      <c r="A161" s="16" t="s">
        <v>203</v>
      </c>
      <c r="B161" s="20"/>
      <c r="C161" s="20">
        <v>1</v>
      </c>
      <c r="D161" s="20"/>
      <c r="E161" s="20"/>
      <c r="F161" s="20"/>
      <c r="G161" s="20"/>
      <c r="H161" s="20">
        <v>1</v>
      </c>
      <c r="I161"/>
    </row>
    <row r="162" spans="1:9" x14ac:dyDescent="0.25">
      <c r="A162" s="16" t="s">
        <v>171</v>
      </c>
      <c r="B162" s="20">
        <v>1</v>
      </c>
      <c r="C162" s="20"/>
      <c r="D162" s="20"/>
      <c r="E162" s="20"/>
      <c r="F162" s="20"/>
      <c r="G162" s="20"/>
      <c r="H162" s="20">
        <v>1</v>
      </c>
      <c r="I162"/>
    </row>
    <row r="163" spans="1:9" x14ac:dyDescent="0.25">
      <c r="A163" s="16" t="s">
        <v>191</v>
      </c>
      <c r="B163" s="20">
        <v>1</v>
      </c>
      <c r="C163" s="20"/>
      <c r="D163" s="20"/>
      <c r="E163" s="20"/>
      <c r="F163" s="20"/>
      <c r="G163" s="20"/>
      <c r="H163" s="20">
        <v>1</v>
      </c>
      <c r="I163"/>
    </row>
    <row r="164" spans="1:9" x14ac:dyDescent="0.25">
      <c r="A164" s="16" t="s">
        <v>196</v>
      </c>
      <c r="B164" s="20"/>
      <c r="C164" s="20">
        <v>1</v>
      </c>
      <c r="D164" s="20"/>
      <c r="E164" s="20"/>
      <c r="F164" s="20"/>
      <c r="G164" s="20"/>
      <c r="H164" s="20">
        <v>1</v>
      </c>
      <c r="I164"/>
    </row>
    <row r="165" spans="1:9" x14ac:dyDescent="0.25">
      <c r="A165" s="16" t="s">
        <v>1729</v>
      </c>
      <c r="B165" s="20"/>
      <c r="C165" s="20"/>
      <c r="D165" s="20">
        <v>1</v>
      </c>
      <c r="E165" s="20"/>
      <c r="F165" s="20"/>
      <c r="G165" s="20"/>
      <c r="H165" s="20">
        <v>1</v>
      </c>
      <c r="I165"/>
    </row>
    <row r="166" spans="1:9" x14ac:dyDescent="0.25">
      <c r="A166" s="16" t="s">
        <v>1893</v>
      </c>
      <c r="B166" s="20"/>
      <c r="C166" s="20"/>
      <c r="D166" s="20"/>
      <c r="E166" s="20"/>
      <c r="F166" s="20"/>
      <c r="G166" s="20">
        <v>1</v>
      </c>
      <c r="H166" s="20">
        <v>1</v>
      </c>
      <c r="I166"/>
    </row>
    <row r="167" spans="1:9" x14ac:dyDescent="0.25">
      <c r="A167" s="16" t="s">
        <v>10</v>
      </c>
      <c r="B167" s="20">
        <v>116</v>
      </c>
      <c r="C167" s="20">
        <v>78</v>
      </c>
      <c r="D167" s="20">
        <v>22</v>
      </c>
      <c r="E167" s="20">
        <v>88</v>
      </c>
      <c r="F167" s="20">
        <v>12</v>
      </c>
      <c r="G167" s="20">
        <v>277</v>
      </c>
      <c r="H167" s="20">
        <v>593</v>
      </c>
      <c r="I167"/>
    </row>
    <row r="168" spans="1:9" x14ac:dyDescent="0.25">
      <c r="A168"/>
      <c r="B168"/>
      <c r="C168"/>
      <c r="D168"/>
      <c r="E168"/>
      <c r="F168"/>
      <c r="G168"/>
      <c r="H168"/>
      <c r="I168"/>
    </row>
    <row r="169" spans="1:9" x14ac:dyDescent="0.25">
      <c r="A169"/>
      <c r="B169"/>
      <c r="C169"/>
      <c r="D169"/>
      <c r="E169"/>
      <c r="F169"/>
      <c r="G169"/>
      <c r="H169"/>
      <c r="I169"/>
    </row>
    <row r="170" spans="1:9" x14ac:dyDescent="0.25">
      <c r="A170"/>
      <c r="B170"/>
      <c r="C170"/>
      <c r="D170"/>
      <c r="E170"/>
      <c r="F170"/>
      <c r="G170"/>
      <c r="H170"/>
      <c r="I170"/>
    </row>
    <row r="171" spans="1:9" x14ac:dyDescent="0.25">
      <c r="A171"/>
      <c r="B171"/>
      <c r="C171"/>
      <c r="D171"/>
      <c r="E171"/>
      <c r="F171"/>
      <c r="G171"/>
      <c r="H171"/>
      <c r="I171"/>
    </row>
    <row r="172" spans="1:9" x14ac:dyDescent="0.25">
      <c r="A172"/>
      <c r="B172"/>
      <c r="C172"/>
      <c r="D172"/>
      <c r="E172"/>
      <c r="F172"/>
      <c r="G172"/>
      <c r="H172"/>
      <c r="I172"/>
    </row>
    <row r="173" spans="1:9" x14ac:dyDescent="0.25">
      <c r="A173"/>
      <c r="B173"/>
      <c r="C173"/>
      <c r="D173"/>
      <c r="E173"/>
      <c r="F173"/>
      <c r="G173"/>
      <c r="H173"/>
      <c r="I173"/>
    </row>
    <row r="174" spans="1:9" x14ac:dyDescent="0.25">
      <c r="A174"/>
      <c r="B174"/>
      <c r="C174"/>
      <c r="D174"/>
      <c r="E174"/>
      <c r="F174"/>
      <c r="G174"/>
      <c r="H174"/>
      <c r="I174"/>
    </row>
    <row r="175" spans="1:9" x14ac:dyDescent="0.25">
      <c r="A175"/>
      <c r="B175"/>
      <c r="C175"/>
      <c r="D175"/>
      <c r="E175"/>
      <c r="F175"/>
      <c r="G175"/>
      <c r="H175"/>
      <c r="I175"/>
    </row>
    <row r="176" spans="1:9" x14ac:dyDescent="0.25">
      <c r="A176"/>
      <c r="B176"/>
      <c r="C176"/>
      <c r="D176"/>
      <c r="E176"/>
      <c r="F176"/>
      <c r="G176"/>
      <c r="H176"/>
      <c r="I176"/>
    </row>
    <row r="177" spans="1:9" x14ac:dyDescent="0.25">
      <c r="A177"/>
      <c r="B177"/>
      <c r="C177"/>
      <c r="D177"/>
      <c r="E177"/>
      <c r="F177"/>
      <c r="G177"/>
      <c r="H177"/>
      <c r="I177"/>
    </row>
    <row r="178" spans="1:9" x14ac:dyDescent="0.25">
      <c r="A178"/>
      <c r="B178"/>
      <c r="C178"/>
      <c r="D178"/>
      <c r="E178"/>
      <c r="F178"/>
      <c r="G178"/>
      <c r="H178"/>
      <c r="I178"/>
    </row>
    <row r="179" spans="1:9" x14ac:dyDescent="0.25">
      <c r="A179"/>
      <c r="B179"/>
      <c r="C179"/>
      <c r="D179"/>
      <c r="E179"/>
      <c r="F179"/>
      <c r="G179"/>
      <c r="H179"/>
      <c r="I179"/>
    </row>
    <row r="180" spans="1:9" x14ac:dyDescent="0.25">
      <c r="A180"/>
      <c r="B180"/>
      <c r="C180"/>
      <c r="D180"/>
      <c r="E180"/>
      <c r="F180"/>
      <c r="G180"/>
      <c r="H180"/>
      <c r="I180"/>
    </row>
    <row r="181" spans="1:9" x14ac:dyDescent="0.25">
      <c r="A181"/>
      <c r="B181"/>
      <c r="C181"/>
      <c r="D181"/>
      <c r="E181"/>
      <c r="F181"/>
      <c r="G181"/>
      <c r="H181"/>
      <c r="I181"/>
    </row>
    <row r="182" spans="1:9" ht="15" customHeight="1" x14ac:dyDescent="0.25">
      <c r="A182"/>
      <c r="B182"/>
      <c r="C182"/>
      <c r="D182"/>
      <c r="E182"/>
      <c r="F182"/>
      <c r="G182"/>
      <c r="H182"/>
      <c r="I182"/>
    </row>
    <row r="183" spans="1:9" ht="15" customHeight="1" x14ac:dyDescent="0.25"/>
    <row r="184" spans="1:9" ht="15" customHeight="1" x14ac:dyDescent="0.25"/>
    <row r="185" spans="1:9" ht="15" customHeight="1" x14ac:dyDescent="0.25"/>
    <row r="186" spans="1:9" ht="15" customHeight="1" x14ac:dyDescent="0.25"/>
    <row r="187" spans="1:9" ht="15" customHeight="1" x14ac:dyDescent="0.25"/>
    <row r="188" spans="1:9" ht="15" customHeight="1" x14ac:dyDescent="0.25"/>
    <row r="189" spans="1:9" ht="15" customHeight="1" x14ac:dyDescent="0.25"/>
    <row r="190" spans="1:9" ht="15" customHeight="1" x14ac:dyDescent="0.25"/>
    <row r="191" spans="1:9" ht="15" customHeight="1" x14ac:dyDescent="0.25"/>
    <row r="192" spans="1:9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</sheetData>
  <mergeCells count="12">
    <mergeCell ref="A1:U1"/>
    <mergeCell ref="M3:U3"/>
    <mergeCell ref="A67:I67"/>
    <mergeCell ref="M120:N120"/>
    <mergeCell ref="A18:F18"/>
    <mergeCell ref="M41:R41"/>
    <mergeCell ref="A3:F3"/>
    <mergeCell ref="A16:E16"/>
    <mergeCell ref="P120:Q120"/>
    <mergeCell ref="A15:E15"/>
    <mergeCell ref="S120:T120"/>
    <mergeCell ref="S41:U4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73" width="9.140625" style="1" customWidth="1"/>
    <col min="474" max="16384" width="9.140625" style="1"/>
  </cols>
  <sheetData>
    <row r="1" spans="1:5" x14ac:dyDescent="0.2">
      <c r="A1" s="5" t="s">
        <v>204</v>
      </c>
      <c r="B1" s="5" t="s">
        <v>205</v>
      </c>
      <c r="C1" s="5" t="s">
        <v>206</v>
      </c>
      <c r="D1" s="5" t="s">
        <v>207</v>
      </c>
      <c r="E1" s="5" t="s">
        <v>208</v>
      </c>
    </row>
    <row r="2" spans="1:5" x14ac:dyDescent="0.2">
      <c r="A2" s="2">
        <f>Dashboard!F15</f>
        <v>168</v>
      </c>
      <c r="B2" s="5" t="s">
        <v>12</v>
      </c>
      <c r="C2" s="5">
        <f>IFERROR(GETPIVOTDATA("RESPONSÁVEL",Dashboard!$M$4,"OBTS","ARGO(TMS)"),0)</f>
        <v>110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78</v>
      </c>
      <c r="D3" s="9">
        <v>1935</v>
      </c>
      <c r="E3" s="4" t="e">
        <f t="shared" si="0"/>
        <v>#REF!</v>
      </c>
    </row>
    <row r="4" spans="1:5" x14ac:dyDescent="0.2">
      <c r="B4" s="5" t="s">
        <v>39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87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11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274</v>
      </c>
      <c r="D7" s="9">
        <v>637</v>
      </c>
      <c r="E7" s="4" t="e">
        <f t="shared" si="0"/>
        <v>#REF!</v>
      </c>
    </row>
    <row r="8" spans="1:5" x14ac:dyDescent="0.2">
      <c r="B8" s="5" t="s">
        <v>40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AQ594"/>
  <sheetViews>
    <sheetView zoomScaleNormal="100" workbookViewId="0">
      <pane ySplit="1" topLeftCell="A2" activePane="bottomLeft" state="frozen"/>
      <selection pane="bottomLeft" activeCell="E10" sqref="E10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5.7109375" style="6" bestFit="1" customWidth="1"/>
    <col min="9" max="9" width="11.85546875" style="6" bestFit="1" customWidth="1"/>
    <col min="10" max="10" width="34" style="6" customWidth="1"/>
    <col min="11" max="11" width="24" style="6" customWidth="1"/>
    <col min="12" max="12" width="24.5703125" style="12" customWidth="1"/>
    <col min="13" max="13" width="18.28515625" style="6" bestFit="1" customWidth="1"/>
    <col min="14" max="14" width="23.85546875" style="6" bestFit="1" customWidth="1"/>
    <col min="15" max="15" width="80.14062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" style="6" bestFit="1" customWidth="1"/>
    <col min="23" max="23" width="17.85546875" style="6" bestFit="1" customWidth="1"/>
    <col min="24" max="24" width="33.285156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132.42578125" style="6" bestFit="1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65" width="13.5703125" style="6" customWidth="1"/>
    <col min="166" max="16384" width="13.5703125" style="6"/>
  </cols>
  <sheetData>
    <row r="1" spans="1:43" x14ac:dyDescent="0.25">
      <c r="A1" s="43" t="s">
        <v>209</v>
      </c>
      <c r="B1" s="44" t="s">
        <v>210</v>
      </c>
      <c r="C1" s="44" t="s">
        <v>211</v>
      </c>
      <c r="D1" s="44" t="s">
        <v>212</v>
      </c>
      <c r="E1" s="44" t="s">
        <v>213</v>
      </c>
      <c r="F1" s="45" t="s">
        <v>6</v>
      </c>
      <c r="G1" s="45" t="s">
        <v>214</v>
      </c>
      <c r="H1" s="44" t="s">
        <v>215</v>
      </c>
      <c r="I1" s="44" t="s">
        <v>216</v>
      </c>
      <c r="J1" s="44" t="s">
        <v>217</v>
      </c>
      <c r="K1" s="44" t="s">
        <v>218</v>
      </c>
      <c r="L1" s="44" t="s">
        <v>219</v>
      </c>
      <c r="M1" s="44" t="s">
        <v>220</v>
      </c>
      <c r="N1" s="44" t="s">
        <v>221</v>
      </c>
      <c r="O1" s="44" t="s">
        <v>222</v>
      </c>
      <c r="P1" s="44" t="s">
        <v>223</v>
      </c>
      <c r="Q1" s="44" t="s">
        <v>224</v>
      </c>
      <c r="R1" s="44" t="s">
        <v>225</v>
      </c>
      <c r="S1" s="44" t="s">
        <v>3</v>
      </c>
      <c r="T1" s="44" t="s">
        <v>226</v>
      </c>
      <c r="U1" s="44" t="s">
        <v>227</v>
      </c>
      <c r="V1" s="44" t="s">
        <v>228</v>
      </c>
      <c r="W1" s="44" t="s">
        <v>229</v>
      </c>
      <c r="X1" s="44" t="s">
        <v>230</v>
      </c>
      <c r="Y1" s="44" t="s">
        <v>231</v>
      </c>
      <c r="Z1" s="44" t="s">
        <v>232</v>
      </c>
      <c r="AA1" s="44" t="s">
        <v>233</v>
      </c>
      <c r="AB1" s="44" t="s">
        <v>150</v>
      </c>
      <c r="AC1" s="44" t="s">
        <v>234</v>
      </c>
      <c r="AD1" s="44" t="s">
        <v>235</v>
      </c>
      <c r="AE1" s="44" t="s">
        <v>236</v>
      </c>
      <c r="AF1" s="44" t="s">
        <v>237</v>
      </c>
      <c r="AG1" s="44" t="s">
        <v>238</v>
      </c>
      <c r="AH1" s="44" t="s">
        <v>239</v>
      </c>
      <c r="AI1" s="44" t="s">
        <v>240</v>
      </c>
      <c r="AJ1" s="44" t="s">
        <v>241</v>
      </c>
      <c r="AK1" s="45" t="s">
        <v>205</v>
      </c>
      <c r="AL1" s="45" t="s">
        <v>242</v>
      </c>
      <c r="AM1" s="45" t="s">
        <v>243</v>
      </c>
      <c r="AN1" s="45" t="s">
        <v>244</v>
      </c>
      <c r="AO1" s="45" t="s">
        <v>245</v>
      </c>
      <c r="AP1" s="45" t="s">
        <v>246</v>
      </c>
      <c r="AQ1" s="45" t="s">
        <v>247</v>
      </c>
    </row>
    <row r="2" spans="1:43" x14ac:dyDescent="0.25">
      <c r="A2" s="6">
        <v>22887960</v>
      </c>
      <c r="B2" s="6">
        <v>23663383</v>
      </c>
      <c r="C2" s="6" t="s">
        <v>248</v>
      </c>
      <c r="D2" s="14">
        <v>45908.451574074083</v>
      </c>
      <c r="E2" s="14">
        <v>45908.451898148152</v>
      </c>
      <c r="F2" s="6" t="s">
        <v>19</v>
      </c>
      <c r="G2" s="6" t="s">
        <v>19</v>
      </c>
      <c r="H2" s="6" t="s">
        <v>249</v>
      </c>
      <c r="I2" s="6" t="s">
        <v>13</v>
      </c>
      <c r="J2" s="6" t="s">
        <v>250</v>
      </c>
      <c r="K2" s="6" t="s">
        <v>251</v>
      </c>
      <c r="L2" s="6" t="s">
        <v>251</v>
      </c>
      <c r="M2" s="14">
        <v>45908.4375</v>
      </c>
      <c r="N2" s="6">
        <v>4592134</v>
      </c>
      <c r="O2" s="6" t="s">
        <v>91</v>
      </c>
      <c r="P2" s="6" t="s">
        <v>252</v>
      </c>
      <c r="Q2" s="6" t="s">
        <v>253</v>
      </c>
      <c r="R2" s="6" t="s">
        <v>253</v>
      </c>
      <c r="S2" s="6" t="s">
        <v>9</v>
      </c>
      <c r="T2" s="6" t="s">
        <v>254</v>
      </c>
      <c r="U2" s="6" t="s">
        <v>149</v>
      </c>
      <c r="V2" s="6" t="s">
        <v>255</v>
      </c>
      <c r="W2" s="6" t="s">
        <v>91</v>
      </c>
      <c r="X2" s="6" t="s">
        <v>91</v>
      </c>
      <c r="Y2" s="6" t="s">
        <v>91</v>
      </c>
      <c r="Z2" s="6" t="s">
        <v>88</v>
      </c>
      <c r="AA2" s="6" t="s">
        <v>91</v>
      </c>
      <c r="AB2" s="6">
        <v>10717.28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256</v>
      </c>
      <c r="AJ2" s="6" t="s">
        <v>257</v>
      </c>
      <c r="AK2" s="6" t="s">
        <v>13</v>
      </c>
      <c r="AL2" s="6" t="s">
        <v>48</v>
      </c>
      <c r="AM2" s="6" t="s">
        <v>258</v>
      </c>
      <c r="AN2" s="6" t="s">
        <v>20</v>
      </c>
      <c r="AO2" s="6" t="s">
        <v>259</v>
      </c>
      <c r="AP2" s="6" t="s">
        <v>260</v>
      </c>
      <c r="AQ2" s="6" t="s">
        <v>31</v>
      </c>
    </row>
    <row r="3" spans="1:43" x14ac:dyDescent="0.25">
      <c r="A3" s="6">
        <v>22870211</v>
      </c>
      <c r="B3" s="6">
        <v>23649476</v>
      </c>
      <c r="C3" s="6" t="s">
        <v>248</v>
      </c>
      <c r="D3" s="14">
        <v>45904.76798611111</v>
      </c>
      <c r="E3" s="14">
        <v>45904.772511574083</v>
      </c>
      <c r="F3" s="6" t="s">
        <v>21</v>
      </c>
      <c r="G3" s="6" t="s">
        <v>21</v>
      </c>
      <c r="H3" s="6" t="s">
        <v>261</v>
      </c>
      <c r="I3" s="6" t="s">
        <v>13</v>
      </c>
      <c r="J3" s="6" t="s">
        <v>262</v>
      </c>
      <c r="K3" s="6" t="s">
        <v>251</v>
      </c>
      <c r="L3" s="6" t="s">
        <v>251</v>
      </c>
      <c r="M3" s="14">
        <v>45897.408333333333</v>
      </c>
      <c r="N3" s="6">
        <v>4581282</v>
      </c>
      <c r="O3" s="6" t="s">
        <v>91</v>
      </c>
      <c r="P3" s="6" t="s">
        <v>252</v>
      </c>
      <c r="Q3" s="6" t="s">
        <v>253</v>
      </c>
      <c r="R3" s="6" t="s">
        <v>253</v>
      </c>
      <c r="S3" s="6" t="s">
        <v>9</v>
      </c>
      <c r="T3" s="6" t="s">
        <v>254</v>
      </c>
      <c r="U3" s="6" t="s">
        <v>149</v>
      </c>
      <c r="V3" s="6" t="s">
        <v>255</v>
      </c>
      <c r="W3" s="6" t="s">
        <v>91</v>
      </c>
      <c r="X3" s="6" t="s">
        <v>91</v>
      </c>
      <c r="Y3" s="6" t="s">
        <v>91</v>
      </c>
      <c r="Z3" s="6" t="s">
        <v>88</v>
      </c>
      <c r="AA3" s="6" t="s">
        <v>91</v>
      </c>
      <c r="AB3" s="6">
        <v>11945.44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 t="s">
        <v>263</v>
      </c>
      <c r="AJ3" s="6" t="s">
        <v>257</v>
      </c>
      <c r="AK3" s="6" t="s">
        <v>13</v>
      </c>
      <c r="AL3" s="6" t="s">
        <v>48</v>
      </c>
      <c r="AM3" s="6" t="s">
        <v>258</v>
      </c>
      <c r="AN3" s="6" t="s">
        <v>20</v>
      </c>
      <c r="AO3" s="6" t="s">
        <v>259</v>
      </c>
      <c r="AP3" s="6" t="s">
        <v>260</v>
      </c>
      <c r="AQ3" s="6" t="s">
        <v>31</v>
      </c>
    </row>
    <row r="4" spans="1:43" x14ac:dyDescent="0.25">
      <c r="A4" s="6">
        <v>22869716</v>
      </c>
      <c r="B4" s="6">
        <v>23649009</v>
      </c>
      <c r="C4" s="6" t="s">
        <v>248</v>
      </c>
      <c r="D4" s="14">
        <v>45904.739710648151</v>
      </c>
      <c r="E4" s="14">
        <v>45904.74359953704</v>
      </c>
      <c r="F4" s="6" t="s">
        <v>21</v>
      </c>
      <c r="G4" s="6" t="s">
        <v>21</v>
      </c>
      <c r="H4" s="6" t="s">
        <v>264</v>
      </c>
      <c r="I4" s="6" t="s">
        <v>13</v>
      </c>
      <c r="J4" s="6" t="s">
        <v>265</v>
      </c>
      <c r="K4" s="6" t="s">
        <v>266</v>
      </c>
      <c r="L4" s="6" t="s">
        <v>266</v>
      </c>
      <c r="M4" s="14">
        <v>45904.73333333333</v>
      </c>
      <c r="N4" s="6">
        <v>4592452</v>
      </c>
      <c r="O4" s="6" t="s">
        <v>267</v>
      </c>
      <c r="P4" s="6" t="s">
        <v>252</v>
      </c>
      <c r="Q4" s="6" t="s">
        <v>268</v>
      </c>
      <c r="R4" s="6" t="s">
        <v>269</v>
      </c>
      <c r="S4" s="6" t="s">
        <v>8</v>
      </c>
      <c r="T4" s="6" t="s">
        <v>254</v>
      </c>
      <c r="U4" s="6" t="s">
        <v>149</v>
      </c>
      <c r="V4" s="6" t="s">
        <v>270</v>
      </c>
      <c r="W4" s="6" t="s">
        <v>91</v>
      </c>
      <c r="X4" s="6" t="s">
        <v>91</v>
      </c>
      <c r="Y4" s="6" t="s">
        <v>91</v>
      </c>
      <c r="Z4" s="6" t="s">
        <v>88</v>
      </c>
      <c r="AA4" s="6" t="s">
        <v>91</v>
      </c>
      <c r="AB4" s="6">
        <v>489.99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271</v>
      </c>
      <c r="AJ4" s="6" t="s">
        <v>257</v>
      </c>
      <c r="AK4" s="6" t="s">
        <v>13</v>
      </c>
      <c r="AL4" s="6" t="s">
        <v>48</v>
      </c>
      <c r="AM4" s="6" t="s">
        <v>258</v>
      </c>
      <c r="AN4" s="6" t="s">
        <v>20</v>
      </c>
      <c r="AO4" s="6" t="s">
        <v>272</v>
      </c>
      <c r="AP4" s="6" t="s">
        <v>273</v>
      </c>
      <c r="AQ4" s="6" t="s">
        <v>18</v>
      </c>
    </row>
    <row r="5" spans="1:43" x14ac:dyDescent="0.25">
      <c r="A5" s="6">
        <v>22857819</v>
      </c>
      <c r="B5" s="6">
        <v>23638427</v>
      </c>
      <c r="C5" s="6" t="s">
        <v>248</v>
      </c>
      <c r="D5" s="14">
        <v>45902.928310185183</v>
      </c>
      <c r="E5" s="14">
        <v>45902.931018518517</v>
      </c>
      <c r="F5" s="6" t="s">
        <v>23</v>
      </c>
      <c r="G5" s="6" t="s">
        <v>23</v>
      </c>
      <c r="H5" s="6">
        <v>19824600</v>
      </c>
      <c r="I5" s="6" t="s">
        <v>13</v>
      </c>
      <c r="J5" s="6" t="s">
        <v>274</v>
      </c>
      <c r="K5" s="6" t="s">
        <v>275</v>
      </c>
      <c r="L5" s="6" t="s">
        <v>275</v>
      </c>
      <c r="M5" s="14">
        <v>45902.53125</v>
      </c>
      <c r="N5" s="6">
        <v>4591476</v>
      </c>
      <c r="O5" s="6" t="s">
        <v>91</v>
      </c>
      <c r="P5" s="6" t="s">
        <v>276</v>
      </c>
      <c r="Q5" s="6" t="s">
        <v>253</v>
      </c>
      <c r="R5" s="6" t="s">
        <v>253</v>
      </c>
      <c r="S5" s="6" t="s">
        <v>9</v>
      </c>
      <c r="T5" s="6" t="s">
        <v>254</v>
      </c>
      <c r="U5" s="6" t="s">
        <v>149</v>
      </c>
      <c r="V5" s="6" t="s">
        <v>270</v>
      </c>
      <c r="W5" s="6" t="s">
        <v>91</v>
      </c>
      <c r="X5" s="6" t="s">
        <v>91</v>
      </c>
      <c r="Y5" s="6" t="s">
        <v>91</v>
      </c>
      <c r="Z5" s="6" t="s">
        <v>88</v>
      </c>
      <c r="AA5" s="6" t="s">
        <v>91</v>
      </c>
      <c r="AB5" s="6">
        <v>230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277</v>
      </c>
      <c r="AJ5" s="6" t="s">
        <v>257</v>
      </c>
      <c r="AK5" s="6" t="s">
        <v>13</v>
      </c>
      <c r="AL5" s="6" t="s">
        <v>48</v>
      </c>
      <c r="AM5" s="6" t="s">
        <v>258</v>
      </c>
      <c r="AN5" s="6" t="s">
        <v>20</v>
      </c>
      <c r="AO5" s="6" t="s">
        <v>259</v>
      </c>
      <c r="AP5" s="6" t="s">
        <v>260</v>
      </c>
      <c r="AQ5" s="6" t="s">
        <v>31</v>
      </c>
    </row>
    <row r="6" spans="1:43" x14ac:dyDescent="0.25">
      <c r="A6" s="6">
        <v>22826752</v>
      </c>
      <c r="B6" s="6">
        <v>23612021</v>
      </c>
      <c r="C6" s="6" t="s">
        <v>248</v>
      </c>
      <c r="D6" s="14">
        <v>45897.478171296287</v>
      </c>
      <c r="E6" s="14">
        <v>45897.480266203696</v>
      </c>
      <c r="F6" s="6" t="s">
        <v>23</v>
      </c>
      <c r="G6" s="6" t="s">
        <v>23</v>
      </c>
      <c r="H6" s="6">
        <v>19744454</v>
      </c>
      <c r="I6" s="6" t="s">
        <v>13</v>
      </c>
      <c r="J6" s="6" t="s">
        <v>278</v>
      </c>
      <c r="K6" s="6" t="s">
        <v>275</v>
      </c>
      <c r="L6" s="6" t="s">
        <v>275</v>
      </c>
      <c r="M6" s="14">
        <v>45896.509027777778</v>
      </c>
      <c r="N6" s="6">
        <v>4588818</v>
      </c>
      <c r="O6" s="6" t="s">
        <v>91</v>
      </c>
      <c r="P6" s="6" t="s">
        <v>276</v>
      </c>
      <c r="Q6" s="6" t="s">
        <v>253</v>
      </c>
      <c r="R6" s="6" t="s">
        <v>253</v>
      </c>
      <c r="S6" s="6" t="s">
        <v>9</v>
      </c>
      <c r="T6" s="6" t="s">
        <v>254</v>
      </c>
      <c r="U6" s="6" t="s">
        <v>149</v>
      </c>
      <c r="V6" s="6" t="s">
        <v>270</v>
      </c>
      <c r="W6" s="6" t="s">
        <v>91</v>
      </c>
      <c r="X6" s="6" t="s">
        <v>91</v>
      </c>
      <c r="Y6" s="6" t="s">
        <v>91</v>
      </c>
      <c r="Z6" s="6" t="s">
        <v>88</v>
      </c>
      <c r="AA6" s="6" t="s">
        <v>91</v>
      </c>
      <c r="AB6" s="6">
        <v>1317.8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 t="s">
        <v>279</v>
      </c>
      <c r="AJ6" s="6" t="s">
        <v>257</v>
      </c>
      <c r="AK6" s="6" t="s">
        <v>13</v>
      </c>
      <c r="AL6" s="6" t="s">
        <v>48</v>
      </c>
      <c r="AM6" s="6" t="s">
        <v>258</v>
      </c>
      <c r="AN6" s="6" t="s">
        <v>20</v>
      </c>
      <c r="AO6" s="6" t="s">
        <v>259</v>
      </c>
      <c r="AP6" s="6" t="s">
        <v>260</v>
      </c>
      <c r="AQ6" s="6" t="s">
        <v>31</v>
      </c>
    </row>
    <row r="7" spans="1:43" x14ac:dyDescent="0.25">
      <c r="A7" s="6">
        <v>22866453</v>
      </c>
      <c r="B7" s="6">
        <v>23645608</v>
      </c>
      <c r="C7" s="6" t="s">
        <v>248</v>
      </c>
      <c r="D7" s="14">
        <v>45904.337812500002</v>
      </c>
      <c r="E7" s="14">
        <v>45904.340543981481</v>
      </c>
      <c r="F7" s="6" t="s">
        <v>21</v>
      </c>
      <c r="G7" s="6" t="s">
        <v>21</v>
      </c>
      <c r="H7" s="6">
        <v>19845072</v>
      </c>
      <c r="I7" s="6" t="s">
        <v>13</v>
      </c>
      <c r="J7" s="6" t="s">
        <v>280</v>
      </c>
      <c r="K7" s="6" t="s">
        <v>275</v>
      </c>
      <c r="L7" s="6" t="s">
        <v>275</v>
      </c>
      <c r="M7" s="14">
        <v>45903.579861111109</v>
      </c>
      <c r="N7" s="6">
        <v>4592145</v>
      </c>
      <c r="O7" s="6" t="s">
        <v>91</v>
      </c>
      <c r="P7" s="6" t="s">
        <v>276</v>
      </c>
      <c r="Q7" s="6" t="s">
        <v>253</v>
      </c>
      <c r="R7" s="6" t="s">
        <v>253</v>
      </c>
      <c r="S7" s="6" t="s">
        <v>9</v>
      </c>
      <c r="T7" s="6" t="s">
        <v>254</v>
      </c>
      <c r="U7" s="6" t="s">
        <v>149</v>
      </c>
      <c r="V7" s="6" t="s">
        <v>270</v>
      </c>
      <c r="W7" s="6" t="s">
        <v>91</v>
      </c>
      <c r="X7" s="6" t="s">
        <v>91</v>
      </c>
      <c r="Y7" s="6" t="s">
        <v>91</v>
      </c>
      <c r="Z7" s="6" t="s">
        <v>88</v>
      </c>
      <c r="AA7" s="6" t="s">
        <v>91</v>
      </c>
      <c r="AB7" s="6">
        <v>789.8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 t="s">
        <v>281</v>
      </c>
      <c r="AJ7" s="6" t="s">
        <v>257</v>
      </c>
      <c r="AK7" s="6" t="s">
        <v>13</v>
      </c>
      <c r="AL7" s="6" t="s">
        <v>48</v>
      </c>
      <c r="AM7" s="6" t="s">
        <v>258</v>
      </c>
      <c r="AN7" s="6" t="s">
        <v>20</v>
      </c>
      <c r="AO7" s="6" t="s">
        <v>259</v>
      </c>
      <c r="AP7" s="6" t="s">
        <v>260</v>
      </c>
      <c r="AQ7" s="6" t="s">
        <v>31</v>
      </c>
    </row>
    <row r="8" spans="1:43" x14ac:dyDescent="0.25">
      <c r="A8" s="6">
        <v>22855560</v>
      </c>
      <c r="B8" s="6">
        <v>23636322</v>
      </c>
      <c r="C8" s="6" t="s">
        <v>248</v>
      </c>
      <c r="D8" s="14">
        <v>45902.700659722221</v>
      </c>
      <c r="E8" s="14">
        <v>45902.704479166663</v>
      </c>
      <c r="F8" s="6" t="s">
        <v>23</v>
      </c>
      <c r="G8" s="6" t="s">
        <v>23</v>
      </c>
      <c r="H8" s="6" t="s">
        <v>282</v>
      </c>
      <c r="I8" s="6" t="s">
        <v>16</v>
      </c>
      <c r="J8" s="6" t="s">
        <v>283</v>
      </c>
      <c r="K8" s="6" t="s">
        <v>284</v>
      </c>
      <c r="L8" s="6" t="s">
        <v>284</v>
      </c>
      <c r="M8" s="14">
        <v>45902.603472222218</v>
      </c>
      <c r="N8" s="6" t="s">
        <v>285</v>
      </c>
      <c r="O8" s="6" t="s">
        <v>286</v>
      </c>
      <c r="P8" s="6" t="s">
        <v>276</v>
      </c>
      <c r="Q8" s="6" t="s">
        <v>268</v>
      </c>
      <c r="R8" s="6" t="s">
        <v>269</v>
      </c>
      <c r="S8" s="6" t="s">
        <v>8</v>
      </c>
      <c r="T8" s="6" t="s">
        <v>254</v>
      </c>
      <c r="U8" s="6" t="s">
        <v>119</v>
      </c>
      <c r="V8" s="6" t="s">
        <v>287</v>
      </c>
      <c r="W8" s="6" t="s">
        <v>91</v>
      </c>
      <c r="X8" s="6" t="s">
        <v>91</v>
      </c>
      <c r="Y8" s="6" t="s">
        <v>91</v>
      </c>
      <c r="Z8" s="6" t="s">
        <v>60</v>
      </c>
      <c r="AA8" s="6" t="s">
        <v>91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 t="s">
        <v>288</v>
      </c>
      <c r="AJ8" s="6" t="s">
        <v>257</v>
      </c>
      <c r="AK8" s="6" t="s">
        <v>16</v>
      </c>
      <c r="AL8" s="6" t="s">
        <v>48</v>
      </c>
      <c r="AM8" s="6" t="s">
        <v>258</v>
      </c>
      <c r="AN8" s="6" t="s">
        <v>20</v>
      </c>
      <c r="AO8" s="6" t="s">
        <v>272</v>
      </c>
      <c r="AP8" s="6" t="s">
        <v>273</v>
      </c>
      <c r="AQ8" s="6" t="s">
        <v>18</v>
      </c>
    </row>
    <row r="9" spans="1:43" x14ac:dyDescent="0.25">
      <c r="A9" s="6">
        <v>22909734</v>
      </c>
      <c r="B9" s="6">
        <v>23682970</v>
      </c>
      <c r="C9" s="6" t="s">
        <v>248</v>
      </c>
      <c r="D9" s="14">
        <v>45911.678946759261</v>
      </c>
      <c r="E9" s="14">
        <v>45911.680439814823</v>
      </c>
      <c r="F9" s="6" t="s">
        <v>17</v>
      </c>
      <c r="G9" s="6" t="s">
        <v>17</v>
      </c>
      <c r="H9" s="6" t="s">
        <v>289</v>
      </c>
      <c r="I9" s="6" t="s">
        <v>16</v>
      </c>
      <c r="J9" s="6" t="s">
        <v>290</v>
      </c>
      <c r="K9" s="6" t="s">
        <v>291</v>
      </c>
      <c r="L9" s="6" t="s">
        <v>291</v>
      </c>
      <c r="M9" s="14">
        <v>45911.35833333333</v>
      </c>
      <c r="N9" s="6" t="s">
        <v>292</v>
      </c>
      <c r="O9" s="6" t="s">
        <v>91</v>
      </c>
      <c r="P9" s="6" t="s">
        <v>276</v>
      </c>
      <c r="Q9" s="6" t="s">
        <v>268</v>
      </c>
      <c r="R9" s="6" t="s">
        <v>269</v>
      </c>
      <c r="S9" s="6" t="s">
        <v>9</v>
      </c>
      <c r="T9" s="6" t="s">
        <v>254</v>
      </c>
      <c r="U9" s="6" t="s">
        <v>119</v>
      </c>
      <c r="V9" s="6" t="s">
        <v>287</v>
      </c>
      <c r="W9" s="6" t="s">
        <v>91</v>
      </c>
      <c r="X9" s="6" t="s">
        <v>91</v>
      </c>
      <c r="Y9" s="6" t="s">
        <v>91</v>
      </c>
      <c r="Z9" s="6" t="s">
        <v>60</v>
      </c>
      <c r="AA9" s="6" t="s">
        <v>91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 t="s">
        <v>288</v>
      </c>
      <c r="AJ9" s="6" t="s">
        <v>257</v>
      </c>
      <c r="AK9" s="6" t="s">
        <v>16</v>
      </c>
      <c r="AL9" s="6" t="s">
        <v>48</v>
      </c>
      <c r="AM9" s="6" t="s">
        <v>258</v>
      </c>
      <c r="AN9" s="6" t="s">
        <v>20</v>
      </c>
      <c r="AO9" s="6" t="s">
        <v>272</v>
      </c>
      <c r="AP9" s="6" t="s">
        <v>273</v>
      </c>
      <c r="AQ9" s="6" t="s">
        <v>34</v>
      </c>
    </row>
    <row r="10" spans="1:43" x14ac:dyDescent="0.25">
      <c r="A10" s="6">
        <v>22909739</v>
      </c>
      <c r="B10" s="6">
        <v>23682977</v>
      </c>
      <c r="C10" s="6" t="s">
        <v>248</v>
      </c>
      <c r="D10" s="14">
        <v>45911.679108796299</v>
      </c>
      <c r="E10" s="14">
        <v>45911.680439814823</v>
      </c>
      <c r="F10" s="6" t="s">
        <v>17</v>
      </c>
      <c r="G10" s="6" t="s">
        <v>17</v>
      </c>
      <c r="H10" s="6" t="s">
        <v>293</v>
      </c>
      <c r="I10" s="6" t="s">
        <v>16</v>
      </c>
      <c r="J10" s="6" t="s">
        <v>294</v>
      </c>
      <c r="K10" s="6" t="s">
        <v>291</v>
      </c>
      <c r="L10" s="6" t="s">
        <v>291</v>
      </c>
      <c r="M10" s="14">
        <v>45911.40902777778</v>
      </c>
      <c r="N10" s="6" t="s">
        <v>292</v>
      </c>
      <c r="O10" s="6" t="s">
        <v>91</v>
      </c>
      <c r="P10" s="6" t="s">
        <v>276</v>
      </c>
      <c r="Q10" s="6" t="s">
        <v>268</v>
      </c>
      <c r="R10" s="6" t="s">
        <v>269</v>
      </c>
      <c r="S10" s="6" t="s">
        <v>9</v>
      </c>
      <c r="T10" s="6" t="s">
        <v>254</v>
      </c>
      <c r="U10" s="6" t="s">
        <v>119</v>
      </c>
      <c r="V10" s="6" t="s">
        <v>287</v>
      </c>
      <c r="W10" s="6" t="s">
        <v>91</v>
      </c>
      <c r="X10" s="6" t="s">
        <v>91</v>
      </c>
      <c r="Y10" s="6" t="s">
        <v>91</v>
      </c>
      <c r="Z10" s="6" t="s">
        <v>60</v>
      </c>
      <c r="AA10" s="6" t="s">
        <v>91</v>
      </c>
      <c r="AB10" s="6">
        <v>612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 t="s">
        <v>288</v>
      </c>
      <c r="AJ10" s="6" t="s">
        <v>257</v>
      </c>
      <c r="AK10" s="6" t="s">
        <v>16</v>
      </c>
      <c r="AL10" s="6" t="s">
        <v>48</v>
      </c>
      <c r="AM10" s="6" t="s">
        <v>258</v>
      </c>
      <c r="AN10" s="6" t="s">
        <v>20</v>
      </c>
      <c r="AO10" s="6" t="s">
        <v>272</v>
      </c>
      <c r="AP10" s="6" t="s">
        <v>273</v>
      </c>
      <c r="AQ10" s="6" t="s">
        <v>34</v>
      </c>
    </row>
    <row r="11" spans="1:43" x14ac:dyDescent="0.25">
      <c r="A11" s="6">
        <v>22909743</v>
      </c>
      <c r="B11" s="6">
        <v>23682982</v>
      </c>
      <c r="C11" s="6" t="s">
        <v>248</v>
      </c>
      <c r="D11" s="14">
        <v>45911.67931712963</v>
      </c>
      <c r="E11" s="14">
        <v>45911.680439814823</v>
      </c>
      <c r="F11" s="6" t="s">
        <v>17</v>
      </c>
      <c r="G11" s="6" t="s">
        <v>17</v>
      </c>
      <c r="H11" s="6" t="s">
        <v>295</v>
      </c>
      <c r="I11" s="6" t="s">
        <v>16</v>
      </c>
      <c r="J11" s="6" t="s">
        <v>296</v>
      </c>
      <c r="K11" s="6" t="s">
        <v>291</v>
      </c>
      <c r="L11" s="6" t="s">
        <v>291</v>
      </c>
      <c r="M11" s="14">
        <v>45911.512499999997</v>
      </c>
      <c r="N11" s="6" t="s">
        <v>292</v>
      </c>
      <c r="O11" s="6" t="s">
        <v>91</v>
      </c>
      <c r="P11" s="6" t="s">
        <v>276</v>
      </c>
      <c r="Q11" s="6" t="s">
        <v>268</v>
      </c>
      <c r="R11" s="6" t="s">
        <v>269</v>
      </c>
      <c r="S11" s="6" t="s">
        <v>9</v>
      </c>
      <c r="T11" s="6" t="s">
        <v>254</v>
      </c>
      <c r="U11" s="6" t="s">
        <v>119</v>
      </c>
      <c r="V11" s="6" t="s">
        <v>287</v>
      </c>
      <c r="W11" s="6" t="s">
        <v>91</v>
      </c>
      <c r="X11" s="6" t="s">
        <v>91</v>
      </c>
      <c r="Y11" s="6" t="s">
        <v>91</v>
      </c>
      <c r="Z11" s="6" t="s">
        <v>60</v>
      </c>
      <c r="AA11" s="6" t="s">
        <v>91</v>
      </c>
      <c r="AB11" s="6">
        <v>612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 t="s">
        <v>288</v>
      </c>
      <c r="AJ11" s="6" t="s">
        <v>257</v>
      </c>
      <c r="AK11" s="6" t="s">
        <v>16</v>
      </c>
      <c r="AL11" s="6" t="s">
        <v>48</v>
      </c>
      <c r="AM11" s="6" t="s">
        <v>258</v>
      </c>
      <c r="AN11" s="6" t="s">
        <v>20</v>
      </c>
      <c r="AO11" s="6" t="s">
        <v>272</v>
      </c>
      <c r="AP11" s="6" t="s">
        <v>273</v>
      </c>
      <c r="AQ11" s="6" t="s">
        <v>34</v>
      </c>
    </row>
    <row r="12" spans="1:43" x14ac:dyDescent="0.25">
      <c r="A12" s="6">
        <v>22909748</v>
      </c>
      <c r="B12" s="6">
        <v>23682990</v>
      </c>
      <c r="C12" s="6" t="s">
        <v>248</v>
      </c>
      <c r="D12" s="14">
        <v>45911.679710648154</v>
      </c>
      <c r="E12" s="14">
        <v>45911.683541666673</v>
      </c>
      <c r="F12" s="6" t="s">
        <v>17</v>
      </c>
      <c r="G12" s="6" t="s">
        <v>17</v>
      </c>
      <c r="H12" s="6" t="s">
        <v>297</v>
      </c>
      <c r="I12" s="6" t="s">
        <v>16</v>
      </c>
      <c r="J12" s="6" t="s">
        <v>298</v>
      </c>
      <c r="K12" s="6" t="s">
        <v>291</v>
      </c>
      <c r="L12" s="6" t="s">
        <v>291</v>
      </c>
      <c r="M12" s="14">
        <v>45911.554166666669</v>
      </c>
      <c r="N12" s="6" t="s">
        <v>292</v>
      </c>
      <c r="O12" s="6" t="s">
        <v>91</v>
      </c>
      <c r="P12" s="6" t="s">
        <v>276</v>
      </c>
      <c r="Q12" s="6" t="s">
        <v>268</v>
      </c>
      <c r="R12" s="6" t="s">
        <v>269</v>
      </c>
      <c r="S12" s="6" t="s">
        <v>9</v>
      </c>
      <c r="T12" s="6" t="s">
        <v>254</v>
      </c>
      <c r="U12" s="6" t="s">
        <v>119</v>
      </c>
      <c r="V12" s="6" t="s">
        <v>287</v>
      </c>
      <c r="W12" s="6" t="s">
        <v>91</v>
      </c>
      <c r="X12" s="6" t="s">
        <v>91</v>
      </c>
      <c r="Y12" s="6" t="s">
        <v>91</v>
      </c>
      <c r="Z12" s="6" t="s">
        <v>60</v>
      </c>
      <c r="AA12" s="6" t="s">
        <v>91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 t="s">
        <v>288</v>
      </c>
      <c r="AJ12" s="6" t="s">
        <v>257</v>
      </c>
      <c r="AK12" s="6" t="s">
        <v>16</v>
      </c>
      <c r="AL12" s="6" t="s">
        <v>48</v>
      </c>
      <c r="AM12" s="6" t="s">
        <v>258</v>
      </c>
      <c r="AN12" s="6" t="s">
        <v>20</v>
      </c>
      <c r="AO12" s="6" t="s">
        <v>272</v>
      </c>
      <c r="AP12" s="6" t="s">
        <v>273</v>
      </c>
      <c r="AQ12" s="6" t="s">
        <v>34</v>
      </c>
    </row>
    <row r="13" spans="1:43" x14ac:dyDescent="0.25">
      <c r="A13" s="6">
        <v>22826491</v>
      </c>
      <c r="B13" s="6">
        <v>23611729</v>
      </c>
      <c r="C13" s="6" t="s">
        <v>248</v>
      </c>
      <c r="D13" s="14">
        <v>45897.441493055558</v>
      </c>
      <c r="E13" s="14">
        <v>45897.445243055547</v>
      </c>
      <c r="F13" s="6" t="s">
        <v>23</v>
      </c>
      <c r="G13" s="6" t="s">
        <v>23</v>
      </c>
      <c r="H13" s="6">
        <v>19759826</v>
      </c>
      <c r="I13" s="6" t="s">
        <v>13</v>
      </c>
      <c r="J13" s="6" t="s">
        <v>299</v>
      </c>
      <c r="K13" s="6" t="s">
        <v>300</v>
      </c>
      <c r="L13" s="6" t="s">
        <v>300</v>
      </c>
      <c r="M13" s="14">
        <v>45897</v>
      </c>
      <c r="N13" s="6">
        <v>4588558</v>
      </c>
      <c r="O13" s="6" t="s">
        <v>91</v>
      </c>
      <c r="P13" s="6" t="s">
        <v>252</v>
      </c>
      <c r="Q13" s="6" t="s">
        <v>253</v>
      </c>
      <c r="R13" s="6" t="s">
        <v>253</v>
      </c>
      <c r="S13" s="6" t="s">
        <v>9</v>
      </c>
      <c r="T13" s="6" t="s">
        <v>254</v>
      </c>
      <c r="U13" s="6" t="s">
        <v>148</v>
      </c>
      <c r="V13" s="6" t="s">
        <v>301</v>
      </c>
      <c r="W13" s="6" t="s">
        <v>91</v>
      </c>
      <c r="X13" s="6" t="s">
        <v>91</v>
      </c>
      <c r="Y13" s="6" t="s">
        <v>91</v>
      </c>
      <c r="Z13" s="6" t="s">
        <v>87</v>
      </c>
      <c r="AA13" s="6" t="s">
        <v>91</v>
      </c>
      <c r="AB13" s="6">
        <v>920</v>
      </c>
      <c r="AC13" s="6">
        <v>27.6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 t="s">
        <v>302</v>
      </c>
      <c r="AJ13" s="6" t="s">
        <v>257</v>
      </c>
      <c r="AK13" s="6" t="s">
        <v>13</v>
      </c>
      <c r="AL13" s="6" t="s">
        <v>48</v>
      </c>
      <c r="AM13" s="6" t="s">
        <v>258</v>
      </c>
      <c r="AN13" s="6" t="s">
        <v>20</v>
      </c>
      <c r="AO13" s="6" t="s">
        <v>259</v>
      </c>
      <c r="AP13" s="6" t="s">
        <v>260</v>
      </c>
      <c r="AQ13" s="6" t="s">
        <v>31</v>
      </c>
    </row>
    <row r="14" spans="1:43" x14ac:dyDescent="0.25">
      <c r="A14" s="6">
        <v>22900840</v>
      </c>
      <c r="B14" s="6">
        <v>23675031</v>
      </c>
      <c r="C14" s="6" t="s">
        <v>248</v>
      </c>
      <c r="D14" s="14">
        <v>45910.414594907408</v>
      </c>
      <c r="E14" s="14">
        <v>45910.418055555558</v>
      </c>
      <c r="F14" s="6" t="s">
        <v>17</v>
      </c>
      <c r="G14" s="6" t="s">
        <v>17</v>
      </c>
      <c r="H14" s="6" t="s">
        <v>303</v>
      </c>
      <c r="I14" s="6" t="s">
        <v>13</v>
      </c>
      <c r="J14" s="6" t="s">
        <v>304</v>
      </c>
      <c r="K14" s="6" t="s">
        <v>300</v>
      </c>
      <c r="L14" s="6" t="s">
        <v>300</v>
      </c>
      <c r="M14" s="14">
        <v>45910.408333333333</v>
      </c>
      <c r="N14" s="6">
        <v>4595261</v>
      </c>
      <c r="O14" s="6" t="s">
        <v>305</v>
      </c>
      <c r="P14" s="6" t="s">
        <v>252</v>
      </c>
      <c r="Q14" s="6" t="s">
        <v>268</v>
      </c>
      <c r="R14" s="6" t="s">
        <v>269</v>
      </c>
      <c r="S14" s="6" t="s">
        <v>8</v>
      </c>
      <c r="T14" s="6" t="s">
        <v>254</v>
      </c>
      <c r="U14" s="6" t="s">
        <v>148</v>
      </c>
      <c r="V14" s="6" t="s">
        <v>301</v>
      </c>
      <c r="W14" s="6" t="s">
        <v>91</v>
      </c>
      <c r="X14" s="6" t="s">
        <v>91</v>
      </c>
      <c r="Y14" s="6" t="s">
        <v>91</v>
      </c>
      <c r="Z14" s="6" t="s">
        <v>87</v>
      </c>
      <c r="AA14" s="6" t="s">
        <v>91</v>
      </c>
      <c r="AB14" s="6">
        <v>3409.02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 t="s">
        <v>306</v>
      </c>
      <c r="AJ14" s="6" t="s">
        <v>257</v>
      </c>
      <c r="AK14" s="6" t="s">
        <v>13</v>
      </c>
      <c r="AL14" s="6" t="s">
        <v>48</v>
      </c>
      <c r="AM14" s="6" t="s">
        <v>258</v>
      </c>
      <c r="AN14" s="6" t="s">
        <v>20</v>
      </c>
      <c r="AO14" s="6" t="s">
        <v>272</v>
      </c>
      <c r="AP14" s="6" t="s">
        <v>273</v>
      </c>
      <c r="AQ14" s="6" t="s">
        <v>18</v>
      </c>
    </row>
    <row r="15" spans="1:43" x14ac:dyDescent="0.25">
      <c r="A15" s="6">
        <v>22847982</v>
      </c>
      <c r="B15" s="6">
        <v>23629529</v>
      </c>
      <c r="C15" s="6" t="s">
        <v>248</v>
      </c>
      <c r="D15" s="14">
        <v>45901.553935185177</v>
      </c>
      <c r="E15" s="14">
        <v>45901.555891203701</v>
      </c>
      <c r="F15" s="6" t="s">
        <v>23</v>
      </c>
      <c r="G15" s="6" t="s">
        <v>23</v>
      </c>
      <c r="H15" s="6">
        <v>19803803</v>
      </c>
      <c r="I15" s="6" t="s">
        <v>13</v>
      </c>
      <c r="J15" s="6" t="s">
        <v>299</v>
      </c>
      <c r="K15" s="6" t="s">
        <v>300</v>
      </c>
      <c r="L15" s="6" t="s">
        <v>300</v>
      </c>
      <c r="M15" s="14">
        <v>45901.546527777777</v>
      </c>
      <c r="N15" s="6">
        <v>4590452</v>
      </c>
      <c r="O15" s="6" t="s">
        <v>91</v>
      </c>
      <c r="P15" s="6" t="s">
        <v>252</v>
      </c>
      <c r="Q15" s="6" t="s">
        <v>253</v>
      </c>
      <c r="R15" s="6" t="s">
        <v>253</v>
      </c>
      <c r="S15" s="6" t="s">
        <v>9</v>
      </c>
      <c r="T15" s="6" t="s">
        <v>254</v>
      </c>
      <c r="U15" s="6" t="s">
        <v>148</v>
      </c>
      <c r="V15" s="6" t="s">
        <v>301</v>
      </c>
      <c r="W15" s="6" t="s">
        <v>91</v>
      </c>
      <c r="X15" s="6" t="s">
        <v>91</v>
      </c>
      <c r="Y15" s="6" t="s">
        <v>91</v>
      </c>
      <c r="Z15" s="6" t="s">
        <v>87</v>
      </c>
      <c r="AA15" s="6" t="s">
        <v>91</v>
      </c>
      <c r="AB15" s="6">
        <v>920</v>
      </c>
      <c r="AC15" s="6">
        <v>27.6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 t="s">
        <v>307</v>
      </c>
      <c r="AJ15" s="6" t="s">
        <v>257</v>
      </c>
      <c r="AK15" s="6" t="s">
        <v>13</v>
      </c>
      <c r="AL15" s="6" t="s">
        <v>48</v>
      </c>
      <c r="AM15" s="6" t="s">
        <v>258</v>
      </c>
      <c r="AN15" s="6" t="s">
        <v>20</v>
      </c>
      <c r="AO15" s="6" t="s">
        <v>259</v>
      </c>
      <c r="AP15" s="6" t="s">
        <v>260</v>
      </c>
      <c r="AQ15" s="6" t="s">
        <v>31</v>
      </c>
    </row>
    <row r="16" spans="1:43" x14ac:dyDescent="0.25">
      <c r="A16" s="6">
        <v>22793709</v>
      </c>
      <c r="B16" s="6">
        <v>23584510</v>
      </c>
      <c r="C16" s="6" t="s">
        <v>248</v>
      </c>
      <c r="D16" s="14">
        <v>45891.671747685177</v>
      </c>
      <c r="E16" s="14">
        <v>45891.674247685187</v>
      </c>
      <c r="F16" s="46" t="s">
        <v>25</v>
      </c>
      <c r="G16" s="46" t="s">
        <v>25</v>
      </c>
      <c r="H16" s="6">
        <v>19688872</v>
      </c>
      <c r="I16" s="6" t="s">
        <v>13</v>
      </c>
      <c r="J16" s="6" t="s">
        <v>308</v>
      </c>
      <c r="K16" s="6" t="s">
        <v>275</v>
      </c>
      <c r="L16" s="6" t="s">
        <v>275</v>
      </c>
      <c r="M16" s="14">
        <v>45891.65625</v>
      </c>
      <c r="N16" s="6">
        <v>4586749</v>
      </c>
      <c r="O16" s="6" t="s">
        <v>91</v>
      </c>
      <c r="P16" s="6" t="s">
        <v>276</v>
      </c>
      <c r="Q16" s="6" t="s">
        <v>253</v>
      </c>
      <c r="R16" s="6" t="s">
        <v>253</v>
      </c>
      <c r="S16" s="6" t="s">
        <v>9</v>
      </c>
      <c r="T16" s="6" t="s">
        <v>254</v>
      </c>
      <c r="U16" s="6" t="s">
        <v>148</v>
      </c>
      <c r="V16" s="6" t="s">
        <v>301</v>
      </c>
      <c r="W16" s="6" t="s">
        <v>91</v>
      </c>
      <c r="X16" s="6" t="s">
        <v>91</v>
      </c>
      <c r="Y16" s="6" t="s">
        <v>91</v>
      </c>
      <c r="Z16" s="6" t="s">
        <v>87</v>
      </c>
      <c r="AA16" s="6" t="s">
        <v>91</v>
      </c>
      <c r="AB16" s="6">
        <v>219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309</v>
      </c>
      <c r="AJ16" s="6" t="s">
        <v>257</v>
      </c>
      <c r="AK16" s="6" t="s">
        <v>13</v>
      </c>
      <c r="AL16" s="6" t="s">
        <v>48</v>
      </c>
      <c r="AM16" s="6" t="s">
        <v>258</v>
      </c>
      <c r="AN16" s="6" t="s">
        <v>20</v>
      </c>
      <c r="AO16" s="6" t="s">
        <v>259</v>
      </c>
      <c r="AP16" s="6" t="s">
        <v>260</v>
      </c>
      <c r="AQ16" s="6" t="s">
        <v>31</v>
      </c>
    </row>
    <row r="17" spans="1:43" x14ac:dyDescent="0.25">
      <c r="A17" s="6">
        <v>22814724</v>
      </c>
      <c r="B17" s="6">
        <v>23601488</v>
      </c>
      <c r="C17" s="6" t="s">
        <v>248</v>
      </c>
      <c r="D17" s="14">
        <v>45895.642638888887</v>
      </c>
      <c r="E17" s="14">
        <v>45895.646817129629</v>
      </c>
      <c r="F17" s="46" t="s">
        <v>25</v>
      </c>
      <c r="G17" s="46" t="s">
        <v>25</v>
      </c>
      <c r="H17" s="6">
        <v>1174169057179</v>
      </c>
      <c r="I17" s="6" t="s">
        <v>13</v>
      </c>
      <c r="J17" s="6" t="s">
        <v>310</v>
      </c>
      <c r="K17" s="6" t="s">
        <v>275</v>
      </c>
      <c r="L17" s="6" t="s">
        <v>275</v>
      </c>
      <c r="M17" s="14">
        <v>45895.666666666657</v>
      </c>
      <c r="N17" s="6">
        <v>4588255</v>
      </c>
      <c r="O17" s="6" t="s">
        <v>91</v>
      </c>
      <c r="P17" s="6" t="s">
        <v>252</v>
      </c>
      <c r="Q17" s="6" t="s">
        <v>268</v>
      </c>
      <c r="R17" s="6" t="s">
        <v>269</v>
      </c>
      <c r="S17" s="6" t="s">
        <v>9</v>
      </c>
      <c r="T17" s="6" t="s">
        <v>254</v>
      </c>
      <c r="U17" s="6" t="s">
        <v>148</v>
      </c>
      <c r="V17" s="6" t="s">
        <v>301</v>
      </c>
      <c r="W17" s="6" t="s">
        <v>91</v>
      </c>
      <c r="X17" s="6" t="s">
        <v>91</v>
      </c>
      <c r="Y17" s="6" t="s">
        <v>91</v>
      </c>
      <c r="Z17" s="6" t="s">
        <v>87</v>
      </c>
      <c r="AA17" s="6" t="s">
        <v>91</v>
      </c>
      <c r="AB17" s="6">
        <v>440</v>
      </c>
      <c r="AC17" s="6">
        <v>33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 t="s">
        <v>311</v>
      </c>
      <c r="AJ17" s="6" t="s">
        <v>257</v>
      </c>
      <c r="AK17" s="6" t="s">
        <v>13</v>
      </c>
      <c r="AL17" s="6" t="s">
        <v>48</v>
      </c>
      <c r="AM17" s="6" t="s">
        <v>258</v>
      </c>
      <c r="AN17" s="6" t="s">
        <v>20</v>
      </c>
      <c r="AO17" s="6" t="s">
        <v>259</v>
      </c>
      <c r="AP17" s="6" t="s">
        <v>260</v>
      </c>
      <c r="AQ17" s="6" t="s">
        <v>31</v>
      </c>
    </row>
    <row r="18" spans="1:43" x14ac:dyDescent="0.25">
      <c r="A18" s="6">
        <v>22875885</v>
      </c>
      <c r="B18" s="6">
        <v>23654426</v>
      </c>
      <c r="C18" s="6" t="s">
        <v>248</v>
      </c>
      <c r="D18" s="14">
        <v>45905.656736111108</v>
      </c>
      <c r="E18" s="14">
        <v>45905.660474537042</v>
      </c>
      <c r="F18" s="6" t="s">
        <v>21</v>
      </c>
      <c r="G18" s="6" t="s">
        <v>21</v>
      </c>
      <c r="H18" s="6">
        <v>19881389</v>
      </c>
      <c r="I18" s="6" t="s">
        <v>13</v>
      </c>
      <c r="J18" s="6" t="s">
        <v>312</v>
      </c>
      <c r="K18" s="6" t="s">
        <v>275</v>
      </c>
      <c r="L18" s="6" t="s">
        <v>275</v>
      </c>
      <c r="M18" s="14">
        <v>45905.572916666657</v>
      </c>
      <c r="N18" s="6">
        <v>4593452</v>
      </c>
      <c r="O18" s="6" t="s">
        <v>91</v>
      </c>
      <c r="P18" s="6" t="s">
        <v>276</v>
      </c>
      <c r="Q18" s="6" t="s">
        <v>253</v>
      </c>
      <c r="R18" s="6" t="s">
        <v>253</v>
      </c>
      <c r="S18" s="6" t="s">
        <v>9</v>
      </c>
      <c r="T18" s="6" t="s">
        <v>254</v>
      </c>
      <c r="U18" s="6" t="s">
        <v>148</v>
      </c>
      <c r="V18" s="6" t="s">
        <v>301</v>
      </c>
      <c r="W18" s="6" t="s">
        <v>91</v>
      </c>
      <c r="X18" s="6" t="s">
        <v>91</v>
      </c>
      <c r="Y18" s="6" t="s">
        <v>91</v>
      </c>
      <c r="Z18" s="6" t="s">
        <v>87</v>
      </c>
      <c r="AA18" s="6" t="s">
        <v>91</v>
      </c>
      <c r="AB18" s="6">
        <v>1288</v>
      </c>
      <c r="AC18" s="6">
        <v>32.200000000000003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 t="s">
        <v>313</v>
      </c>
      <c r="AJ18" s="6" t="s">
        <v>257</v>
      </c>
      <c r="AK18" s="6" t="s">
        <v>13</v>
      </c>
      <c r="AL18" s="6" t="s">
        <v>48</v>
      </c>
      <c r="AM18" s="6" t="s">
        <v>258</v>
      </c>
      <c r="AN18" s="6" t="s">
        <v>20</v>
      </c>
      <c r="AO18" s="6" t="s">
        <v>259</v>
      </c>
      <c r="AP18" s="6" t="s">
        <v>260</v>
      </c>
      <c r="AQ18" s="6" t="s">
        <v>31</v>
      </c>
    </row>
    <row r="19" spans="1:43" x14ac:dyDescent="0.25">
      <c r="A19" s="6">
        <v>22787117</v>
      </c>
      <c r="B19" s="6">
        <v>23578675</v>
      </c>
      <c r="C19" s="6" t="s">
        <v>248</v>
      </c>
      <c r="D19" s="14">
        <v>45890.753240740742</v>
      </c>
      <c r="E19" s="14">
        <v>45902.552615740737</v>
      </c>
      <c r="F19" s="6" t="s">
        <v>23</v>
      </c>
      <c r="G19" s="6" t="s">
        <v>25</v>
      </c>
      <c r="H19" s="6" t="s">
        <v>314</v>
      </c>
      <c r="I19" s="6" t="s">
        <v>13</v>
      </c>
      <c r="J19" s="6" t="s">
        <v>315</v>
      </c>
      <c r="K19" s="6" t="s">
        <v>316</v>
      </c>
      <c r="L19" s="6" t="s">
        <v>316</v>
      </c>
      <c r="M19" s="14">
        <v>45890.747916666667</v>
      </c>
      <c r="N19" s="6">
        <v>4585211</v>
      </c>
      <c r="O19" s="6" t="s">
        <v>317</v>
      </c>
      <c r="P19" s="6" t="s">
        <v>252</v>
      </c>
      <c r="Q19" s="6" t="s">
        <v>318</v>
      </c>
      <c r="R19" s="6" t="s">
        <v>318</v>
      </c>
      <c r="S19" s="6" t="s">
        <v>8</v>
      </c>
      <c r="T19" s="6" t="s">
        <v>254</v>
      </c>
      <c r="U19" s="6" t="s">
        <v>164</v>
      </c>
      <c r="V19" s="6" t="s">
        <v>319</v>
      </c>
      <c r="W19" s="6" t="s">
        <v>91</v>
      </c>
      <c r="X19" s="6" t="s">
        <v>91</v>
      </c>
      <c r="Y19" s="6" t="s">
        <v>91</v>
      </c>
      <c r="Z19" s="6" t="s">
        <v>83</v>
      </c>
      <c r="AA19" s="6" t="s">
        <v>91</v>
      </c>
      <c r="AB19" s="6">
        <v>128.74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320</v>
      </c>
      <c r="AJ19" s="6" t="s">
        <v>257</v>
      </c>
      <c r="AK19" s="6" t="s">
        <v>13</v>
      </c>
      <c r="AL19" s="6" t="s">
        <v>48</v>
      </c>
      <c r="AM19" s="6" t="s">
        <v>258</v>
      </c>
      <c r="AN19" s="6" t="s">
        <v>20</v>
      </c>
      <c r="AO19" s="6" t="s">
        <v>272</v>
      </c>
      <c r="AP19" s="6" t="s">
        <v>273</v>
      </c>
      <c r="AQ19" s="6" t="s">
        <v>18</v>
      </c>
    </row>
    <row r="20" spans="1:43" x14ac:dyDescent="0.25">
      <c r="A20" s="6">
        <v>22909385</v>
      </c>
      <c r="B20" s="6">
        <v>23682586</v>
      </c>
      <c r="C20" s="6" t="s">
        <v>248</v>
      </c>
      <c r="D20" s="14">
        <v>45911.636365740742</v>
      </c>
      <c r="E20" s="14">
        <v>45911.640289351853</v>
      </c>
      <c r="F20" s="6" t="s">
        <v>17</v>
      </c>
      <c r="G20" s="6" t="s">
        <v>17</v>
      </c>
      <c r="H20" s="6" t="s">
        <v>321</v>
      </c>
      <c r="I20" s="6" t="s">
        <v>13</v>
      </c>
      <c r="J20" s="6" t="s">
        <v>322</v>
      </c>
      <c r="K20" s="6" t="s">
        <v>316</v>
      </c>
      <c r="L20" s="6" t="s">
        <v>316</v>
      </c>
      <c r="M20" s="14">
        <v>45911.631249999999</v>
      </c>
      <c r="N20" s="6">
        <v>4595912</v>
      </c>
      <c r="O20" s="6" t="s">
        <v>317</v>
      </c>
      <c r="P20" s="6" t="s">
        <v>252</v>
      </c>
      <c r="Q20" s="6" t="s">
        <v>318</v>
      </c>
      <c r="R20" s="6" t="s">
        <v>318</v>
      </c>
      <c r="S20" s="6" t="s">
        <v>8</v>
      </c>
      <c r="T20" s="6" t="s">
        <v>254</v>
      </c>
      <c r="U20" s="6" t="s">
        <v>164</v>
      </c>
      <c r="V20" s="6" t="s">
        <v>323</v>
      </c>
      <c r="W20" s="6" t="s">
        <v>91</v>
      </c>
      <c r="X20" s="6" t="s">
        <v>91</v>
      </c>
      <c r="Y20" s="6" t="s">
        <v>91</v>
      </c>
      <c r="Z20" s="6" t="s">
        <v>83</v>
      </c>
      <c r="AA20" s="6" t="s">
        <v>91</v>
      </c>
      <c r="AB20" s="6">
        <v>162.06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 t="s">
        <v>324</v>
      </c>
      <c r="AJ20" s="6" t="s">
        <v>257</v>
      </c>
      <c r="AK20" s="6" t="s">
        <v>13</v>
      </c>
      <c r="AL20" s="6" t="s">
        <v>48</v>
      </c>
      <c r="AM20" s="6" t="s">
        <v>258</v>
      </c>
      <c r="AN20" s="6" t="s">
        <v>20</v>
      </c>
      <c r="AO20" s="6" t="s">
        <v>272</v>
      </c>
      <c r="AP20" s="6" t="s">
        <v>273</v>
      </c>
      <c r="AQ20" s="6" t="s">
        <v>18</v>
      </c>
    </row>
    <row r="21" spans="1:43" x14ac:dyDescent="0.25">
      <c r="A21" s="6">
        <v>22869440</v>
      </c>
      <c r="B21" s="6">
        <v>23648741</v>
      </c>
      <c r="C21" s="6" t="s">
        <v>248</v>
      </c>
      <c r="D21" s="14">
        <v>45904.71675925926</v>
      </c>
      <c r="E21" s="14">
        <v>45904.724652777782</v>
      </c>
      <c r="F21" s="6" t="s">
        <v>21</v>
      </c>
      <c r="G21" s="6" t="s">
        <v>21</v>
      </c>
      <c r="H21" s="6" t="s">
        <v>325</v>
      </c>
      <c r="I21" s="6" t="s">
        <v>13</v>
      </c>
      <c r="J21" s="6" t="s">
        <v>326</v>
      </c>
      <c r="K21" s="6" t="s">
        <v>316</v>
      </c>
      <c r="L21" s="6" t="s">
        <v>316</v>
      </c>
      <c r="M21" s="14">
        <v>45904.682638888888</v>
      </c>
      <c r="N21" s="6">
        <v>4592707</v>
      </c>
      <c r="O21" s="6" t="s">
        <v>317</v>
      </c>
      <c r="P21" s="6" t="s">
        <v>252</v>
      </c>
      <c r="Q21" s="6" t="s">
        <v>318</v>
      </c>
      <c r="R21" s="6" t="s">
        <v>318</v>
      </c>
      <c r="S21" s="6" t="s">
        <v>8</v>
      </c>
      <c r="T21" s="6" t="s">
        <v>254</v>
      </c>
      <c r="U21" s="6" t="s">
        <v>164</v>
      </c>
      <c r="V21" s="6" t="s">
        <v>327</v>
      </c>
      <c r="W21" s="6" t="s">
        <v>91</v>
      </c>
      <c r="X21" s="6" t="s">
        <v>91</v>
      </c>
      <c r="Y21" s="6" t="s">
        <v>91</v>
      </c>
      <c r="Z21" s="6" t="s">
        <v>83</v>
      </c>
      <c r="AA21" s="6" t="s">
        <v>91</v>
      </c>
      <c r="AB21" s="6">
        <v>114.74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 t="s">
        <v>328</v>
      </c>
      <c r="AJ21" s="6" t="s">
        <v>257</v>
      </c>
      <c r="AK21" s="6" t="s">
        <v>13</v>
      </c>
      <c r="AL21" s="6" t="s">
        <v>48</v>
      </c>
      <c r="AM21" s="6" t="s">
        <v>258</v>
      </c>
      <c r="AN21" s="6" t="s">
        <v>20</v>
      </c>
      <c r="AO21" s="6" t="s">
        <v>272</v>
      </c>
      <c r="AP21" s="6" t="s">
        <v>273</v>
      </c>
      <c r="AQ21" s="6" t="s">
        <v>18</v>
      </c>
    </row>
    <row r="22" spans="1:43" x14ac:dyDescent="0.25">
      <c r="A22" s="6">
        <v>22897011</v>
      </c>
      <c r="B22" s="6">
        <v>23671897</v>
      </c>
      <c r="C22" s="6" t="s">
        <v>248</v>
      </c>
      <c r="D22" s="14">
        <v>45909.75377314815</v>
      </c>
      <c r="E22" s="14">
        <v>45909.758402777778</v>
      </c>
      <c r="F22" s="6" t="s">
        <v>19</v>
      </c>
      <c r="G22" s="6" t="s">
        <v>19</v>
      </c>
      <c r="H22" s="6">
        <v>19930861</v>
      </c>
      <c r="I22" s="6" t="s">
        <v>13</v>
      </c>
      <c r="J22" s="6" t="s">
        <v>329</v>
      </c>
      <c r="K22" s="6" t="s">
        <v>300</v>
      </c>
      <c r="L22" s="6" t="s">
        <v>300</v>
      </c>
      <c r="M22" s="14">
        <v>45909.746527777781</v>
      </c>
      <c r="N22" s="6">
        <v>4594901</v>
      </c>
      <c r="O22" s="6" t="s">
        <v>91</v>
      </c>
      <c r="P22" s="6" t="s">
        <v>252</v>
      </c>
      <c r="Q22" s="6" t="s">
        <v>318</v>
      </c>
      <c r="R22" s="6" t="s">
        <v>318</v>
      </c>
      <c r="S22" s="6" t="s">
        <v>9</v>
      </c>
      <c r="T22" s="6" t="s">
        <v>254</v>
      </c>
      <c r="U22" s="6" t="s">
        <v>164</v>
      </c>
      <c r="V22" s="6" t="s">
        <v>327</v>
      </c>
      <c r="W22" s="6" t="s">
        <v>91</v>
      </c>
      <c r="X22" s="6" t="s">
        <v>91</v>
      </c>
      <c r="Y22" s="6" t="s">
        <v>91</v>
      </c>
      <c r="Z22" s="6" t="s">
        <v>83</v>
      </c>
      <c r="AA22" s="6" t="s">
        <v>91</v>
      </c>
      <c r="AB22" s="6">
        <v>750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 t="s">
        <v>330</v>
      </c>
      <c r="AJ22" s="6" t="s">
        <v>257</v>
      </c>
      <c r="AK22" s="6" t="s">
        <v>13</v>
      </c>
      <c r="AL22" s="6" t="s">
        <v>48</v>
      </c>
      <c r="AM22" s="6" t="s">
        <v>258</v>
      </c>
      <c r="AN22" s="6" t="s">
        <v>20</v>
      </c>
      <c r="AO22" s="6" t="s">
        <v>259</v>
      </c>
      <c r="AP22" s="6" t="s">
        <v>260</v>
      </c>
      <c r="AQ22" s="6" t="s">
        <v>31</v>
      </c>
    </row>
    <row r="23" spans="1:43" x14ac:dyDescent="0.25">
      <c r="A23" s="6">
        <v>22848359</v>
      </c>
      <c r="B23" s="6">
        <v>23629915</v>
      </c>
      <c r="C23" s="6" t="s">
        <v>248</v>
      </c>
      <c r="D23" s="14">
        <v>45901.61681712963</v>
      </c>
      <c r="E23" s="14">
        <v>45901.620312500003</v>
      </c>
      <c r="F23" s="6" t="s">
        <v>23</v>
      </c>
      <c r="G23" s="6" t="s">
        <v>23</v>
      </c>
      <c r="H23" s="6">
        <v>19802990</v>
      </c>
      <c r="I23" s="6" t="s">
        <v>13</v>
      </c>
      <c r="J23" s="6" t="s">
        <v>331</v>
      </c>
      <c r="K23" s="6" t="s">
        <v>275</v>
      </c>
      <c r="L23" s="6" t="s">
        <v>275</v>
      </c>
      <c r="M23" s="14">
        <v>45901.518055555563</v>
      </c>
      <c r="N23" s="6">
        <v>4590802</v>
      </c>
      <c r="O23" s="6" t="s">
        <v>91</v>
      </c>
      <c r="P23" s="6" t="s">
        <v>276</v>
      </c>
      <c r="Q23" s="6" t="s">
        <v>318</v>
      </c>
      <c r="R23" s="6" t="s">
        <v>318</v>
      </c>
      <c r="S23" s="6" t="s">
        <v>9</v>
      </c>
      <c r="T23" s="6" t="s">
        <v>254</v>
      </c>
      <c r="U23" s="6" t="s">
        <v>164</v>
      </c>
      <c r="V23" s="6" t="s">
        <v>332</v>
      </c>
      <c r="W23" s="6" t="s">
        <v>91</v>
      </c>
      <c r="X23" s="6" t="s">
        <v>91</v>
      </c>
      <c r="Y23" s="6" t="s">
        <v>91</v>
      </c>
      <c r="Z23" s="6" t="s">
        <v>83</v>
      </c>
      <c r="AA23" s="6" t="s">
        <v>91</v>
      </c>
      <c r="AB23" s="6">
        <v>526</v>
      </c>
      <c r="AC23" s="6">
        <v>26.3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 t="s">
        <v>333</v>
      </c>
      <c r="AJ23" s="6" t="s">
        <v>257</v>
      </c>
      <c r="AK23" s="6" t="s">
        <v>13</v>
      </c>
      <c r="AL23" s="6" t="s">
        <v>48</v>
      </c>
      <c r="AM23" s="6" t="s">
        <v>258</v>
      </c>
      <c r="AN23" s="6" t="s">
        <v>20</v>
      </c>
      <c r="AO23" s="6" t="s">
        <v>259</v>
      </c>
      <c r="AP23" s="6" t="s">
        <v>260</v>
      </c>
      <c r="AQ23" s="6" t="s">
        <v>31</v>
      </c>
    </row>
    <row r="24" spans="1:43" x14ac:dyDescent="0.25">
      <c r="A24" s="6">
        <v>22880476</v>
      </c>
      <c r="B24" s="6">
        <v>23658339</v>
      </c>
      <c r="C24" s="6" t="s">
        <v>248</v>
      </c>
      <c r="D24" s="14">
        <v>45906.350300925929</v>
      </c>
      <c r="E24" s="14">
        <v>45906.35087962963</v>
      </c>
      <c r="F24" s="6" t="s">
        <v>21</v>
      </c>
      <c r="G24" s="6" t="s">
        <v>21</v>
      </c>
      <c r="H24" s="6" t="s">
        <v>334</v>
      </c>
      <c r="I24" s="6" t="s">
        <v>13</v>
      </c>
      <c r="J24" s="6" t="s">
        <v>331</v>
      </c>
      <c r="K24" s="6" t="s">
        <v>275</v>
      </c>
      <c r="L24" s="6" t="s">
        <v>275</v>
      </c>
      <c r="M24" s="14">
        <v>45906.341666666667</v>
      </c>
      <c r="N24" s="6">
        <v>4590799</v>
      </c>
      <c r="O24" s="6" t="s">
        <v>267</v>
      </c>
      <c r="P24" s="6" t="s">
        <v>252</v>
      </c>
      <c r="Q24" s="6" t="s">
        <v>318</v>
      </c>
      <c r="R24" s="6" t="s">
        <v>318</v>
      </c>
      <c r="S24" s="6" t="s">
        <v>8</v>
      </c>
      <c r="T24" s="6" t="s">
        <v>254</v>
      </c>
      <c r="U24" s="6" t="s">
        <v>164</v>
      </c>
      <c r="V24" s="6" t="s">
        <v>332</v>
      </c>
      <c r="W24" s="6" t="s">
        <v>91</v>
      </c>
      <c r="X24" s="6" t="s">
        <v>91</v>
      </c>
      <c r="Y24" s="6" t="s">
        <v>91</v>
      </c>
      <c r="Z24" s="6" t="s">
        <v>83</v>
      </c>
      <c r="AA24" s="6" t="s">
        <v>91</v>
      </c>
      <c r="AB24" s="6">
        <v>314.32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 t="s">
        <v>335</v>
      </c>
      <c r="AJ24" s="6" t="s">
        <v>257</v>
      </c>
      <c r="AK24" s="6" t="s">
        <v>13</v>
      </c>
      <c r="AL24" s="6" t="s">
        <v>48</v>
      </c>
      <c r="AM24" s="6" t="s">
        <v>258</v>
      </c>
      <c r="AN24" s="6" t="s">
        <v>20</v>
      </c>
      <c r="AO24" s="6" t="s">
        <v>272</v>
      </c>
      <c r="AP24" s="6" t="s">
        <v>273</v>
      </c>
      <c r="AQ24" s="6" t="s">
        <v>18</v>
      </c>
    </row>
    <row r="25" spans="1:43" x14ac:dyDescent="0.25">
      <c r="A25" s="6">
        <v>22911577</v>
      </c>
      <c r="B25" s="6">
        <v>23684733</v>
      </c>
      <c r="C25" s="6" t="s">
        <v>248</v>
      </c>
      <c r="D25" s="14">
        <v>45911.816550925927</v>
      </c>
      <c r="E25" s="14">
        <v>45911.886157407411</v>
      </c>
      <c r="F25" s="6" t="s">
        <v>17</v>
      </c>
      <c r="G25" s="6" t="s">
        <v>17</v>
      </c>
      <c r="H25" s="6" t="s">
        <v>336</v>
      </c>
      <c r="I25" s="6" t="s">
        <v>337</v>
      </c>
      <c r="J25" s="6" t="s">
        <v>338</v>
      </c>
      <c r="K25" s="6" t="s">
        <v>339</v>
      </c>
      <c r="L25" s="6" t="s">
        <v>339</v>
      </c>
      <c r="M25" s="14">
        <v>45911.696527777778</v>
      </c>
      <c r="N25" s="6">
        <v>11654</v>
      </c>
      <c r="O25" s="6" t="s">
        <v>91</v>
      </c>
      <c r="P25" s="6" t="s">
        <v>252</v>
      </c>
      <c r="Q25" s="6" t="s">
        <v>253</v>
      </c>
      <c r="R25" s="6" t="s">
        <v>253</v>
      </c>
      <c r="S25" s="6" t="s">
        <v>9</v>
      </c>
      <c r="T25" s="6" t="s">
        <v>254</v>
      </c>
      <c r="U25" s="6" t="s">
        <v>125</v>
      </c>
      <c r="V25" s="6" t="s">
        <v>340</v>
      </c>
      <c r="W25" s="6" t="s">
        <v>91</v>
      </c>
      <c r="X25" s="6" t="s">
        <v>91</v>
      </c>
      <c r="Y25" s="6" t="s">
        <v>91</v>
      </c>
      <c r="Z25" s="6" t="s">
        <v>68</v>
      </c>
      <c r="AA25" s="6" t="s">
        <v>91</v>
      </c>
      <c r="AB25" s="6">
        <v>1046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 t="s">
        <v>341</v>
      </c>
      <c r="AJ25" s="6" t="s">
        <v>257</v>
      </c>
      <c r="AK25" s="6" t="s">
        <v>12</v>
      </c>
      <c r="AL25" s="6" t="s">
        <v>48</v>
      </c>
      <c r="AM25" s="6" t="s">
        <v>258</v>
      </c>
      <c r="AN25" s="6" t="s">
        <v>20</v>
      </c>
      <c r="AO25" s="6" t="s">
        <v>272</v>
      </c>
      <c r="AP25" s="6" t="s">
        <v>273</v>
      </c>
      <c r="AQ25" s="6" t="s">
        <v>18</v>
      </c>
    </row>
    <row r="26" spans="1:43" x14ac:dyDescent="0.25">
      <c r="A26" s="6">
        <v>22854486</v>
      </c>
      <c r="B26" s="6">
        <v>23635292</v>
      </c>
      <c r="C26" s="6" t="s">
        <v>248</v>
      </c>
      <c r="D26" s="14">
        <v>45902.535925925928</v>
      </c>
      <c r="E26" s="14">
        <v>45911.567523148151</v>
      </c>
      <c r="F26" s="6" t="s">
        <v>17</v>
      </c>
      <c r="G26" s="6" t="s">
        <v>23</v>
      </c>
      <c r="H26" s="6" t="s">
        <v>342</v>
      </c>
      <c r="I26" s="6" t="s">
        <v>337</v>
      </c>
      <c r="J26" s="6" t="s">
        <v>343</v>
      </c>
      <c r="K26" s="6" t="s">
        <v>344</v>
      </c>
      <c r="L26" s="6" t="s">
        <v>344</v>
      </c>
      <c r="M26" s="14">
        <v>45902.318055555559</v>
      </c>
      <c r="N26" s="6">
        <v>11407</v>
      </c>
      <c r="O26" s="6" t="s">
        <v>91</v>
      </c>
      <c r="P26" s="6" t="s">
        <v>276</v>
      </c>
      <c r="Q26" s="6" t="s">
        <v>253</v>
      </c>
      <c r="R26" s="6" t="s">
        <v>253</v>
      </c>
      <c r="S26" s="6" t="s">
        <v>9</v>
      </c>
      <c r="T26" s="6" t="s">
        <v>254</v>
      </c>
      <c r="U26" s="6" t="s">
        <v>125</v>
      </c>
      <c r="V26" s="6" t="s">
        <v>340</v>
      </c>
      <c r="W26" s="6" t="s">
        <v>91</v>
      </c>
      <c r="X26" s="6" t="s">
        <v>91</v>
      </c>
      <c r="Y26" s="6" t="s">
        <v>91</v>
      </c>
      <c r="Z26" s="6" t="s">
        <v>68</v>
      </c>
      <c r="AA26" s="6" t="s">
        <v>91</v>
      </c>
      <c r="AB26" s="6">
        <v>2524.4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 t="s">
        <v>345</v>
      </c>
      <c r="AJ26" s="6" t="s">
        <v>257</v>
      </c>
      <c r="AK26" s="6" t="s">
        <v>12</v>
      </c>
      <c r="AL26" s="6" t="s">
        <v>48</v>
      </c>
      <c r="AM26" s="6" t="s">
        <v>258</v>
      </c>
      <c r="AN26" s="6" t="s">
        <v>20</v>
      </c>
      <c r="AO26" s="6" t="s">
        <v>259</v>
      </c>
      <c r="AP26" s="6" t="s">
        <v>260</v>
      </c>
      <c r="AQ26" s="6" t="s">
        <v>31</v>
      </c>
    </row>
    <row r="27" spans="1:43" x14ac:dyDescent="0.25">
      <c r="A27" s="6">
        <v>22847888</v>
      </c>
      <c r="B27" s="6">
        <v>23629439</v>
      </c>
      <c r="C27" s="6" t="s">
        <v>248</v>
      </c>
      <c r="D27" s="14">
        <v>45901.540648148148</v>
      </c>
      <c r="E27" s="14">
        <v>45911.567453703698</v>
      </c>
      <c r="F27" s="6" t="s">
        <v>17</v>
      </c>
      <c r="G27" s="6" t="s">
        <v>23</v>
      </c>
      <c r="H27" s="6" t="s">
        <v>346</v>
      </c>
      <c r="I27" s="6" t="s">
        <v>337</v>
      </c>
      <c r="J27" s="6" t="s">
        <v>347</v>
      </c>
      <c r="K27" s="6" t="s">
        <v>344</v>
      </c>
      <c r="L27" s="6" t="s">
        <v>344</v>
      </c>
      <c r="M27" s="14">
        <v>45901.417361111111</v>
      </c>
      <c r="N27" s="6">
        <v>11372</v>
      </c>
      <c r="O27" s="6" t="s">
        <v>91</v>
      </c>
      <c r="P27" s="6" t="s">
        <v>276</v>
      </c>
      <c r="Q27" s="6" t="s">
        <v>253</v>
      </c>
      <c r="R27" s="6" t="s">
        <v>253</v>
      </c>
      <c r="S27" s="6" t="s">
        <v>9</v>
      </c>
      <c r="T27" s="6" t="s">
        <v>254</v>
      </c>
      <c r="U27" s="6" t="s">
        <v>125</v>
      </c>
      <c r="V27" s="6" t="s">
        <v>340</v>
      </c>
      <c r="W27" s="6" t="s">
        <v>91</v>
      </c>
      <c r="X27" s="6" t="s">
        <v>91</v>
      </c>
      <c r="Y27" s="6" t="s">
        <v>91</v>
      </c>
      <c r="Z27" s="6" t="s">
        <v>68</v>
      </c>
      <c r="AA27" s="6" t="s">
        <v>91</v>
      </c>
      <c r="AB27" s="6">
        <v>321.43</v>
      </c>
      <c r="AC27" s="6">
        <v>0</v>
      </c>
      <c r="AD27" s="6">
        <v>0</v>
      </c>
      <c r="AE27" s="6">
        <v>0</v>
      </c>
      <c r="AF27" s="6">
        <v>0</v>
      </c>
      <c r="AG27" s="6">
        <v>9.64</v>
      </c>
      <c r="AH27" s="6">
        <v>0</v>
      </c>
      <c r="AI27" s="6" t="s">
        <v>348</v>
      </c>
      <c r="AJ27" s="6" t="s">
        <v>257</v>
      </c>
      <c r="AK27" s="6" t="s">
        <v>12</v>
      </c>
      <c r="AL27" s="6" t="s">
        <v>48</v>
      </c>
      <c r="AM27" s="6" t="s">
        <v>258</v>
      </c>
      <c r="AN27" s="6" t="s">
        <v>20</v>
      </c>
      <c r="AO27" s="6" t="s">
        <v>259</v>
      </c>
      <c r="AP27" s="6" t="s">
        <v>260</v>
      </c>
      <c r="AQ27" s="6" t="s">
        <v>31</v>
      </c>
    </row>
    <row r="28" spans="1:43" x14ac:dyDescent="0.25">
      <c r="A28" s="6">
        <v>22850804</v>
      </c>
      <c r="B28" s="6">
        <v>23632240</v>
      </c>
      <c r="C28" s="6" t="s">
        <v>248</v>
      </c>
      <c r="D28" s="14">
        <v>45901.882962962962</v>
      </c>
      <c r="E28" s="14">
        <v>45911.567476851851</v>
      </c>
      <c r="F28" s="6" t="s">
        <v>17</v>
      </c>
      <c r="G28" s="6" t="s">
        <v>23</v>
      </c>
      <c r="H28" s="6" t="s">
        <v>349</v>
      </c>
      <c r="I28" s="6" t="s">
        <v>337</v>
      </c>
      <c r="J28" s="6" t="s">
        <v>350</v>
      </c>
      <c r="K28" s="6" t="s">
        <v>344</v>
      </c>
      <c r="L28" s="6" t="s">
        <v>344</v>
      </c>
      <c r="M28" s="14">
        <v>45901.62222222222</v>
      </c>
      <c r="N28" s="6">
        <v>11406</v>
      </c>
      <c r="O28" s="6" t="s">
        <v>91</v>
      </c>
      <c r="P28" s="6" t="s">
        <v>276</v>
      </c>
      <c r="Q28" s="6" t="s">
        <v>253</v>
      </c>
      <c r="R28" s="6" t="s">
        <v>253</v>
      </c>
      <c r="S28" s="6" t="s">
        <v>9</v>
      </c>
      <c r="T28" s="6" t="s">
        <v>254</v>
      </c>
      <c r="U28" s="6" t="s">
        <v>125</v>
      </c>
      <c r="V28" s="6" t="s">
        <v>340</v>
      </c>
      <c r="W28" s="6" t="s">
        <v>91</v>
      </c>
      <c r="X28" s="6" t="s">
        <v>91</v>
      </c>
      <c r="Y28" s="6" t="s">
        <v>91</v>
      </c>
      <c r="Z28" s="6" t="s">
        <v>68</v>
      </c>
      <c r="AA28" s="6" t="s">
        <v>91</v>
      </c>
      <c r="AB28" s="6">
        <v>2524.4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 t="s">
        <v>351</v>
      </c>
      <c r="AJ28" s="6" t="s">
        <v>257</v>
      </c>
      <c r="AK28" s="6" t="s">
        <v>12</v>
      </c>
      <c r="AL28" s="6" t="s">
        <v>48</v>
      </c>
      <c r="AM28" s="6" t="s">
        <v>258</v>
      </c>
      <c r="AN28" s="6" t="s">
        <v>20</v>
      </c>
      <c r="AO28" s="6" t="s">
        <v>259</v>
      </c>
      <c r="AP28" s="6" t="s">
        <v>260</v>
      </c>
      <c r="AQ28" s="6" t="s">
        <v>31</v>
      </c>
    </row>
    <row r="29" spans="1:43" x14ac:dyDescent="0.25">
      <c r="A29" s="6">
        <v>22850806</v>
      </c>
      <c r="B29" s="6">
        <v>23632241</v>
      </c>
      <c r="C29" s="6" t="s">
        <v>248</v>
      </c>
      <c r="D29" s="14">
        <v>45901.883090277777</v>
      </c>
      <c r="E29" s="14">
        <v>45911.567488425928</v>
      </c>
      <c r="F29" s="6" t="s">
        <v>17</v>
      </c>
      <c r="G29" s="6" t="s">
        <v>23</v>
      </c>
      <c r="H29" s="6" t="s">
        <v>352</v>
      </c>
      <c r="I29" s="6" t="s">
        <v>337</v>
      </c>
      <c r="J29" s="6" t="s">
        <v>353</v>
      </c>
      <c r="K29" s="6" t="s">
        <v>344</v>
      </c>
      <c r="L29" s="6" t="s">
        <v>344</v>
      </c>
      <c r="M29" s="14">
        <v>45901.707638888889</v>
      </c>
      <c r="N29" s="6">
        <v>11405</v>
      </c>
      <c r="O29" s="6" t="s">
        <v>91</v>
      </c>
      <c r="P29" s="6" t="s">
        <v>276</v>
      </c>
      <c r="Q29" s="6" t="s">
        <v>253</v>
      </c>
      <c r="R29" s="6" t="s">
        <v>253</v>
      </c>
      <c r="S29" s="6" t="s">
        <v>9</v>
      </c>
      <c r="T29" s="6" t="s">
        <v>254</v>
      </c>
      <c r="U29" s="6" t="s">
        <v>125</v>
      </c>
      <c r="V29" s="6" t="s">
        <v>340</v>
      </c>
      <c r="W29" s="6" t="s">
        <v>91</v>
      </c>
      <c r="X29" s="6" t="s">
        <v>91</v>
      </c>
      <c r="Y29" s="6" t="s">
        <v>91</v>
      </c>
      <c r="Z29" s="6" t="s">
        <v>68</v>
      </c>
      <c r="AA29" s="6" t="s">
        <v>91</v>
      </c>
      <c r="AB29" s="6">
        <v>2524.4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 t="s">
        <v>354</v>
      </c>
      <c r="AJ29" s="6" t="s">
        <v>257</v>
      </c>
      <c r="AK29" s="6" t="s">
        <v>12</v>
      </c>
      <c r="AL29" s="6" t="s">
        <v>48</v>
      </c>
      <c r="AM29" s="6" t="s">
        <v>258</v>
      </c>
      <c r="AN29" s="6" t="s">
        <v>20</v>
      </c>
      <c r="AO29" s="6" t="s">
        <v>259</v>
      </c>
      <c r="AP29" s="6" t="s">
        <v>260</v>
      </c>
      <c r="AQ29" s="6" t="s">
        <v>31</v>
      </c>
    </row>
    <row r="30" spans="1:43" x14ac:dyDescent="0.25">
      <c r="A30" s="6">
        <v>22911560</v>
      </c>
      <c r="B30" s="6">
        <v>23684716</v>
      </c>
      <c r="C30" s="6" t="s">
        <v>248</v>
      </c>
      <c r="D30" s="14">
        <v>45911.81559027778</v>
      </c>
      <c r="E30" s="14">
        <v>45911.882847222223</v>
      </c>
      <c r="F30" s="6" t="s">
        <v>17</v>
      </c>
      <c r="G30" s="6" t="s">
        <v>17</v>
      </c>
      <c r="H30" s="6" t="s">
        <v>355</v>
      </c>
      <c r="I30" s="6" t="s">
        <v>337</v>
      </c>
      <c r="J30" s="6" t="s">
        <v>356</v>
      </c>
      <c r="K30" s="6" t="s">
        <v>344</v>
      </c>
      <c r="L30" s="6" t="s">
        <v>344</v>
      </c>
      <c r="M30" s="14">
        <v>45911.615277777782</v>
      </c>
      <c r="N30" s="6">
        <v>11864</v>
      </c>
      <c r="O30" s="6" t="s">
        <v>357</v>
      </c>
      <c r="P30" s="6" t="s">
        <v>276</v>
      </c>
      <c r="Q30" s="6" t="s">
        <v>268</v>
      </c>
      <c r="R30" s="6" t="s">
        <v>269</v>
      </c>
      <c r="S30" s="6" t="s">
        <v>8</v>
      </c>
      <c r="T30" s="6" t="s">
        <v>254</v>
      </c>
      <c r="U30" s="6" t="s">
        <v>125</v>
      </c>
      <c r="V30" s="6" t="s">
        <v>340</v>
      </c>
      <c r="W30" s="6" t="s">
        <v>91</v>
      </c>
      <c r="X30" s="6" t="s">
        <v>91</v>
      </c>
      <c r="Y30" s="6" t="s">
        <v>91</v>
      </c>
      <c r="Z30" s="6" t="s">
        <v>68</v>
      </c>
      <c r="AA30" s="6" t="s">
        <v>91</v>
      </c>
      <c r="AB30" s="6">
        <v>195.33359999999999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 t="s">
        <v>358</v>
      </c>
      <c r="AJ30" s="6" t="s">
        <v>257</v>
      </c>
      <c r="AK30" s="6" t="s">
        <v>12</v>
      </c>
      <c r="AL30" s="6" t="s">
        <v>48</v>
      </c>
      <c r="AM30" s="6" t="s">
        <v>258</v>
      </c>
      <c r="AN30" s="6" t="s">
        <v>20</v>
      </c>
      <c r="AO30" s="6" t="s">
        <v>272</v>
      </c>
      <c r="AP30" s="6" t="s">
        <v>273</v>
      </c>
      <c r="AQ30" s="6" t="s">
        <v>18</v>
      </c>
    </row>
    <row r="31" spans="1:43" x14ac:dyDescent="0.25">
      <c r="A31" s="6">
        <v>22912828</v>
      </c>
      <c r="B31" s="6">
        <v>23685776</v>
      </c>
      <c r="C31" s="6" t="s">
        <v>248</v>
      </c>
      <c r="D31" s="14">
        <v>45912.027939814812</v>
      </c>
      <c r="E31" s="14">
        <v>45912.049398148149</v>
      </c>
      <c r="F31" s="6" t="s">
        <v>17</v>
      </c>
      <c r="G31" s="6" t="s">
        <v>17</v>
      </c>
      <c r="H31" s="6" t="s">
        <v>359</v>
      </c>
      <c r="I31" s="6" t="s">
        <v>337</v>
      </c>
      <c r="J31" s="6" t="s">
        <v>360</v>
      </c>
      <c r="K31" s="6" t="s">
        <v>344</v>
      </c>
      <c r="L31" s="6" t="s">
        <v>344</v>
      </c>
      <c r="M31" s="14">
        <v>45911.852777777778</v>
      </c>
      <c r="N31" s="6">
        <v>11883</v>
      </c>
      <c r="O31" s="6" t="s">
        <v>361</v>
      </c>
      <c r="P31" s="6" t="s">
        <v>276</v>
      </c>
      <c r="Q31" s="6" t="s">
        <v>268</v>
      </c>
      <c r="R31" s="6" t="s">
        <v>269</v>
      </c>
      <c r="S31" s="6" t="s">
        <v>8</v>
      </c>
      <c r="T31" s="6" t="s">
        <v>254</v>
      </c>
      <c r="U31" s="6" t="s">
        <v>125</v>
      </c>
      <c r="V31" s="6" t="s">
        <v>340</v>
      </c>
      <c r="W31" s="6" t="s">
        <v>91</v>
      </c>
      <c r="X31" s="6" t="s">
        <v>91</v>
      </c>
      <c r="Y31" s="6" t="s">
        <v>91</v>
      </c>
      <c r="Z31" s="6" t="s">
        <v>68</v>
      </c>
      <c r="AA31" s="6" t="s">
        <v>91</v>
      </c>
      <c r="AB31" s="6">
        <v>304.065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362</v>
      </c>
      <c r="AJ31" s="6" t="s">
        <v>257</v>
      </c>
      <c r="AK31" s="6" t="s">
        <v>12</v>
      </c>
      <c r="AL31" s="6" t="s">
        <v>48</v>
      </c>
      <c r="AM31" s="6" t="s">
        <v>258</v>
      </c>
      <c r="AN31" s="6" t="s">
        <v>20</v>
      </c>
      <c r="AO31" s="6" t="s">
        <v>272</v>
      </c>
      <c r="AP31" s="6" t="s">
        <v>273</v>
      </c>
      <c r="AQ31" s="6" t="s">
        <v>18</v>
      </c>
    </row>
    <row r="32" spans="1:43" x14ac:dyDescent="0.25">
      <c r="A32" s="6">
        <v>22857168</v>
      </c>
      <c r="B32" s="6">
        <v>23637907</v>
      </c>
      <c r="C32" s="6" t="s">
        <v>248</v>
      </c>
      <c r="D32" s="14">
        <v>45902.806145833332</v>
      </c>
      <c r="E32" s="14">
        <v>45911.568159722221</v>
      </c>
      <c r="F32" s="6" t="s">
        <v>17</v>
      </c>
      <c r="G32" s="6" t="s">
        <v>23</v>
      </c>
      <c r="H32" s="6" t="s">
        <v>363</v>
      </c>
      <c r="I32" s="6" t="s">
        <v>337</v>
      </c>
      <c r="J32" s="6" t="s">
        <v>364</v>
      </c>
      <c r="K32" s="6" t="s">
        <v>344</v>
      </c>
      <c r="L32" s="6" t="s">
        <v>344</v>
      </c>
      <c r="M32" s="14">
        <v>45902.580555555563</v>
      </c>
      <c r="N32" s="6">
        <v>1078</v>
      </c>
      <c r="O32" s="6" t="s">
        <v>91</v>
      </c>
      <c r="P32" s="6" t="s">
        <v>276</v>
      </c>
      <c r="Q32" s="6" t="s">
        <v>253</v>
      </c>
      <c r="R32" s="6" t="s">
        <v>253</v>
      </c>
      <c r="S32" s="6" t="s">
        <v>9</v>
      </c>
      <c r="T32" s="6" t="s">
        <v>254</v>
      </c>
      <c r="U32" s="6" t="s">
        <v>191</v>
      </c>
      <c r="V32" s="6" t="s">
        <v>365</v>
      </c>
      <c r="W32" s="6" t="s">
        <v>91</v>
      </c>
      <c r="X32" s="6" t="s">
        <v>91</v>
      </c>
      <c r="Y32" s="6" t="s">
        <v>91</v>
      </c>
      <c r="Z32" s="6" t="s">
        <v>135</v>
      </c>
      <c r="AA32" s="6" t="s">
        <v>91</v>
      </c>
      <c r="AB32" s="6">
        <v>1335</v>
      </c>
      <c r="AC32" s="6">
        <v>0</v>
      </c>
      <c r="AD32" s="6">
        <v>0</v>
      </c>
      <c r="AE32" s="6">
        <v>0</v>
      </c>
      <c r="AF32" s="6">
        <v>0</v>
      </c>
      <c r="AG32" s="6">
        <v>66.75</v>
      </c>
      <c r="AH32" s="6">
        <v>0</v>
      </c>
      <c r="AI32" s="6" t="s">
        <v>366</v>
      </c>
      <c r="AJ32" s="6" t="s">
        <v>257</v>
      </c>
      <c r="AK32" s="6" t="s">
        <v>12</v>
      </c>
      <c r="AL32" s="6" t="s">
        <v>48</v>
      </c>
      <c r="AM32" s="6" t="s">
        <v>258</v>
      </c>
      <c r="AN32" s="6" t="s">
        <v>20</v>
      </c>
      <c r="AO32" s="6" t="s">
        <v>259</v>
      </c>
      <c r="AP32" s="6" t="s">
        <v>260</v>
      </c>
      <c r="AQ32" s="6" t="s">
        <v>31</v>
      </c>
    </row>
    <row r="33" spans="1:43" x14ac:dyDescent="0.25">
      <c r="A33" s="6">
        <v>22812117</v>
      </c>
      <c r="B33" s="6">
        <v>23598986</v>
      </c>
      <c r="C33" s="6" t="s">
        <v>248</v>
      </c>
      <c r="D33" s="14">
        <v>45895.334270833337</v>
      </c>
      <c r="E33" s="14">
        <v>45895.337719907409</v>
      </c>
      <c r="F33" s="46" t="s">
        <v>25</v>
      </c>
      <c r="G33" s="46" t="s">
        <v>25</v>
      </c>
      <c r="H33" s="6" t="s">
        <v>367</v>
      </c>
      <c r="I33" s="6" t="s">
        <v>16</v>
      </c>
      <c r="J33" s="6" t="s">
        <v>368</v>
      </c>
      <c r="K33" s="6" t="s">
        <v>369</v>
      </c>
      <c r="L33" s="6" t="s">
        <v>369</v>
      </c>
      <c r="M33" s="14">
        <v>45894.79583333333</v>
      </c>
      <c r="N33" s="6" t="s">
        <v>370</v>
      </c>
      <c r="O33" s="6" t="s">
        <v>91</v>
      </c>
      <c r="P33" s="6" t="s">
        <v>276</v>
      </c>
      <c r="Q33" s="6" t="s">
        <v>253</v>
      </c>
      <c r="R33" s="6" t="s">
        <v>253</v>
      </c>
      <c r="S33" s="6" t="s">
        <v>9</v>
      </c>
      <c r="T33" s="6" t="s">
        <v>254</v>
      </c>
      <c r="U33" s="6" t="s">
        <v>199</v>
      </c>
      <c r="V33" s="6" t="s">
        <v>371</v>
      </c>
      <c r="W33" s="6" t="s">
        <v>91</v>
      </c>
      <c r="X33" s="6" t="s">
        <v>91</v>
      </c>
      <c r="Y33" s="6" t="s">
        <v>91</v>
      </c>
      <c r="Z33" s="6" t="s">
        <v>74</v>
      </c>
      <c r="AA33" s="6" t="s">
        <v>91</v>
      </c>
      <c r="AB33" s="6">
        <v>4764.5640000000003</v>
      </c>
      <c r="AC33" s="6">
        <v>154.68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 t="s">
        <v>288</v>
      </c>
      <c r="AJ33" s="6" t="s">
        <v>257</v>
      </c>
      <c r="AK33" s="6" t="s">
        <v>16</v>
      </c>
      <c r="AL33" s="6" t="s">
        <v>48</v>
      </c>
      <c r="AM33" s="6" t="s">
        <v>258</v>
      </c>
      <c r="AN33" s="6" t="s">
        <v>20</v>
      </c>
      <c r="AO33" s="6" t="s">
        <v>259</v>
      </c>
      <c r="AP33" s="6" t="s">
        <v>260</v>
      </c>
      <c r="AQ33" s="6" t="s">
        <v>31</v>
      </c>
    </row>
    <row r="34" spans="1:43" x14ac:dyDescent="0.25">
      <c r="A34" s="6">
        <v>22905132</v>
      </c>
      <c r="B34" s="6">
        <v>23679100</v>
      </c>
      <c r="C34" s="6" t="s">
        <v>248</v>
      </c>
      <c r="D34" s="14">
        <v>45910.885879629634</v>
      </c>
      <c r="E34" s="14">
        <v>45910.888206018521</v>
      </c>
      <c r="F34" s="6" t="s">
        <v>17</v>
      </c>
      <c r="G34" s="6" t="s">
        <v>17</v>
      </c>
      <c r="H34" s="6" t="s">
        <v>372</v>
      </c>
      <c r="I34" s="6" t="s">
        <v>16</v>
      </c>
      <c r="J34" s="6" t="s">
        <v>373</v>
      </c>
      <c r="K34" s="6" t="s">
        <v>374</v>
      </c>
      <c r="L34" s="6" t="s">
        <v>374</v>
      </c>
      <c r="M34" s="14">
        <v>45909.640277777777</v>
      </c>
      <c r="N34" s="6" t="s">
        <v>375</v>
      </c>
      <c r="O34" s="6" t="s">
        <v>91</v>
      </c>
      <c r="P34" s="6" t="s">
        <v>252</v>
      </c>
      <c r="Q34" s="6" t="s">
        <v>253</v>
      </c>
      <c r="R34" s="6" t="s">
        <v>253</v>
      </c>
      <c r="S34" s="6" t="s">
        <v>9</v>
      </c>
      <c r="T34" s="6" t="s">
        <v>254</v>
      </c>
      <c r="U34" s="6" t="s">
        <v>178</v>
      </c>
      <c r="V34" s="6" t="s">
        <v>376</v>
      </c>
      <c r="W34" s="6" t="s">
        <v>91</v>
      </c>
      <c r="X34" s="6" t="s">
        <v>91</v>
      </c>
      <c r="Y34" s="6" t="s">
        <v>91</v>
      </c>
      <c r="Z34" s="6" t="s">
        <v>112</v>
      </c>
      <c r="AA34" s="6" t="s">
        <v>91</v>
      </c>
      <c r="AB34" s="6">
        <v>3757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288</v>
      </c>
      <c r="AJ34" s="6" t="s">
        <v>257</v>
      </c>
      <c r="AK34" s="6" t="s">
        <v>16</v>
      </c>
      <c r="AL34" s="6" t="s">
        <v>48</v>
      </c>
      <c r="AM34" s="6" t="s">
        <v>258</v>
      </c>
      <c r="AN34" s="6" t="s">
        <v>20</v>
      </c>
      <c r="AO34" s="6" t="s">
        <v>272</v>
      </c>
      <c r="AP34" s="6" t="s">
        <v>273</v>
      </c>
      <c r="AQ34" s="6" t="s">
        <v>18</v>
      </c>
    </row>
    <row r="35" spans="1:43" x14ac:dyDescent="0.25">
      <c r="A35" s="6">
        <v>22905109</v>
      </c>
      <c r="B35" s="6">
        <v>23679084</v>
      </c>
      <c r="C35" s="6" t="s">
        <v>248</v>
      </c>
      <c r="D35" s="14">
        <v>45910.885162037041</v>
      </c>
      <c r="E35" s="14">
        <v>45910.888194444437</v>
      </c>
      <c r="F35" s="6" t="s">
        <v>17</v>
      </c>
      <c r="G35" s="6" t="s">
        <v>17</v>
      </c>
      <c r="H35" s="6" t="s">
        <v>377</v>
      </c>
      <c r="I35" s="6" t="s">
        <v>16</v>
      </c>
      <c r="J35" s="6" t="s">
        <v>378</v>
      </c>
      <c r="K35" s="6" t="s">
        <v>374</v>
      </c>
      <c r="L35" s="6" t="s">
        <v>374</v>
      </c>
      <c r="M35" s="14">
        <v>45909.539583333331</v>
      </c>
      <c r="N35" s="6" t="s">
        <v>379</v>
      </c>
      <c r="O35" s="6" t="s">
        <v>91</v>
      </c>
      <c r="P35" s="6" t="s">
        <v>252</v>
      </c>
      <c r="Q35" s="6" t="s">
        <v>253</v>
      </c>
      <c r="R35" s="6" t="s">
        <v>253</v>
      </c>
      <c r="S35" s="6" t="s">
        <v>9</v>
      </c>
      <c r="T35" s="6" t="s">
        <v>254</v>
      </c>
      <c r="U35" s="6" t="s">
        <v>178</v>
      </c>
      <c r="V35" s="6" t="s">
        <v>376</v>
      </c>
      <c r="W35" s="6" t="s">
        <v>91</v>
      </c>
      <c r="X35" s="6" t="s">
        <v>91</v>
      </c>
      <c r="Y35" s="6" t="s">
        <v>91</v>
      </c>
      <c r="Z35" s="6" t="s">
        <v>112</v>
      </c>
      <c r="AA35" s="6" t="s">
        <v>91</v>
      </c>
      <c r="AB35" s="6">
        <v>594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288</v>
      </c>
      <c r="AJ35" s="6" t="s">
        <v>257</v>
      </c>
      <c r="AK35" s="6" t="s">
        <v>16</v>
      </c>
      <c r="AL35" s="6" t="s">
        <v>48</v>
      </c>
      <c r="AM35" s="6" t="s">
        <v>258</v>
      </c>
      <c r="AN35" s="6" t="s">
        <v>20</v>
      </c>
      <c r="AO35" s="6" t="s">
        <v>272</v>
      </c>
      <c r="AP35" s="6" t="s">
        <v>273</v>
      </c>
      <c r="AQ35" s="6" t="s">
        <v>18</v>
      </c>
    </row>
    <row r="36" spans="1:43" x14ac:dyDescent="0.25">
      <c r="A36" s="6">
        <v>22905112</v>
      </c>
      <c r="B36" s="6">
        <v>23679086</v>
      </c>
      <c r="C36" s="6" t="s">
        <v>248</v>
      </c>
      <c r="D36" s="14">
        <v>45910.885208333333</v>
      </c>
      <c r="E36" s="14">
        <v>45910.888194444437</v>
      </c>
      <c r="F36" s="6" t="s">
        <v>17</v>
      </c>
      <c r="G36" s="6" t="s">
        <v>17</v>
      </c>
      <c r="H36" s="6" t="s">
        <v>380</v>
      </c>
      <c r="I36" s="6" t="s">
        <v>16</v>
      </c>
      <c r="J36" s="6" t="s">
        <v>381</v>
      </c>
      <c r="K36" s="6" t="s">
        <v>374</v>
      </c>
      <c r="L36" s="6" t="s">
        <v>374</v>
      </c>
      <c r="M36" s="14">
        <v>45909.54791666667</v>
      </c>
      <c r="N36" s="6" t="s">
        <v>382</v>
      </c>
      <c r="O36" s="6" t="s">
        <v>91</v>
      </c>
      <c r="P36" s="6" t="s">
        <v>252</v>
      </c>
      <c r="Q36" s="6" t="s">
        <v>253</v>
      </c>
      <c r="R36" s="6" t="s">
        <v>253</v>
      </c>
      <c r="S36" s="6" t="s">
        <v>9</v>
      </c>
      <c r="T36" s="6" t="s">
        <v>254</v>
      </c>
      <c r="U36" s="6" t="s">
        <v>178</v>
      </c>
      <c r="V36" s="6" t="s">
        <v>376</v>
      </c>
      <c r="W36" s="6" t="s">
        <v>91</v>
      </c>
      <c r="X36" s="6" t="s">
        <v>91</v>
      </c>
      <c r="Y36" s="6" t="s">
        <v>91</v>
      </c>
      <c r="Z36" s="6" t="s">
        <v>112</v>
      </c>
      <c r="AA36" s="6" t="s">
        <v>91</v>
      </c>
      <c r="AB36" s="6">
        <v>594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 t="s">
        <v>288</v>
      </c>
      <c r="AJ36" s="6" t="s">
        <v>257</v>
      </c>
      <c r="AK36" s="6" t="s">
        <v>16</v>
      </c>
      <c r="AL36" s="6" t="s">
        <v>48</v>
      </c>
      <c r="AM36" s="6" t="s">
        <v>258</v>
      </c>
      <c r="AN36" s="6" t="s">
        <v>20</v>
      </c>
      <c r="AO36" s="6" t="s">
        <v>272</v>
      </c>
      <c r="AP36" s="6" t="s">
        <v>273</v>
      </c>
      <c r="AQ36" s="6" t="s">
        <v>18</v>
      </c>
    </row>
    <row r="37" spans="1:43" x14ac:dyDescent="0.25">
      <c r="A37" s="6">
        <v>22911171</v>
      </c>
      <c r="B37" s="6">
        <v>23684347</v>
      </c>
      <c r="C37" s="6" t="s">
        <v>248</v>
      </c>
      <c r="D37" s="14">
        <v>45911.79277777778</v>
      </c>
      <c r="E37" s="14">
        <v>45911.855787037042</v>
      </c>
      <c r="F37" s="6" t="s">
        <v>17</v>
      </c>
      <c r="G37" s="6" t="s">
        <v>17</v>
      </c>
      <c r="H37" s="6" t="s">
        <v>383</v>
      </c>
      <c r="I37" s="6" t="s">
        <v>337</v>
      </c>
      <c r="J37" s="6" t="s">
        <v>384</v>
      </c>
      <c r="K37" s="6" t="s">
        <v>344</v>
      </c>
      <c r="L37" s="6" t="s">
        <v>344</v>
      </c>
      <c r="M37" s="14">
        <v>45911.578472222223</v>
      </c>
      <c r="N37" s="6">
        <v>17678</v>
      </c>
      <c r="O37" s="6" t="s">
        <v>385</v>
      </c>
      <c r="P37" s="6" t="s">
        <v>276</v>
      </c>
      <c r="Q37" s="6" t="s">
        <v>268</v>
      </c>
      <c r="R37" s="6" t="s">
        <v>269</v>
      </c>
      <c r="S37" s="6" t="s">
        <v>8</v>
      </c>
      <c r="T37" s="6" t="s">
        <v>254</v>
      </c>
      <c r="U37" s="6" t="s">
        <v>147</v>
      </c>
      <c r="V37" s="6" t="s">
        <v>386</v>
      </c>
      <c r="W37" s="6" t="s">
        <v>91</v>
      </c>
      <c r="X37" s="6" t="s">
        <v>91</v>
      </c>
      <c r="Y37" s="6" t="s">
        <v>91</v>
      </c>
      <c r="Z37" s="6" t="s">
        <v>85</v>
      </c>
      <c r="AA37" s="6" t="s">
        <v>91</v>
      </c>
      <c r="AB37" s="6">
        <v>3272.4047999999998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 t="s">
        <v>387</v>
      </c>
      <c r="AJ37" s="6" t="s">
        <v>257</v>
      </c>
      <c r="AK37" s="6" t="s">
        <v>12</v>
      </c>
      <c r="AL37" s="6" t="s">
        <v>48</v>
      </c>
      <c r="AM37" s="6" t="s">
        <v>258</v>
      </c>
      <c r="AN37" s="6" t="s">
        <v>20</v>
      </c>
      <c r="AO37" s="6" t="s">
        <v>272</v>
      </c>
      <c r="AP37" s="6" t="s">
        <v>273</v>
      </c>
      <c r="AQ37" s="6" t="s">
        <v>18</v>
      </c>
    </row>
    <row r="38" spans="1:43" x14ac:dyDescent="0.25">
      <c r="A38" s="6">
        <v>22909998</v>
      </c>
      <c r="B38" s="6">
        <v>23683213</v>
      </c>
      <c r="C38" s="6" t="s">
        <v>248</v>
      </c>
      <c r="D38" s="14">
        <v>45911.712141203701</v>
      </c>
      <c r="E38" s="14">
        <v>45911.71603009259</v>
      </c>
      <c r="F38" s="6" t="s">
        <v>17</v>
      </c>
      <c r="G38" s="6" t="s">
        <v>17</v>
      </c>
      <c r="H38" s="6" t="s">
        <v>388</v>
      </c>
      <c r="I38" s="6" t="s">
        <v>13</v>
      </c>
      <c r="J38" s="6" t="s">
        <v>389</v>
      </c>
      <c r="K38" s="6" t="s">
        <v>275</v>
      </c>
      <c r="L38" s="6" t="s">
        <v>275</v>
      </c>
      <c r="M38" s="14">
        <v>45911.703472222223</v>
      </c>
      <c r="N38" s="6">
        <v>4596424</v>
      </c>
      <c r="O38" s="6" t="s">
        <v>91</v>
      </c>
      <c r="P38" s="6" t="s">
        <v>252</v>
      </c>
      <c r="Q38" s="6" t="s">
        <v>268</v>
      </c>
      <c r="R38" s="6" t="s">
        <v>269</v>
      </c>
      <c r="S38" s="6" t="s">
        <v>9</v>
      </c>
      <c r="T38" s="6" t="s">
        <v>254</v>
      </c>
      <c r="U38" s="6" t="s">
        <v>181</v>
      </c>
      <c r="V38" s="6" t="s">
        <v>390</v>
      </c>
      <c r="W38" s="6" t="s">
        <v>391</v>
      </c>
      <c r="X38" s="6" t="s">
        <v>91</v>
      </c>
      <c r="Y38" s="6" t="s">
        <v>91</v>
      </c>
      <c r="Z38" s="6" t="s">
        <v>107</v>
      </c>
      <c r="AA38" s="6" t="s">
        <v>91</v>
      </c>
      <c r="AB38" s="6">
        <v>2468.0100000000002</v>
      </c>
      <c r="AC38" s="6">
        <v>4.5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 t="s">
        <v>392</v>
      </c>
      <c r="AJ38" s="6" t="s">
        <v>393</v>
      </c>
      <c r="AK38" s="6" t="s">
        <v>13</v>
      </c>
      <c r="AL38" s="6" t="s">
        <v>61</v>
      </c>
      <c r="AM38" s="6" t="s">
        <v>394</v>
      </c>
      <c r="AN38" s="6" t="s">
        <v>20</v>
      </c>
      <c r="AO38" s="6" t="s">
        <v>272</v>
      </c>
      <c r="AP38" s="6" t="s">
        <v>273</v>
      </c>
      <c r="AQ38" s="6" t="s">
        <v>34</v>
      </c>
    </row>
    <row r="39" spans="1:43" x14ac:dyDescent="0.25">
      <c r="A39" s="6">
        <v>22867368</v>
      </c>
      <c r="B39" s="6">
        <v>23646448</v>
      </c>
      <c r="C39" s="6" t="s">
        <v>248</v>
      </c>
      <c r="D39" s="14">
        <v>45904.453321759262</v>
      </c>
      <c r="E39" s="14">
        <v>45905.133576388893</v>
      </c>
      <c r="F39" s="6" t="s">
        <v>21</v>
      </c>
      <c r="G39" s="6" t="s">
        <v>21</v>
      </c>
      <c r="H39" s="6">
        <v>84335266</v>
      </c>
      <c r="I39" s="6" t="s">
        <v>13</v>
      </c>
      <c r="J39" s="6" t="s">
        <v>395</v>
      </c>
      <c r="K39" s="6" t="s">
        <v>396</v>
      </c>
      <c r="L39" s="6" t="s">
        <v>396</v>
      </c>
      <c r="M39" s="14">
        <v>45903.75</v>
      </c>
      <c r="N39" s="6">
        <v>4592242</v>
      </c>
      <c r="O39" s="6" t="s">
        <v>91</v>
      </c>
      <c r="P39" s="6" t="s">
        <v>252</v>
      </c>
      <c r="Q39" s="6" t="s">
        <v>253</v>
      </c>
      <c r="R39" s="6" t="s">
        <v>253</v>
      </c>
      <c r="S39" s="6" t="s">
        <v>9</v>
      </c>
      <c r="T39" s="6" t="s">
        <v>254</v>
      </c>
      <c r="U39" s="6" t="s">
        <v>181</v>
      </c>
      <c r="V39" s="6" t="s">
        <v>390</v>
      </c>
      <c r="W39" s="6" t="s">
        <v>391</v>
      </c>
      <c r="X39" s="6" t="s">
        <v>91</v>
      </c>
      <c r="Y39" s="6" t="s">
        <v>91</v>
      </c>
      <c r="Z39" s="6" t="s">
        <v>107</v>
      </c>
      <c r="AA39" s="6" t="s">
        <v>91</v>
      </c>
      <c r="AB39" s="6">
        <v>2198.13</v>
      </c>
      <c r="AC39" s="6">
        <v>51.9</v>
      </c>
      <c r="AD39" s="6">
        <v>0</v>
      </c>
      <c r="AE39" s="6">
        <v>0</v>
      </c>
      <c r="AF39" s="6">
        <v>0</v>
      </c>
      <c r="AG39" s="6">
        <v>0</v>
      </c>
      <c r="AH39" s="6">
        <v>72</v>
      </c>
      <c r="AI39" s="6" t="s">
        <v>397</v>
      </c>
      <c r="AJ39" s="6" t="s">
        <v>257</v>
      </c>
      <c r="AK39" s="6" t="s">
        <v>13</v>
      </c>
      <c r="AL39" s="6" t="s">
        <v>48</v>
      </c>
      <c r="AM39" s="6" t="s">
        <v>258</v>
      </c>
      <c r="AN39" s="6" t="s">
        <v>20</v>
      </c>
      <c r="AO39" s="6" t="s">
        <v>259</v>
      </c>
      <c r="AP39" s="6" t="s">
        <v>260</v>
      </c>
      <c r="AQ39" s="6" t="s">
        <v>31</v>
      </c>
    </row>
    <row r="40" spans="1:43" x14ac:dyDescent="0.25">
      <c r="A40" s="6">
        <v>22827664</v>
      </c>
      <c r="B40" s="6">
        <v>23612999</v>
      </c>
      <c r="C40" s="6" t="s">
        <v>248</v>
      </c>
      <c r="D40" s="14">
        <v>45897.560960648138</v>
      </c>
      <c r="E40" s="14">
        <v>45898.129594907397</v>
      </c>
      <c r="F40" s="6" t="s">
        <v>23</v>
      </c>
      <c r="G40" s="6" t="s">
        <v>23</v>
      </c>
      <c r="H40" s="6" t="s">
        <v>398</v>
      </c>
      <c r="I40" s="6" t="s">
        <v>13</v>
      </c>
      <c r="J40" s="6" t="s">
        <v>399</v>
      </c>
      <c r="K40" s="6" t="s">
        <v>396</v>
      </c>
      <c r="L40" s="6" t="s">
        <v>396</v>
      </c>
      <c r="M40" s="14">
        <v>45896.788194444453</v>
      </c>
      <c r="N40" s="6">
        <v>4589450</v>
      </c>
      <c r="O40" s="6" t="s">
        <v>91</v>
      </c>
      <c r="P40" s="6" t="s">
        <v>252</v>
      </c>
      <c r="Q40" s="6" t="s">
        <v>253</v>
      </c>
      <c r="R40" s="6" t="s">
        <v>253</v>
      </c>
      <c r="S40" s="6" t="s">
        <v>9</v>
      </c>
      <c r="T40" s="6" t="s">
        <v>254</v>
      </c>
      <c r="U40" s="6" t="s">
        <v>181</v>
      </c>
      <c r="V40" s="6" t="s">
        <v>390</v>
      </c>
      <c r="W40" s="6" t="s">
        <v>391</v>
      </c>
      <c r="X40" s="6" t="s">
        <v>91</v>
      </c>
      <c r="Y40" s="6" t="s">
        <v>91</v>
      </c>
      <c r="Z40" s="6" t="s">
        <v>107</v>
      </c>
      <c r="AA40" s="6" t="s">
        <v>91</v>
      </c>
      <c r="AB40" s="6">
        <v>7739.95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72</v>
      </c>
      <c r="AI40" s="6" t="s">
        <v>400</v>
      </c>
      <c r="AJ40" s="6" t="s">
        <v>257</v>
      </c>
      <c r="AK40" s="6" t="s">
        <v>13</v>
      </c>
      <c r="AL40" s="6" t="s">
        <v>48</v>
      </c>
      <c r="AM40" s="6" t="s">
        <v>258</v>
      </c>
      <c r="AN40" s="6" t="s">
        <v>20</v>
      </c>
      <c r="AO40" s="6" t="s">
        <v>259</v>
      </c>
      <c r="AP40" s="6" t="s">
        <v>260</v>
      </c>
      <c r="AQ40" s="6" t="s">
        <v>31</v>
      </c>
    </row>
    <row r="41" spans="1:43" x14ac:dyDescent="0.25">
      <c r="A41" s="6">
        <v>22907842</v>
      </c>
      <c r="B41" s="6">
        <v>23681210</v>
      </c>
      <c r="C41" s="6" t="s">
        <v>248</v>
      </c>
      <c r="D41" s="14">
        <v>45911.448298611111</v>
      </c>
      <c r="E41" s="14">
        <v>45912.134895833333</v>
      </c>
      <c r="F41" s="6" t="s">
        <v>17</v>
      </c>
      <c r="G41" s="6" t="s">
        <v>17</v>
      </c>
      <c r="H41" s="6" t="s">
        <v>401</v>
      </c>
      <c r="I41" s="6" t="s">
        <v>13</v>
      </c>
      <c r="J41" s="6" t="s">
        <v>402</v>
      </c>
      <c r="K41" s="6" t="s">
        <v>396</v>
      </c>
      <c r="L41" s="6" t="s">
        <v>396</v>
      </c>
      <c r="M41" s="14">
        <v>45909.625694444447</v>
      </c>
      <c r="N41" s="6">
        <v>4595060</v>
      </c>
      <c r="O41" s="6" t="s">
        <v>91</v>
      </c>
      <c r="P41" s="6" t="s">
        <v>252</v>
      </c>
      <c r="Q41" s="6" t="s">
        <v>253</v>
      </c>
      <c r="R41" s="6" t="s">
        <v>253</v>
      </c>
      <c r="S41" s="6" t="s">
        <v>9</v>
      </c>
      <c r="T41" s="6" t="s">
        <v>254</v>
      </c>
      <c r="U41" s="6" t="s">
        <v>181</v>
      </c>
      <c r="V41" s="6" t="s">
        <v>390</v>
      </c>
      <c r="W41" s="6" t="s">
        <v>391</v>
      </c>
      <c r="X41" s="6" t="s">
        <v>91</v>
      </c>
      <c r="Y41" s="6" t="s">
        <v>91</v>
      </c>
      <c r="Z41" s="6" t="s">
        <v>107</v>
      </c>
      <c r="AA41" s="6" t="s">
        <v>91</v>
      </c>
      <c r="AB41" s="6">
        <v>4104.75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72</v>
      </c>
      <c r="AI41" s="6" t="s">
        <v>403</v>
      </c>
      <c r="AJ41" s="6" t="s">
        <v>257</v>
      </c>
      <c r="AK41" s="6" t="s">
        <v>13</v>
      </c>
      <c r="AL41" s="6" t="s">
        <v>48</v>
      </c>
      <c r="AM41" s="6" t="s">
        <v>258</v>
      </c>
      <c r="AN41" s="6" t="s">
        <v>20</v>
      </c>
      <c r="AO41" s="6" t="s">
        <v>259</v>
      </c>
      <c r="AP41" s="6" t="s">
        <v>260</v>
      </c>
      <c r="AQ41" s="6" t="s">
        <v>31</v>
      </c>
    </row>
    <row r="42" spans="1:43" x14ac:dyDescent="0.25">
      <c r="A42" s="6">
        <v>22847781</v>
      </c>
      <c r="B42" s="6">
        <v>23629328</v>
      </c>
      <c r="C42" s="6" t="s">
        <v>248</v>
      </c>
      <c r="D42" s="14">
        <v>45901.53324074074</v>
      </c>
      <c r="E42" s="14">
        <v>45901.535451388889</v>
      </c>
      <c r="F42" s="6" t="s">
        <v>23</v>
      </c>
      <c r="G42" s="6" t="s">
        <v>23</v>
      </c>
      <c r="H42" s="6">
        <v>19801003</v>
      </c>
      <c r="I42" s="6" t="s">
        <v>13</v>
      </c>
      <c r="J42" s="6" t="s">
        <v>404</v>
      </c>
      <c r="K42" s="6" t="s">
        <v>275</v>
      </c>
      <c r="L42" s="6" t="s">
        <v>275</v>
      </c>
      <c r="M42" s="14">
        <v>45901.46875</v>
      </c>
      <c r="N42" s="6">
        <v>4590745</v>
      </c>
      <c r="O42" s="6" t="s">
        <v>91</v>
      </c>
      <c r="P42" s="6" t="s">
        <v>276</v>
      </c>
      <c r="Q42" s="6" t="s">
        <v>253</v>
      </c>
      <c r="R42" s="6" t="s">
        <v>253</v>
      </c>
      <c r="S42" s="6" t="s">
        <v>9</v>
      </c>
      <c r="T42" s="6" t="s">
        <v>254</v>
      </c>
      <c r="U42" s="6" t="s">
        <v>176</v>
      </c>
      <c r="V42" s="6" t="s">
        <v>405</v>
      </c>
      <c r="W42" s="6" t="s">
        <v>91</v>
      </c>
      <c r="X42" s="6" t="s">
        <v>91</v>
      </c>
      <c r="Y42" s="6" t="s">
        <v>91</v>
      </c>
      <c r="Z42" s="6" t="s">
        <v>83</v>
      </c>
      <c r="AA42" s="6" t="s">
        <v>91</v>
      </c>
      <c r="AB42" s="6">
        <v>275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 t="s">
        <v>406</v>
      </c>
      <c r="AJ42" s="6" t="s">
        <v>257</v>
      </c>
      <c r="AK42" s="6" t="s">
        <v>13</v>
      </c>
      <c r="AL42" s="6" t="s">
        <v>48</v>
      </c>
      <c r="AM42" s="6" t="s">
        <v>258</v>
      </c>
      <c r="AN42" s="6" t="s">
        <v>20</v>
      </c>
      <c r="AO42" s="6" t="s">
        <v>259</v>
      </c>
      <c r="AP42" s="6" t="s">
        <v>260</v>
      </c>
      <c r="AQ42" s="6" t="s">
        <v>31</v>
      </c>
    </row>
    <row r="43" spans="1:43" x14ac:dyDescent="0.25">
      <c r="A43" s="6">
        <v>22847783</v>
      </c>
      <c r="B43" s="6">
        <v>23629330</v>
      </c>
      <c r="C43" s="6" t="s">
        <v>248</v>
      </c>
      <c r="D43" s="14">
        <v>45901.533275462964</v>
      </c>
      <c r="E43" s="14">
        <v>45901.535462962973</v>
      </c>
      <c r="F43" s="6" t="s">
        <v>23</v>
      </c>
      <c r="G43" s="6" t="s">
        <v>23</v>
      </c>
      <c r="H43" s="6">
        <v>19801015</v>
      </c>
      <c r="I43" s="6" t="s">
        <v>13</v>
      </c>
      <c r="J43" s="6" t="s">
        <v>407</v>
      </c>
      <c r="K43" s="6" t="s">
        <v>275</v>
      </c>
      <c r="L43" s="6" t="s">
        <v>275</v>
      </c>
      <c r="M43" s="14">
        <v>45901.46875</v>
      </c>
      <c r="N43" s="6">
        <v>4590746</v>
      </c>
      <c r="O43" s="6" t="s">
        <v>91</v>
      </c>
      <c r="P43" s="6" t="s">
        <v>276</v>
      </c>
      <c r="Q43" s="6" t="s">
        <v>253</v>
      </c>
      <c r="R43" s="6" t="s">
        <v>253</v>
      </c>
      <c r="S43" s="6" t="s">
        <v>9</v>
      </c>
      <c r="T43" s="6" t="s">
        <v>254</v>
      </c>
      <c r="U43" s="6" t="s">
        <v>176</v>
      </c>
      <c r="V43" s="6" t="s">
        <v>405</v>
      </c>
      <c r="W43" s="6" t="s">
        <v>91</v>
      </c>
      <c r="X43" s="6" t="s">
        <v>91</v>
      </c>
      <c r="Y43" s="6" t="s">
        <v>91</v>
      </c>
      <c r="Z43" s="6" t="s">
        <v>83</v>
      </c>
      <c r="AA43" s="6" t="s">
        <v>91</v>
      </c>
      <c r="AB43" s="6">
        <v>275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408</v>
      </c>
      <c r="AJ43" s="6" t="s">
        <v>257</v>
      </c>
      <c r="AK43" s="6" t="s">
        <v>13</v>
      </c>
      <c r="AL43" s="6" t="s">
        <v>48</v>
      </c>
      <c r="AM43" s="6" t="s">
        <v>258</v>
      </c>
      <c r="AN43" s="6" t="s">
        <v>20</v>
      </c>
      <c r="AO43" s="6" t="s">
        <v>259</v>
      </c>
      <c r="AP43" s="6" t="s">
        <v>260</v>
      </c>
      <c r="AQ43" s="6" t="s">
        <v>31</v>
      </c>
    </row>
    <row r="44" spans="1:43" x14ac:dyDescent="0.25">
      <c r="A44" s="6">
        <v>22874266</v>
      </c>
      <c r="B44" s="6">
        <v>23652830</v>
      </c>
      <c r="C44" s="6" t="s">
        <v>248</v>
      </c>
      <c r="D44" s="14">
        <v>45905.470358796287</v>
      </c>
      <c r="E44" s="14">
        <v>45905.473078703697</v>
      </c>
      <c r="F44" s="6" t="s">
        <v>21</v>
      </c>
      <c r="G44" s="6" t="s">
        <v>21</v>
      </c>
      <c r="H44" s="6">
        <v>19876808</v>
      </c>
      <c r="I44" s="6" t="s">
        <v>13</v>
      </c>
      <c r="J44" s="6" t="s">
        <v>409</v>
      </c>
      <c r="K44" s="6" t="s">
        <v>275</v>
      </c>
      <c r="L44" s="6" t="s">
        <v>275</v>
      </c>
      <c r="M44" s="14">
        <v>45905.429166666669</v>
      </c>
      <c r="N44" s="6">
        <v>4593293</v>
      </c>
      <c r="O44" s="6" t="s">
        <v>91</v>
      </c>
      <c r="P44" s="6" t="s">
        <v>276</v>
      </c>
      <c r="Q44" s="6" t="s">
        <v>253</v>
      </c>
      <c r="R44" s="6" t="s">
        <v>253</v>
      </c>
      <c r="S44" s="6" t="s">
        <v>9</v>
      </c>
      <c r="T44" s="6" t="s">
        <v>254</v>
      </c>
      <c r="U44" s="6" t="s">
        <v>176</v>
      </c>
      <c r="V44" s="6" t="s">
        <v>405</v>
      </c>
      <c r="W44" s="6" t="s">
        <v>91</v>
      </c>
      <c r="X44" s="6" t="s">
        <v>91</v>
      </c>
      <c r="Y44" s="6" t="s">
        <v>91</v>
      </c>
      <c r="Z44" s="6" t="s">
        <v>83</v>
      </c>
      <c r="AA44" s="6" t="s">
        <v>91</v>
      </c>
      <c r="AB44" s="6">
        <v>263</v>
      </c>
      <c r="AC44" s="6">
        <v>13.15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 t="s">
        <v>410</v>
      </c>
      <c r="AJ44" s="6" t="s">
        <v>257</v>
      </c>
      <c r="AK44" s="6" t="s">
        <v>13</v>
      </c>
      <c r="AL44" s="6" t="s">
        <v>48</v>
      </c>
      <c r="AM44" s="6" t="s">
        <v>258</v>
      </c>
      <c r="AN44" s="6" t="s">
        <v>20</v>
      </c>
      <c r="AO44" s="6" t="s">
        <v>259</v>
      </c>
      <c r="AP44" s="6" t="s">
        <v>260</v>
      </c>
      <c r="AQ44" s="6" t="s">
        <v>31</v>
      </c>
    </row>
    <row r="45" spans="1:43" x14ac:dyDescent="0.25">
      <c r="A45" s="6">
        <v>22853399</v>
      </c>
      <c r="B45" s="6">
        <v>23634238</v>
      </c>
      <c r="C45" s="6" t="s">
        <v>248</v>
      </c>
      <c r="D45" s="14">
        <v>45902.449259259258</v>
      </c>
      <c r="E45" s="14">
        <v>45902.452280092592</v>
      </c>
      <c r="F45" s="6" t="s">
        <v>23</v>
      </c>
      <c r="G45" s="6" t="s">
        <v>23</v>
      </c>
      <c r="H45" s="6" t="s">
        <v>411</v>
      </c>
      <c r="I45" s="6" t="s">
        <v>13</v>
      </c>
      <c r="J45" s="6" t="s">
        <v>412</v>
      </c>
      <c r="K45" s="6" t="s">
        <v>300</v>
      </c>
      <c r="L45" s="6" t="s">
        <v>300</v>
      </c>
      <c r="M45" s="14">
        <v>45902.441666666673</v>
      </c>
      <c r="N45" s="6">
        <v>4590237</v>
      </c>
      <c r="O45" s="6" t="s">
        <v>413</v>
      </c>
      <c r="P45" s="6" t="s">
        <v>252</v>
      </c>
      <c r="Q45" s="6" t="s">
        <v>268</v>
      </c>
      <c r="R45" s="6" t="s">
        <v>269</v>
      </c>
      <c r="S45" s="6" t="s">
        <v>8</v>
      </c>
      <c r="T45" s="6" t="s">
        <v>254</v>
      </c>
      <c r="U45" s="6" t="s">
        <v>198</v>
      </c>
      <c r="V45" s="6" t="s">
        <v>414</v>
      </c>
      <c r="W45" s="6" t="s">
        <v>91</v>
      </c>
      <c r="X45" s="6" t="s">
        <v>91</v>
      </c>
      <c r="Y45" s="6" t="s">
        <v>91</v>
      </c>
      <c r="Z45" s="6" t="s">
        <v>83</v>
      </c>
      <c r="AA45" s="6" t="s">
        <v>91</v>
      </c>
      <c r="AB45" s="6">
        <v>285.79000000000002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 t="s">
        <v>415</v>
      </c>
      <c r="AJ45" s="6" t="s">
        <v>257</v>
      </c>
      <c r="AK45" s="6" t="s">
        <v>13</v>
      </c>
      <c r="AL45" s="6" t="s">
        <v>48</v>
      </c>
      <c r="AM45" s="6" t="s">
        <v>258</v>
      </c>
      <c r="AN45" s="6" t="s">
        <v>20</v>
      </c>
      <c r="AO45" s="6" t="s">
        <v>272</v>
      </c>
      <c r="AP45" s="6" t="s">
        <v>273</v>
      </c>
      <c r="AQ45" s="6" t="s">
        <v>18</v>
      </c>
    </row>
    <row r="46" spans="1:43" x14ac:dyDescent="0.25">
      <c r="A46" s="6">
        <v>22875800</v>
      </c>
      <c r="B46" s="6">
        <v>23654337</v>
      </c>
      <c r="C46" s="6" t="s">
        <v>248</v>
      </c>
      <c r="D46" s="14">
        <v>45905.643634259257</v>
      </c>
      <c r="E46" s="14">
        <v>45905.64806712963</v>
      </c>
      <c r="F46" s="6" t="s">
        <v>21</v>
      </c>
      <c r="G46" s="6" t="s">
        <v>21</v>
      </c>
      <c r="H46" s="6">
        <v>19878556</v>
      </c>
      <c r="I46" s="6" t="s">
        <v>13</v>
      </c>
      <c r="J46" s="6" t="s">
        <v>416</v>
      </c>
      <c r="K46" s="6" t="s">
        <v>275</v>
      </c>
      <c r="L46" s="6" t="s">
        <v>275</v>
      </c>
      <c r="M46" s="14">
        <v>45905.472916666673</v>
      </c>
      <c r="N46" s="6">
        <v>4593353</v>
      </c>
      <c r="O46" s="6" t="s">
        <v>91</v>
      </c>
      <c r="P46" s="6" t="s">
        <v>276</v>
      </c>
      <c r="Q46" s="6" t="s">
        <v>253</v>
      </c>
      <c r="R46" s="6" t="s">
        <v>253</v>
      </c>
      <c r="S46" s="6" t="s">
        <v>9</v>
      </c>
      <c r="T46" s="6" t="s">
        <v>254</v>
      </c>
      <c r="U46" s="6" t="s">
        <v>177</v>
      </c>
      <c r="V46" s="6" t="s">
        <v>417</v>
      </c>
      <c r="W46" s="6" t="s">
        <v>91</v>
      </c>
      <c r="X46" s="6" t="s">
        <v>91</v>
      </c>
      <c r="Y46" s="6" t="s">
        <v>91</v>
      </c>
      <c r="Z46" s="6" t="s">
        <v>106</v>
      </c>
      <c r="AA46" s="6" t="s">
        <v>91</v>
      </c>
      <c r="AB46" s="6">
        <v>440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 t="s">
        <v>418</v>
      </c>
      <c r="AJ46" s="6" t="s">
        <v>257</v>
      </c>
      <c r="AK46" s="6" t="s">
        <v>13</v>
      </c>
      <c r="AL46" s="6" t="s">
        <v>48</v>
      </c>
      <c r="AM46" s="6" t="s">
        <v>258</v>
      </c>
      <c r="AN46" s="6" t="s">
        <v>20</v>
      </c>
      <c r="AO46" s="6" t="s">
        <v>259</v>
      </c>
      <c r="AP46" s="6" t="s">
        <v>260</v>
      </c>
      <c r="AQ46" s="6" t="s">
        <v>31</v>
      </c>
    </row>
    <row r="47" spans="1:43" x14ac:dyDescent="0.25">
      <c r="A47" s="6">
        <v>22875842</v>
      </c>
      <c r="B47" s="6">
        <v>23654386</v>
      </c>
      <c r="C47" s="6" t="s">
        <v>248</v>
      </c>
      <c r="D47" s="14">
        <v>45905.649872685193</v>
      </c>
      <c r="E47" s="14">
        <v>45905.653182870366</v>
      </c>
      <c r="F47" s="6" t="s">
        <v>21</v>
      </c>
      <c r="G47" s="6" t="s">
        <v>21</v>
      </c>
      <c r="H47" s="6">
        <v>19878467</v>
      </c>
      <c r="I47" s="6" t="s">
        <v>13</v>
      </c>
      <c r="J47" s="6" t="s">
        <v>419</v>
      </c>
      <c r="K47" s="6" t="s">
        <v>275</v>
      </c>
      <c r="L47" s="6" t="s">
        <v>275</v>
      </c>
      <c r="M47" s="14">
        <v>45905.47152777778</v>
      </c>
      <c r="N47" s="6">
        <v>4593347</v>
      </c>
      <c r="O47" s="6" t="s">
        <v>91</v>
      </c>
      <c r="P47" s="6" t="s">
        <v>276</v>
      </c>
      <c r="Q47" s="6" t="s">
        <v>253</v>
      </c>
      <c r="R47" s="6" t="s">
        <v>253</v>
      </c>
      <c r="S47" s="6" t="s">
        <v>9</v>
      </c>
      <c r="T47" s="6" t="s">
        <v>254</v>
      </c>
      <c r="U47" s="6" t="s">
        <v>177</v>
      </c>
      <c r="V47" s="6" t="s">
        <v>417</v>
      </c>
      <c r="W47" s="6" t="s">
        <v>91</v>
      </c>
      <c r="X47" s="6" t="s">
        <v>91</v>
      </c>
      <c r="Y47" s="6" t="s">
        <v>91</v>
      </c>
      <c r="Z47" s="6" t="s">
        <v>106</v>
      </c>
      <c r="AA47" s="6" t="s">
        <v>91</v>
      </c>
      <c r="AB47" s="6">
        <v>440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 t="s">
        <v>420</v>
      </c>
      <c r="AJ47" s="6" t="s">
        <v>257</v>
      </c>
      <c r="AK47" s="6" t="s">
        <v>13</v>
      </c>
      <c r="AL47" s="6" t="s">
        <v>48</v>
      </c>
      <c r="AM47" s="6" t="s">
        <v>258</v>
      </c>
      <c r="AN47" s="6" t="s">
        <v>20</v>
      </c>
      <c r="AO47" s="6" t="s">
        <v>259</v>
      </c>
      <c r="AP47" s="6" t="s">
        <v>260</v>
      </c>
      <c r="AQ47" s="6" t="s">
        <v>31</v>
      </c>
    </row>
    <row r="48" spans="1:43" x14ac:dyDescent="0.25">
      <c r="A48" s="6">
        <v>22860115</v>
      </c>
      <c r="B48" s="6">
        <v>23640136</v>
      </c>
      <c r="C48" s="6" t="s">
        <v>248</v>
      </c>
      <c r="D48" s="14">
        <v>45903.427916666667</v>
      </c>
      <c r="E48" s="14">
        <v>45903.430810185193</v>
      </c>
      <c r="F48" s="6" t="s">
        <v>23</v>
      </c>
      <c r="G48" s="6" t="s">
        <v>23</v>
      </c>
      <c r="H48" s="6">
        <v>19788177</v>
      </c>
      <c r="I48" s="6" t="s">
        <v>13</v>
      </c>
      <c r="J48" s="6" t="s">
        <v>421</v>
      </c>
      <c r="K48" s="6" t="s">
        <v>275</v>
      </c>
      <c r="L48" s="6" t="s">
        <v>275</v>
      </c>
      <c r="M48" s="14">
        <v>45898.712500000001</v>
      </c>
      <c r="N48" s="6">
        <v>4590344</v>
      </c>
      <c r="O48" s="6" t="s">
        <v>91</v>
      </c>
      <c r="P48" s="6" t="s">
        <v>276</v>
      </c>
      <c r="Q48" s="6" t="s">
        <v>253</v>
      </c>
      <c r="R48" s="6" t="s">
        <v>253</v>
      </c>
      <c r="S48" s="6" t="s">
        <v>9</v>
      </c>
      <c r="T48" s="6" t="s">
        <v>254</v>
      </c>
      <c r="U48" s="6" t="s">
        <v>177</v>
      </c>
      <c r="V48" s="6" t="s">
        <v>417</v>
      </c>
      <c r="W48" s="6" t="s">
        <v>91</v>
      </c>
      <c r="X48" s="6" t="s">
        <v>91</v>
      </c>
      <c r="Y48" s="6" t="s">
        <v>91</v>
      </c>
      <c r="Z48" s="6" t="s">
        <v>106</v>
      </c>
      <c r="AA48" s="6" t="s">
        <v>91</v>
      </c>
      <c r="AB48" s="6">
        <v>197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 t="s">
        <v>422</v>
      </c>
      <c r="AJ48" s="6" t="s">
        <v>257</v>
      </c>
      <c r="AK48" s="6" t="s">
        <v>13</v>
      </c>
      <c r="AL48" s="6" t="s">
        <v>48</v>
      </c>
      <c r="AM48" s="6" t="s">
        <v>258</v>
      </c>
      <c r="AN48" s="6" t="s">
        <v>20</v>
      </c>
      <c r="AO48" s="6" t="s">
        <v>259</v>
      </c>
      <c r="AP48" s="6" t="s">
        <v>260</v>
      </c>
      <c r="AQ48" s="6" t="s">
        <v>31</v>
      </c>
    </row>
    <row r="49" spans="1:43" x14ac:dyDescent="0.25">
      <c r="A49" s="6">
        <v>22879085</v>
      </c>
      <c r="B49" s="6">
        <v>23657424</v>
      </c>
      <c r="C49" s="6" t="s">
        <v>248</v>
      </c>
      <c r="D49" s="14">
        <v>45906.009363425917</v>
      </c>
      <c r="E49" s="14">
        <v>45912.25744212963</v>
      </c>
      <c r="F49" s="6" t="s">
        <v>17</v>
      </c>
      <c r="G49" s="6" t="s">
        <v>21</v>
      </c>
      <c r="H49" s="6" t="s">
        <v>423</v>
      </c>
      <c r="I49" s="6" t="s">
        <v>337</v>
      </c>
      <c r="J49" s="6" t="s">
        <v>424</v>
      </c>
      <c r="K49" s="6" t="s">
        <v>425</v>
      </c>
      <c r="L49" s="6" t="s">
        <v>425</v>
      </c>
      <c r="M49" s="14">
        <v>45905.40902777778</v>
      </c>
      <c r="N49" s="6">
        <v>46594</v>
      </c>
      <c r="O49" s="6" t="s">
        <v>91</v>
      </c>
      <c r="P49" s="6" t="s">
        <v>252</v>
      </c>
      <c r="Q49" s="6" t="s">
        <v>268</v>
      </c>
      <c r="R49" s="6" t="s">
        <v>269</v>
      </c>
      <c r="S49" s="6" t="s">
        <v>3</v>
      </c>
      <c r="T49" s="6" t="s">
        <v>254</v>
      </c>
      <c r="U49" s="6" t="s">
        <v>179</v>
      </c>
      <c r="V49" s="6" t="s">
        <v>426</v>
      </c>
      <c r="W49" s="6" t="s">
        <v>91</v>
      </c>
      <c r="X49" s="6" t="s">
        <v>91</v>
      </c>
      <c r="Y49" s="6" t="s">
        <v>91</v>
      </c>
      <c r="Z49" s="6" t="s">
        <v>109</v>
      </c>
      <c r="AA49" s="6" t="s">
        <v>91</v>
      </c>
      <c r="AB49" s="6">
        <v>1362.8</v>
      </c>
      <c r="AC49" s="6">
        <v>11.95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 t="s">
        <v>427</v>
      </c>
      <c r="AJ49" s="6" t="s">
        <v>257</v>
      </c>
      <c r="AK49" s="6" t="s">
        <v>12</v>
      </c>
      <c r="AL49" s="6" t="s">
        <v>48</v>
      </c>
      <c r="AM49" s="6" t="s">
        <v>258</v>
      </c>
      <c r="AN49" s="6" t="s">
        <v>20</v>
      </c>
      <c r="AO49" s="6" t="s">
        <v>272</v>
      </c>
      <c r="AP49" s="6" t="s">
        <v>273</v>
      </c>
      <c r="AQ49" s="6" t="s">
        <v>18</v>
      </c>
    </row>
    <row r="50" spans="1:43" x14ac:dyDescent="0.25">
      <c r="A50" s="6">
        <v>22879086</v>
      </c>
      <c r="B50" s="6">
        <v>23657425</v>
      </c>
      <c r="C50" s="6" t="s">
        <v>248</v>
      </c>
      <c r="D50" s="14">
        <v>45906.009409722217</v>
      </c>
      <c r="E50" s="14">
        <v>45912.25744212963</v>
      </c>
      <c r="F50" s="6" t="s">
        <v>17</v>
      </c>
      <c r="G50" s="6" t="s">
        <v>21</v>
      </c>
      <c r="H50" s="6" t="s">
        <v>428</v>
      </c>
      <c r="I50" s="6" t="s">
        <v>337</v>
      </c>
      <c r="J50" s="6" t="s">
        <v>429</v>
      </c>
      <c r="K50" s="6" t="s">
        <v>425</v>
      </c>
      <c r="L50" s="6" t="s">
        <v>425</v>
      </c>
      <c r="M50" s="14">
        <v>45905.397916666669</v>
      </c>
      <c r="N50" s="6">
        <v>46593</v>
      </c>
      <c r="O50" s="6" t="s">
        <v>91</v>
      </c>
      <c r="P50" s="6" t="s">
        <v>252</v>
      </c>
      <c r="Q50" s="6" t="s">
        <v>268</v>
      </c>
      <c r="R50" s="6" t="s">
        <v>269</v>
      </c>
      <c r="S50" s="6" t="s">
        <v>3</v>
      </c>
      <c r="T50" s="6" t="s">
        <v>254</v>
      </c>
      <c r="U50" s="6" t="s">
        <v>179</v>
      </c>
      <c r="V50" s="6" t="s">
        <v>426</v>
      </c>
      <c r="W50" s="6" t="s">
        <v>91</v>
      </c>
      <c r="X50" s="6" t="s">
        <v>91</v>
      </c>
      <c r="Y50" s="6" t="s">
        <v>91</v>
      </c>
      <c r="Z50" s="6" t="s">
        <v>109</v>
      </c>
      <c r="AA50" s="6" t="s">
        <v>91</v>
      </c>
      <c r="AB50" s="6">
        <v>1362.8</v>
      </c>
      <c r="AC50" s="6">
        <v>11.95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 t="s">
        <v>430</v>
      </c>
      <c r="AJ50" s="6" t="s">
        <v>257</v>
      </c>
      <c r="AK50" s="6" t="s">
        <v>12</v>
      </c>
      <c r="AL50" s="6" t="s">
        <v>48</v>
      </c>
      <c r="AM50" s="6" t="s">
        <v>258</v>
      </c>
      <c r="AN50" s="6" t="s">
        <v>20</v>
      </c>
      <c r="AO50" s="6" t="s">
        <v>272</v>
      </c>
      <c r="AP50" s="6" t="s">
        <v>273</v>
      </c>
      <c r="AQ50" s="6" t="s">
        <v>18</v>
      </c>
    </row>
    <row r="51" spans="1:43" x14ac:dyDescent="0.25">
      <c r="A51" s="6">
        <v>22906116</v>
      </c>
      <c r="B51" s="6">
        <v>23680000</v>
      </c>
      <c r="C51" s="6" t="s">
        <v>248</v>
      </c>
      <c r="D51" s="14">
        <v>45911.012673611112</v>
      </c>
      <c r="E51" s="14">
        <v>45912.257453703707</v>
      </c>
      <c r="F51" s="6" t="s">
        <v>17</v>
      </c>
      <c r="G51" s="6" t="s">
        <v>17</v>
      </c>
      <c r="H51" s="6" t="s">
        <v>431</v>
      </c>
      <c r="I51" s="6" t="s">
        <v>337</v>
      </c>
      <c r="J51" s="6" t="s">
        <v>432</v>
      </c>
      <c r="K51" s="6" t="s">
        <v>433</v>
      </c>
      <c r="L51" s="6" t="s">
        <v>433</v>
      </c>
      <c r="M51" s="14">
        <v>45910.693749999999</v>
      </c>
      <c r="N51" s="6">
        <v>46687</v>
      </c>
      <c r="O51" s="6" t="s">
        <v>91</v>
      </c>
      <c r="P51" s="6" t="s">
        <v>252</v>
      </c>
      <c r="Q51" s="6" t="s">
        <v>268</v>
      </c>
      <c r="R51" s="6" t="s">
        <v>269</v>
      </c>
      <c r="S51" s="6" t="s">
        <v>3</v>
      </c>
      <c r="T51" s="6" t="s">
        <v>254</v>
      </c>
      <c r="U51" s="6" t="s">
        <v>179</v>
      </c>
      <c r="V51" s="6" t="s">
        <v>434</v>
      </c>
      <c r="W51" s="6" t="s">
        <v>91</v>
      </c>
      <c r="X51" s="6" t="s">
        <v>91</v>
      </c>
      <c r="Y51" s="6" t="s">
        <v>91</v>
      </c>
      <c r="Z51" s="6" t="s">
        <v>109</v>
      </c>
      <c r="AA51" s="6" t="s">
        <v>91</v>
      </c>
      <c r="AB51" s="6">
        <v>285.44</v>
      </c>
      <c r="AC51" s="6">
        <v>10.95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 t="s">
        <v>435</v>
      </c>
      <c r="AJ51" s="6" t="s">
        <v>257</v>
      </c>
      <c r="AK51" s="6" t="s">
        <v>12</v>
      </c>
      <c r="AL51" s="6" t="s">
        <v>48</v>
      </c>
      <c r="AM51" s="6" t="s">
        <v>258</v>
      </c>
      <c r="AN51" s="6" t="s">
        <v>20</v>
      </c>
      <c r="AO51" s="6" t="s">
        <v>272</v>
      </c>
      <c r="AP51" s="6" t="s">
        <v>273</v>
      </c>
      <c r="AQ51" s="6" t="s">
        <v>18</v>
      </c>
    </row>
    <row r="52" spans="1:43" x14ac:dyDescent="0.25">
      <c r="A52" s="6">
        <v>22890454</v>
      </c>
      <c r="B52" s="6">
        <v>23666002</v>
      </c>
      <c r="C52" s="6" t="s">
        <v>248</v>
      </c>
      <c r="D52" s="14">
        <v>45908.726597222223</v>
      </c>
      <c r="E52" s="14">
        <v>45908.72991898148</v>
      </c>
      <c r="F52" s="6" t="s">
        <v>19</v>
      </c>
      <c r="G52" s="6" t="s">
        <v>19</v>
      </c>
      <c r="H52" s="6" t="s">
        <v>436</v>
      </c>
      <c r="I52" s="6" t="s">
        <v>13</v>
      </c>
      <c r="J52" s="6" t="s">
        <v>437</v>
      </c>
      <c r="K52" s="6" t="s">
        <v>316</v>
      </c>
      <c r="L52" s="6" t="s">
        <v>316</v>
      </c>
      <c r="M52" s="14">
        <v>45908.72152777778</v>
      </c>
      <c r="N52" s="6">
        <v>4594063</v>
      </c>
      <c r="O52" s="6" t="s">
        <v>438</v>
      </c>
      <c r="P52" s="6" t="s">
        <v>252</v>
      </c>
      <c r="Q52" s="6" t="s">
        <v>268</v>
      </c>
      <c r="R52" s="6" t="s">
        <v>269</v>
      </c>
      <c r="S52" s="6" t="s">
        <v>8</v>
      </c>
      <c r="T52" s="6" t="s">
        <v>254</v>
      </c>
      <c r="U52" s="6" t="s">
        <v>190</v>
      </c>
      <c r="V52" s="6" t="s">
        <v>439</v>
      </c>
      <c r="W52" s="6" t="s">
        <v>91</v>
      </c>
      <c r="X52" s="6" t="s">
        <v>91</v>
      </c>
      <c r="Y52" s="6" t="s">
        <v>91</v>
      </c>
      <c r="Z52" s="6" t="s">
        <v>83</v>
      </c>
      <c r="AA52" s="6" t="s">
        <v>91</v>
      </c>
      <c r="AB52" s="6">
        <v>107.42</v>
      </c>
      <c r="AC52" s="6">
        <v>4.24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 t="s">
        <v>440</v>
      </c>
      <c r="AJ52" s="6" t="s">
        <v>257</v>
      </c>
      <c r="AK52" s="6" t="s">
        <v>13</v>
      </c>
      <c r="AL52" s="6" t="s">
        <v>48</v>
      </c>
      <c r="AM52" s="6" t="s">
        <v>258</v>
      </c>
      <c r="AN52" s="6" t="s">
        <v>20</v>
      </c>
      <c r="AO52" s="6" t="s">
        <v>272</v>
      </c>
      <c r="AP52" s="6" t="s">
        <v>273</v>
      </c>
      <c r="AQ52" s="6" t="s">
        <v>18</v>
      </c>
    </row>
    <row r="53" spans="1:43" x14ac:dyDescent="0.25">
      <c r="A53" s="6">
        <v>22911442</v>
      </c>
      <c r="B53" s="6">
        <v>23684605</v>
      </c>
      <c r="C53" s="6" t="s">
        <v>248</v>
      </c>
      <c r="D53" s="14">
        <v>45911.810243055559</v>
      </c>
      <c r="E53" s="14">
        <v>45911.87908564815</v>
      </c>
      <c r="F53" s="6" t="s">
        <v>17</v>
      </c>
      <c r="G53" s="6" t="s">
        <v>17</v>
      </c>
      <c r="H53" s="6" t="s">
        <v>441</v>
      </c>
      <c r="I53" s="6" t="s">
        <v>337</v>
      </c>
      <c r="J53" s="6" t="s">
        <v>442</v>
      </c>
      <c r="K53" s="6" t="s">
        <v>344</v>
      </c>
      <c r="L53" s="6" t="s">
        <v>344</v>
      </c>
      <c r="M53" s="14">
        <v>45911.767361111109</v>
      </c>
      <c r="N53" s="6">
        <v>232669</v>
      </c>
      <c r="O53" s="6" t="s">
        <v>361</v>
      </c>
      <c r="P53" s="6" t="s">
        <v>276</v>
      </c>
      <c r="Q53" s="6" t="s">
        <v>268</v>
      </c>
      <c r="R53" s="6" t="s">
        <v>269</v>
      </c>
      <c r="S53" s="6" t="s">
        <v>8</v>
      </c>
      <c r="T53" s="6" t="s">
        <v>254</v>
      </c>
      <c r="U53" s="6" t="s">
        <v>129</v>
      </c>
      <c r="V53" s="6" t="s">
        <v>443</v>
      </c>
      <c r="W53" s="6" t="s">
        <v>91</v>
      </c>
      <c r="X53" s="6" t="s">
        <v>91</v>
      </c>
      <c r="Y53" s="6" t="s">
        <v>91</v>
      </c>
      <c r="Z53" s="6" t="s">
        <v>72</v>
      </c>
      <c r="AA53" s="6" t="s">
        <v>91</v>
      </c>
      <c r="AB53" s="6">
        <v>477.94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 t="s">
        <v>444</v>
      </c>
      <c r="AJ53" s="6" t="s">
        <v>257</v>
      </c>
      <c r="AK53" s="6" t="s">
        <v>12</v>
      </c>
      <c r="AL53" s="6" t="s">
        <v>48</v>
      </c>
      <c r="AM53" s="6" t="s">
        <v>258</v>
      </c>
      <c r="AN53" s="6" t="s">
        <v>20</v>
      </c>
      <c r="AO53" s="6" t="s">
        <v>272</v>
      </c>
      <c r="AP53" s="6" t="s">
        <v>273</v>
      </c>
      <c r="AQ53" s="6" t="s">
        <v>18</v>
      </c>
    </row>
    <row r="54" spans="1:43" x14ac:dyDescent="0.25">
      <c r="A54" s="6">
        <v>22909695</v>
      </c>
      <c r="B54" s="6">
        <v>23682932</v>
      </c>
      <c r="C54" s="6" t="s">
        <v>248</v>
      </c>
      <c r="D54" s="14">
        <v>45911.677951388891</v>
      </c>
      <c r="E54" s="14">
        <v>45911.682118055563</v>
      </c>
      <c r="F54" s="6" t="s">
        <v>17</v>
      </c>
      <c r="G54" s="6" t="s">
        <v>17</v>
      </c>
      <c r="H54" s="6" t="s">
        <v>445</v>
      </c>
      <c r="I54" s="6" t="s">
        <v>337</v>
      </c>
      <c r="J54" s="6" t="s">
        <v>446</v>
      </c>
      <c r="K54" s="6" t="s">
        <v>447</v>
      </c>
      <c r="L54" s="6" t="s">
        <v>447</v>
      </c>
      <c r="M54" s="14">
        <v>45911.668749999997</v>
      </c>
      <c r="N54" s="6">
        <v>232555</v>
      </c>
      <c r="O54" s="6" t="s">
        <v>448</v>
      </c>
      <c r="P54" s="6" t="s">
        <v>252</v>
      </c>
      <c r="Q54" s="6" t="s">
        <v>268</v>
      </c>
      <c r="R54" s="6" t="s">
        <v>269</v>
      </c>
      <c r="S54" s="6" t="s">
        <v>8</v>
      </c>
      <c r="T54" s="6" t="s">
        <v>254</v>
      </c>
      <c r="U54" s="6" t="s">
        <v>129</v>
      </c>
      <c r="V54" s="6" t="s">
        <v>443</v>
      </c>
      <c r="W54" s="6" t="s">
        <v>91</v>
      </c>
      <c r="X54" s="6" t="s">
        <v>91</v>
      </c>
      <c r="Y54" s="6" t="s">
        <v>91</v>
      </c>
      <c r="Z54" s="6" t="s">
        <v>72</v>
      </c>
      <c r="AA54" s="6" t="s">
        <v>91</v>
      </c>
      <c r="AB54" s="6">
        <v>141.30000000000001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 t="s">
        <v>449</v>
      </c>
      <c r="AJ54" s="6" t="s">
        <v>257</v>
      </c>
      <c r="AK54" s="6" t="s">
        <v>12</v>
      </c>
      <c r="AL54" s="6" t="s">
        <v>48</v>
      </c>
      <c r="AM54" s="6" t="s">
        <v>258</v>
      </c>
      <c r="AN54" s="6" t="s">
        <v>20</v>
      </c>
      <c r="AO54" s="6" t="s">
        <v>272</v>
      </c>
      <c r="AP54" s="6" t="s">
        <v>273</v>
      </c>
      <c r="AQ54" s="6" t="s">
        <v>90</v>
      </c>
    </row>
    <row r="55" spans="1:43" x14ac:dyDescent="0.25">
      <c r="A55" s="6">
        <v>22857325</v>
      </c>
      <c r="B55" s="6">
        <v>23638057</v>
      </c>
      <c r="C55" s="6" t="s">
        <v>248</v>
      </c>
      <c r="D55" s="14">
        <v>45902.811377314807</v>
      </c>
      <c r="E55" s="14">
        <v>45911.569884259261</v>
      </c>
      <c r="F55" s="6" t="s">
        <v>17</v>
      </c>
      <c r="G55" s="6" t="s">
        <v>23</v>
      </c>
      <c r="H55" s="6" t="s">
        <v>450</v>
      </c>
      <c r="I55" s="6" t="s">
        <v>337</v>
      </c>
      <c r="J55" s="6" t="s">
        <v>451</v>
      </c>
      <c r="K55" s="6" t="s">
        <v>447</v>
      </c>
      <c r="L55" s="6" t="s">
        <v>447</v>
      </c>
      <c r="M55" s="14">
        <v>45902.569444444453</v>
      </c>
      <c r="N55" s="6">
        <v>230458</v>
      </c>
      <c r="O55" s="6" t="s">
        <v>91</v>
      </c>
      <c r="P55" s="6" t="s">
        <v>252</v>
      </c>
      <c r="Q55" s="6" t="s">
        <v>268</v>
      </c>
      <c r="R55" s="6" t="s">
        <v>269</v>
      </c>
      <c r="S55" s="6" t="s">
        <v>3</v>
      </c>
      <c r="T55" s="6" t="s">
        <v>254</v>
      </c>
      <c r="U55" s="6" t="s">
        <v>129</v>
      </c>
      <c r="V55" s="6" t="s">
        <v>452</v>
      </c>
      <c r="W55" s="6" t="s">
        <v>91</v>
      </c>
      <c r="X55" s="6" t="s">
        <v>91</v>
      </c>
      <c r="Y55" s="6" t="s">
        <v>91</v>
      </c>
      <c r="Z55" s="6" t="s">
        <v>72</v>
      </c>
      <c r="AA55" s="6" t="s">
        <v>91</v>
      </c>
      <c r="AB55" s="6">
        <v>485.63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 t="s">
        <v>453</v>
      </c>
      <c r="AJ55" s="6" t="s">
        <v>257</v>
      </c>
      <c r="AK55" s="6" t="s">
        <v>12</v>
      </c>
      <c r="AL55" s="6" t="s">
        <v>48</v>
      </c>
      <c r="AM55" s="6" t="s">
        <v>258</v>
      </c>
      <c r="AN55" s="6" t="s">
        <v>20</v>
      </c>
      <c r="AO55" s="6" t="s">
        <v>272</v>
      </c>
      <c r="AP55" s="6" t="s">
        <v>273</v>
      </c>
      <c r="AQ55" s="6" t="s">
        <v>18</v>
      </c>
    </row>
    <row r="56" spans="1:43" x14ac:dyDescent="0.25">
      <c r="A56" s="6">
        <v>22857326</v>
      </c>
      <c r="B56" s="6">
        <v>23638058</v>
      </c>
      <c r="C56" s="6" t="s">
        <v>248</v>
      </c>
      <c r="D56" s="14">
        <v>45902.811388888891</v>
      </c>
      <c r="E56" s="14">
        <v>45911.569884259261</v>
      </c>
      <c r="F56" s="6" t="s">
        <v>17</v>
      </c>
      <c r="G56" s="6" t="s">
        <v>23</v>
      </c>
      <c r="H56" s="6" t="s">
        <v>454</v>
      </c>
      <c r="I56" s="6" t="s">
        <v>337</v>
      </c>
      <c r="J56" s="6" t="s">
        <v>451</v>
      </c>
      <c r="K56" s="6" t="s">
        <v>447</v>
      </c>
      <c r="L56" s="6" t="s">
        <v>447</v>
      </c>
      <c r="M56" s="14">
        <v>45902.569444444453</v>
      </c>
      <c r="N56" s="6">
        <v>230458</v>
      </c>
      <c r="O56" s="6" t="s">
        <v>91</v>
      </c>
      <c r="P56" s="6" t="s">
        <v>252</v>
      </c>
      <c r="Q56" s="6" t="s">
        <v>268</v>
      </c>
      <c r="R56" s="6" t="s">
        <v>269</v>
      </c>
      <c r="S56" s="6" t="s">
        <v>3</v>
      </c>
      <c r="T56" s="6" t="s">
        <v>254</v>
      </c>
      <c r="U56" s="6" t="s">
        <v>129</v>
      </c>
      <c r="V56" s="6" t="s">
        <v>452</v>
      </c>
      <c r="W56" s="6" t="s">
        <v>91</v>
      </c>
      <c r="X56" s="6" t="s">
        <v>91</v>
      </c>
      <c r="Y56" s="6" t="s">
        <v>91</v>
      </c>
      <c r="Z56" s="6" t="s">
        <v>72</v>
      </c>
      <c r="AA56" s="6" t="s">
        <v>91</v>
      </c>
      <c r="AB56" s="6">
        <v>485.63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 t="s">
        <v>453</v>
      </c>
      <c r="AJ56" s="6" t="s">
        <v>257</v>
      </c>
      <c r="AK56" s="6" t="s">
        <v>12</v>
      </c>
      <c r="AL56" s="6" t="s">
        <v>48</v>
      </c>
      <c r="AM56" s="6" t="s">
        <v>258</v>
      </c>
      <c r="AN56" s="6" t="s">
        <v>20</v>
      </c>
      <c r="AO56" s="6" t="s">
        <v>272</v>
      </c>
      <c r="AP56" s="6" t="s">
        <v>273</v>
      </c>
      <c r="AQ56" s="6" t="s">
        <v>18</v>
      </c>
    </row>
    <row r="57" spans="1:43" x14ac:dyDescent="0.25">
      <c r="A57" s="6">
        <v>22857327</v>
      </c>
      <c r="B57" s="6">
        <v>23638059</v>
      </c>
      <c r="C57" s="6" t="s">
        <v>248</v>
      </c>
      <c r="D57" s="14">
        <v>45902.811435185176</v>
      </c>
      <c r="E57" s="14">
        <v>45911.569895833331</v>
      </c>
      <c r="F57" s="6" t="s">
        <v>17</v>
      </c>
      <c r="G57" s="6" t="s">
        <v>23</v>
      </c>
      <c r="H57" s="6" t="s">
        <v>455</v>
      </c>
      <c r="I57" s="6" t="s">
        <v>337</v>
      </c>
      <c r="J57" s="6" t="s">
        <v>451</v>
      </c>
      <c r="K57" s="6" t="s">
        <v>447</v>
      </c>
      <c r="L57" s="6" t="s">
        <v>447</v>
      </c>
      <c r="M57" s="14">
        <v>45902.569444444453</v>
      </c>
      <c r="N57" s="6">
        <v>230458</v>
      </c>
      <c r="O57" s="6" t="s">
        <v>91</v>
      </c>
      <c r="P57" s="6" t="s">
        <v>252</v>
      </c>
      <c r="Q57" s="6" t="s">
        <v>268</v>
      </c>
      <c r="R57" s="6" t="s">
        <v>269</v>
      </c>
      <c r="S57" s="6" t="s">
        <v>3</v>
      </c>
      <c r="T57" s="6" t="s">
        <v>254</v>
      </c>
      <c r="U57" s="6" t="s">
        <v>129</v>
      </c>
      <c r="V57" s="6" t="s">
        <v>452</v>
      </c>
      <c r="W57" s="6" t="s">
        <v>91</v>
      </c>
      <c r="X57" s="6" t="s">
        <v>91</v>
      </c>
      <c r="Y57" s="6" t="s">
        <v>91</v>
      </c>
      <c r="Z57" s="6" t="s">
        <v>72</v>
      </c>
      <c r="AA57" s="6" t="s">
        <v>91</v>
      </c>
      <c r="AB57" s="6">
        <v>485.63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 t="s">
        <v>453</v>
      </c>
      <c r="AJ57" s="6" t="s">
        <v>257</v>
      </c>
      <c r="AK57" s="6" t="s">
        <v>12</v>
      </c>
      <c r="AL57" s="6" t="s">
        <v>48</v>
      </c>
      <c r="AM57" s="6" t="s">
        <v>258</v>
      </c>
      <c r="AN57" s="6" t="s">
        <v>20</v>
      </c>
      <c r="AO57" s="6" t="s">
        <v>272</v>
      </c>
      <c r="AP57" s="6" t="s">
        <v>273</v>
      </c>
      <c r="AQ57" s="6" t="s">
        <v>18</v>
      </c>
    </row>
    <row r="58" spans="1:43" x14ac:dyDescent="0.25">
      <c r="A58" s="6">
        <v>22857328</v>
      </c>
      <c r="B58" s="6">
        <v>23638060</v>
      </c>
      <c r="C58" s="6" t="s">
        <v>248</v>
      </c>
      <c r="D58" s="14">
        <v>45902.81144675926</v>
      </c>
      <c r="E58" s="14">
        <v>45911.569907407407</v>
      </c>
      <c r="F58" s="6" t="s">
        <v>17</v>
      </c>
      <c r="G58" s="6" t="s">
        <v>23</v>
      </c>
      <c r="H58" s="6" t="s">
        <v>456</v>
      </c>
      <c r="I58" s="6" t="s">
        <v>337</v>
      </c>
      <c r="J58" s="6" t="s">
        <v>451</v>
      </c>
      <c r="K58" s="6" t="s">
        <v>447</v>
      </c>
      <c r="L58" s="6" t="s">
        <v>447</v>
      </c>
      <c r="M58" s="14">
        <v>45902.569444444453</v>
      </c>
      <c r="N58" s="6">
        <v>230458</v>
      </c>
      <c r="O58" s="6" t="s">
        <v>91</v>
      </c>
      <c r="P58" s="6" t="s">
        <v>252</v>
      </c>
      <c r="Q58" s="6" t="s">
        <v>268</v>
      </c>
      <c r="R58" s="6" t="s">
        <v>269</v>
      </c>
      <c r="S58" s="6" t="s">
        <v>3</v>
      </c>
      <c r="T58" s="6" t="s">
        <v>254</v>
      </c>
      <c r="U58" s="6" t="s">
        <v>129</v>
      </c>
      <c r="V58" s="6" t="s">
        <v>452</v>
      </c>
      <c r="W58" s="6" t="s">
        <v>91</v>
      </c>
      <c r="X58" s="6" t="s">
        <v>91</v>
      </c>
      <c r="Y58" s="6" t="s">
        <v>91</v>
      </c>
      <c r="Z58" s="6" t="s">
        <v>72</v>
      </c>
      <c r="AA58" s="6" t="s">
        <v>91</v>
      </c>
      <c r="AB58" s="6">
        <v>485.63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 t="s">
        <v>453</v>
      </c>
      <c r="AJ58" s="6" t="s">
        <v>257</v>
      </c>
      <c r="AK58" s="6" t="s">
        <v>12</v>
      </c>
      <c r="AL58" s="6" t="s">
        <v>48</v>
      </c>
      <c r="AM58" s="6" t="s">
        <v>258</v>
      </c>
      <c r="AN58" s="6" t="s">
        <v>20</v>
      </c>
      <c r="AO58" s="6" t="s">
        <v>272</v>
      </c>
      <c r="AP58" s="6" t="s">
        <v>273</v>
      </c>
      <c r="AQ58" s="6" t="s">
        <v>18</v>
      </c>
    </row>
    <row r="59" spans="1:43" x14ac:dyDescent="0.25">
      <c r="A59" s="6">
        <v>22846878</v>
      </c>
      <c r="B59" s="6">
        <v>23628433</v>
      </c>
      <c r="C59" s="6" t="s">
        <v>248</v>
      </c>
      <c r="D59" s="14">
        <v>45901.46465277778</v>
      </c>
      <c r="E59" s="14">
        <v>45901.466006944444</v>
      </c>
      <c r="F59" s="6" t="s">
        <v>23</v>
      </c>
      <c r="G59" s="6" t="s">
        <v>23</v>
      </c>
      <c r="H59" s="6">
        <v>19800020</v>
      </c>
      <c r="I59" s="6" t="s">
        <v>13</v>
      </c>
      <c r="J59" s="6" t="s">
        <v>457</v>
      </c>
      <c r="K59" s="6" t="s">
        <v>275</v>
      </c>
      <c r="L59" s="6" t="s">
        <v>275</v>
      </c>
      <c r="M59" s="14">
        <v>45901.448611111111</v>
      </c>
      <c r="N59" s="6">
        <v>4590713</v>
      </c>
      <c r="O59" s="6" t="s">
        <v>91</v>
      </c>
      <c r="P59" s="6" t="s">
        <v>276</v>
      </c>
      <c r="Q59" s="6" t="s">
        <v>253</v>
      </c>
      <c r="R59" s="6" t="s">
        <v>253</v>
      </c>
      <c r="S59" s="6" t="s">
        <v>9</v>
      </c>
      <c r="T59" s="6" t="s">
        <v>254</v>
      </c>
      <c r="U59" s="6" t="s">
        <v>183</v>
      </c>
      <c r="V59" s="6" t="s">
        <v>458</v>
      </c>
      <c r="W59" s="6" t="s">
        <v>91</v>
      </c>
      <c r="X59" s="6" t="s">
        <v>91</v>
      </c>
      <c r="Y59" s="6" t="s">
        <v>91</v>
      </c>
      <c r="Z59" s="6" t="s">
        <v>117</v>
      </c>
      <c r="AA59" s="6" t="s">
        <v>91</v>
      </c>
      <c r="AB59" s="6">
        <v>928</v>
      </c>
      <c r="AC59" s="6">
        <v>37.119999999999997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 t="s">
        <v>459</v>
      </c>
      <c r="AJ59" s="6" t="s">
        <v>257</v>
      </c>
      <c r="AK59" s="6" t="s">
        <v>13</v>
      </c>
      <c r="AL59" s="6" t="s">
        <v>48</v>
      </c>
      <c r="AM59" s="6" t="s">
        <v>258</v>
      </c>
      <c r="AN59" s="6" t="s">
        <v>20</v>
      </c>
      <c r="AO59" s="6" t="s">
        <v>259</v>
      </c>
      <c r="AP59" s="6" t="s">
        <v>260</v>
      </c>
      <c r="AQ59" s="6" t="s">
        <v>31</v>
      </c>
    </row>
    <row r="60" spans="1:43" x14ac:dyDescent="0.25">
      <c r="A60" s="6">
        <v>22909740</v>
      </c>
      <c r="B60" s="6">
        <v>23682978</v>
      </c>
      <c r="C60" s="6" t="s">
        <v>248</v>
      </c>
      <c r="D60" s="14">
        <v>45911.679120370369</v>
      </c>
      <c r="E60" s="14">
        <v>45911.682719907411</v>
      </c>
      <c r="F60" s="6" t="s">
        <v>17</v>
      </c>
      <c r="G60" s="6" t="s">
        <v>17</v>
      </c>
      <c r="H60" s="6" t="s">
        <v>460</v>
      </c>
      <c r="I60" s="6" t="s">
        <v>337</v>
      </c>
      <c r="J60" s="6" t="s">
        <v>461</v>
      </c>
      <c r="K60" s="6" t="s">
        <v>447</v>
      </c>
      <c r="L60" s="6" t="s">
        <v>447</v>
      </c>
      <c r="M60" s="14">
        <v>45911.570138888892</v>
      </c>
      <c r="N60" s="6">
        <v>232379</v>
      </c>
      <c r="O60" s="6" t="s">
        <v>462</v>
      </c>
      <c r="P60" s="6" t="s">
        <v>252</v>
      </c>
      <c r="Q60" s="6" t="s">
        <v>268</v>
      </c>
      <c r="R60" s="6" t="s">
        <v>269</v>
      </c>
      <c r="S60" s="6" t="s">
        <v>8</v>
      </c>
      <c r="T60" s="6" t="s">
        <v>254</v>
      </c>
      <c r="U60" s="6" t="s">
        <v>129</v>
      </c>
      <c r="V60" s="6" t="s">
        <v>463</v>
      </c>
      <c r="W60" s="6" t="s">
        <v>91</v>
      </c>
      <c r="X60" s="6" t="s">
        <v>91</v>
      </c>
      <c r="Y60" s="6" t="s">
        <v>91</v>
      </c>
      <c r="Z60" s="6" t="s">
        <v>72</v>
      </c>
      <c r="AA60" s="6" t="s">
        <v>91</v>
      </c>
      <c r="AB60" s="6">
        <v>4457.97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 t="s">
        <v>464</v>
      </c>
      <c r="AJ60" s="6" t="s">
        <v>257</v>
      </c>
      <c r="AK60" s="6" t="s">
        <v>12</v>
      </c>
      <c r="AL60" s="6" t="s">
        <v>48</v>
      </c>
      <c r="AM60" s="6" t="s">
        <v>258</v>
      </c>
      <c r="AN60" s="6" t="s">
        <v>20</v>
      </c>
      <c r="AO60" s="6" t="s">
        <v>272</v>
      </c>
      <c r="AP60" s="6" t="s">
        <v>273</v>
      </c>
      <c r="AQ60" s="6" t="s">
        <v>90</v>
      </c>
    </row>
    <row r="61" spans="1:43" x14ac:dyDescent="0.25">
      <c r="A61" s="6">
        <v>22828475</v>
      </c>
      <c r="B61" s="6">
        <v>23613914</v>
      </c>
      <c r="C61" s="6" t="s">
        <v>248</v>
      </c>
      <c r="D61" s="14">
        <v>45897.707743055558</v>
      </c>
      <c r="E61" s="14">
        <v>45897.710474537038</v>
      </c>
      <c r="F61" s="6" t="s">
        <v>23</v>
      </c>
      <c r="G61" s="6" t="s">
        <v>23</v>
      </c>
      <c r="H61" s="6">
        <v>19768262</v>
      </c>
      <c r="I61" s="6" t="s">
        <v>13</v>
      </c>
      <c r="J61" s="6" t="s">
        <v>465</v>
      </c>
      <c r="K61" s="6" t="s">
        <v>275</v>
      </c>
      <c r="L61" s="6" t="s">
        <v>275</v>
      </c>
      <c r="M61" s="14">
        <v>45897.676388888889</v>
      </c>
      <c r="N61" s="6">
        <v>4589652</v>
      </c>
      <c r="O61" s="6" t="s">
        <v>91</v>
      </c>
      <c r="P61" s="6" t="s">
        <v>276</v>
      </c>
      <c r="Q61" s="6" t="s">
        <v>253</v>
      </c>
      <c r="R61" s="6" t="s">
        <v>253</v>
      </c>
      <c r="S61" s="6" t="s">
        <v>9</v>
      </c>
      <c r="T61" s="6" t="s">
        <v>254</v>
      </c>
      <c r="U61" s="6" t="s">
        <v>188</v>
      </c>
      <c r="V61" s="6" t="s">
        <v>466</v>
      </c>
      <c r="W61" s="6" t="s">
        <v>91</v>
      </c>
      <c r="X61" s="6" t="s">
        <v>91</v>
      </c>
      <c r="Y61" s="6" t="s">
        <v>91</v>
      </c>
      <c r="Z61" s="6" t="s">
        <v>74</v>
      </c>
      <c r="AA61" s="6" t="s">
        <v>91</v>
      </c>
      <c r="AB61" s="6">
        <v>1611.99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 t="s">
        <v>467</v>
      </c>
      <c r="AJ61" s="6" t="s">
        <v>257</v>
      </c>
      <c r="AK61" s="6" t="s">
        <v>13</v>
      </c>
      <c r="AL61" s="6" t="s">
        <v>48</v>
      </c>
      <c r="AM61" s="6" t="s">
        <v>258</v>
      </c>
      <c r="AN61" s="6" t="s">
        <v>20</v>
      </c>
      <c r="AO61" s="6" t="s">
        <v>259</v>
      </c>
      <c r="AP61" s="6" t="s">
        <v>260</v>
      </c>
      <c r="AQ61" s="6" t="s">
        <v>31</v>
      </c>
    </row>
    <row r="62" spans="1:43" x14ac:dyDescent="0.25">
      <c r="A62" s="6">
        <v>22911468</v>
      </c>
      <c r="B62" s="6">
        <v>23684631</v>
      </c>
      <c r="C62" s="6" t="s">
        <v>248</v>
      </c>
      <c r="D62" s="14">
        <v>45911.812337962961</v>
      </c>
      <c r="E62" s="14">
        <v>45911.812928240739</v>
      </c>
      <c r="F62" s="6" t="s">
        <v>17</v>
      </c>
      <c r="G62" s="6" t="s">
        <v>17</v>
      </c>
      <c r="H62" s="6" t="s">
        <v>468</v>
      </c>
      <c r="I62" s="6" t="s">
        <v>16</v>
      </c>
      <c r="J62" s="6" t="s">
        <v>469</v>
      </c>
      <c r="K62" s="6" t="s">
        <v>470</v>
      </c>
      <c r="L62" s="6" t="s">
        <v>470</v>
      </c>
      <c r="M62" s="14">
        <v>45911.59652777778</v>
      </c>
      <c r="N62" s="6" t="s">
        <v>471</v>
      </c>
      <c r="O62" s="6" t="s">
        <v>472</v>
      </c>
      <c r="P62" s="6" t="s">
        <v>252</v>
      </c>
      <c r="Q62" s="6" t="s">
        <v>268</v>
      </c>
      <c r="R62" s="6" t="s">
        <v>269</v>
      </c>
      <c r="S62" s="6" t="s">
        <v>8</v>
      </c>
      <c r="T62" s="6" t="s">
        <v>254</v>
      </c>
      <c r="U62" s="6" t="s">
        <v>146</v>
      </c>
      <c r="V62" s="6" t="s">
        <v>473</v>
      </c>
      <c r="W62" s="6" t="s">
        <v>391</v>
      </c>
      <c r="X62" s="6" t="s">
        <v>91</v>
      </c>
      <c r="Y62" s="6" t="s">
        <v>91</v>
      </c>
      <c r="Z62" s="6" t="s">
        <v>84</v>
      </c>
      <c r="AA62" s="6" t="s">
        <v>91</v>
      </c>
      <c r="AB62" s="6">
        <v>856.5</v>
      </c>
      <c r="AC62" s="6">
        <v>399.02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 t="s">
        <v>288</v>
      </c>
      <c r="AJ62" s="6" t="s">
        <v>393</v>
      </c>
      <c r="AK62" s="6" t="s">
        <v>16</v>
      </c>
      <c r="AL62" s="6" t="s">
        <v>61</v>
      </c>
      <c r="AM62" s="6" t="s">
        <v>394</v>
      </c>
      <c r="AN62" s="6" t="s">
        <v>20</v>
      </c>
      <c r="AO62" s="6" t="s">
        <v>272</v>
      </c>
      <c r="AP62" s="6" t="s">
        <v>273</v>
      </c>
      <c r="AQ62" s="6" t="s">
        <v>34</v>
      </c>
    </row>
    <row r="63" spans="1:43" x14ac:dyDescent="0.25">
      <c r="A63" s="6">
        <v>22911472</v>
      </c>
      <c r="B63" s="6">
        <v>23684635</v>
      </c>
      <c r="C63" s="6" t="s">
        <v>248</v>
      </c>
      <c r="D63" s="14">
        <v>45911.812476851846</v>
      </c>
      <c r="E63" s="14">
        <v>45911.812974537039</v>
      </c>
      <c r="F63" s="6" t="s">
        <v>17</v>
      </c>
      <c r="G63" s="6" t="s">
        <v>17</v>
      </c>
      <c r="H63" s="6" t="s">
        <v>474</v>
      </c>
      <c r="I63" s="6" t="s">
        <v>16</v>
      </c>
      <c r="J63" s="6" t="s">
        <v>475</v>
      </c>
      <c r="K63" s="6" t="s">
        <v>470</v>
      </c>
      <c r="L63" s="6" t="s">
        <v>470</v>
      </c>
      <c r="M63" s="14">
        <v>45911.656944444447</v>
      </c>
      <c r="N63" s="6" t="s">
        <v>476</v>
      </c>
      <c r="O63" s="6" t="s">
        <v>477</v>
      </c>
      <c r="P63" s="6" t="s">
        <v>252</v>
      </c>
      <c r="Q63" s="6" t="s">
        <v>268</v>
      </c>
      <c r="R63" s="6" t="s">
        <v>269</v>
      </c>
      <c r="S63" s="6" t="s">
        <v>8</v>
      </c>
      <c r="T63" s="6" t="s">
        <v>254</v>
      </c>
      <c r="U63" s="6" t="s">
        <v>146</v>
      </c>
      <c r="V63" s="6" t="s">
        <v>473</v>
      </c>
      <c r="W63" s="6" t="s">
        <v>391</v>
      </c>
      <c r="X63" s="6" t="s">
        <v>91</v>
      </c>
      <c r="Y63" s="6" t="s">
        <v>91</v>
      </c>
      <c r="Z63" s="6" t="s">
        <v>84</v>
      </c>
      <c r="AA63" s="6" t="s">
        <v>91</v>
      </c>
      <c r="AB63" s="6">
        <v>175.22</v>
      </c>
      <c r="AC63" s="6">
        <v>94.58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 t="s">
        <v>288</v>
      </c>
      <c r="AJ63" s="6" t="s">
        <v>393</v>
      </c>
      <c r="AK63" s="6" t="s">
        <v>16</v>
      </c>
      <c r="AL63" s="6" t="s">
        <v>61</v>
      </c>
      <c r="AM63" s="6" t="s">
        <v>394</v>
      </c>
      <c r="AN63" s="6" t="s">
        <v>20</v>
      </c>
      <c r="AO63" s="6" t="s">
        <v>272</v>
      </c>
      <c r="AP63" s="6" t="s">
        <v>273</v>
      </c>
      <c r="AQ63" s="6" t="s">
        <v>34</v>
      </c>
    </row>
    <row r="64" spans="1:43" x14ac:dyDescent="0.25">
      <c r="A64" s="6">
        <v>22790979</v>
      </c>
      <c r="B64" s="6">
        <v>23581851</v>
      </c>
      <c r="C64" s="6" t="s">
        <v>248</v>
      </c>
      <c r="D64" s="14">
        <v>45891.396747685183</v>
      </c>
      <c r="E64" s="14">
        <v>45891.406435185178</v>
      </c>
      <c r="F64" s="46" t="s">
        <v>25</v>
      </c>
      <c r="G64" s="46" t="s">
        <v>25</v>
      </c>
      <c r="H64" s="6" t="s">
        <v>478</v>
      </c>
      <c r="I64" s="6" t="s">
        <v>16</v>
      </c>
      <c r="J64" s="6" t="s">
        <v>479</v>
      </c>
      <c r="K64" s="6" t="s">
        <v>369</v>
      </c>
      <c r="L64" s="6" t="s">
        <v>369</v>
      </c>
      <c r="M64" s="14">
        <v>45890.742361111108</v>
      </c>
      <c r="N64" s="6" t="s">
        <v>480</v>
      </c>
      <c r="O64" s="6" t="s">
        <v>91</v>
      </c>
      <c r="P64" s="6" t="s">
        <v>276</v>
      </c>
      <c r="Q64" s="6" t="s">
        <v>253</v>
      </c>
      <c r="R64" s="6" t="s">
        <v>253</v>
      </c>
      <c r="S64" s="6" t="s">
        <v>9</v>
      </c>
      <c r="T64" s="6" t="s">
        <v>254</v>
      </c>
      <c r="U64" s="6" t="s">
        <v>172</v>
      </c>
      <c r="V64" s="6" t="s">
        <v>481</v>
      </c>
      <c r="W64" s="6" t="s">
        <v>91</v>
      </c>
      <c r="X64" s="6" t="s">
        <v>91</v>
      </c>
      <c r="Y64" s="6" t="s">
        <v>91</v>
      </c>
      <c r="Z64" s="6" t="s">
        <v>54</v>
      </c>
      <c r="AA64" s="6" t="s">
        <v>91</v>
      </c>
      <c r="AB64" s="6">
        <v>868.03499999999997</v>
      </c>
      <c r="AC64" s="6">
        <v>0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 t="s">
        <v>288</v>
      </c>
      <c r="AJ64" s="6" t="s">
        <v>482</v>
      </c>
      <c r="AK64" s="6" t="s">
        <v>16</v>
      </c>
      <c r="AL64" s="6" t="s">
        <v>53</v>
      </c>
      <c r="AM64" s="6" t="s">
        <v>67</v>
      </c>
      <c r="AN64" s="6" t="s">
        <v>20</v>
      </c>
      <c r="AO64" s="6" t="s">
        <v>272</v>
      </c>
      <c r="AP64" s="6" t="s">
        <v>273</v>
      </c>
      <c r="AQ64" s="6" t="s">
        <v>18</v>
      </c>
    </row>
    <row r="65" spans="1:43" x14ac:dyDescent="0.25">
      <c r="A65" s="6">
        <v>22786000</v>
      </c>
      <c r="B65" s="6">
        <v>23577451</v>
      </c>
      <c r="C65" s="6" t="s">
        <v>248</v>
      </c>
      <c r="D65" s="14">
        <v>45890.636446759258</v>
      </c>
      <c r="E65" s="14">
        <v>45902.550671296303</v>
      </c>
      <c r="F65" s="6" t="s">
        <v>23</v>
      </c>
      <c r="G65" s="6" t="s">
        <v>25</v>
      </c>
      <c r="H65" s="6" t="s">
        <v>483</v>
      </c>
      <c r="I65" s="6" t="s">
        <v>16</v>
      </c>
      <c r="J65" s="6" t="s">
        <v>479</v>
      </c>
      <c r="K65" s="6" t="s">
        <v>369</v>
      </c>
      <c r="L65" s="6" t="s">
        <v>369</v>
      </c>
      <c r="M65" s="14">
        <v>45890.529166666667</v>
      </c>
      <c r="N65" s="6" t="s">
        <v>484</v>
      </c>
      <c r="O65" s="6" t="s">
        <v>485</v>
      </c>
      <c r="P65" s="6" t="s">
        <v>276</v>
      </c>
      <c r="Q65" s="6" t="s">
        <v>268</v>
      </c>
      <c r="R65" s="6" t="s">
        <v>269</v>
      </c>
      <c r="S65" s="6" t="s">
        <v>8</v>
      </c>
      <c r="T65" s="6" t="s">
        <v>254</v>
      </c>
      <c r="U65" s="6" t="s">
        <v>172</v>
      </c>
      <c r="V65" s="6" t="s">
        <v>481</v>
      </c>
      <c r="W65" s="6" t="s">
        <v>91</v>
      </c>
      <c r="X65" s="6" t="s">
        <v>91</v>
      </c>
      <c r="Y65" s="6" t="s">
        <v>91</v>
      </c>
      <c r="Z65" s="6" t="s">
        <v>54</v>
      </c>
      <c r="AA65" s="6" t="s">
        <v>91</v>
      </c>
      <c r="AB65" s="6">
        <v>937.1</v>
      </c>
      <c r="AC65" s="6">
        <v>118.77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288</v>
      </c>
      <c r="AJ65" s="6" t="s">
        <v>257</v>
      </c>
      <c r="AK65" s="6" t="s">
        <v>16</v>
      </c>
      <c r="AL65" s="6" t="s">
        <v>48</v>
      </c>
      <c r="AM65" s="6" t="s">
        <v>258</v>
      </c>
      <c r="AN65" s="6" t="s">
        <v>20</v>
      </c>
      <c r="AO65" s="6" t="s">
        <v>272</v>
      </c>
      <c r="AP65" s="6" t="s">
        <v>273</v>
      </c>
      <c r="AQ65" s="6" t="s">
        <v>18</v>
      </c>
    </row>
    <row r="66" spans="1:43" x14ac:dyDescent="0.25">
      <c r="A66" s="6">
        <v>22825750</v>
      </c>
      <c r="B66" s="6">
        <v>23611034</v>
      </c>
      <c r="C66" s="6" t="s">
        <v>248</v>
      </c>
      <c r="D66" s="14">
        <v>45897.376030092593</v>
      </c>
      <c r="E66" s="14">
        <v>45902.550775462973</v>
      </c>
      <c r="F66" s="6" t="s">
        <v>23</v>
      </c>
      <c r="G66" s="6" t="s">
        <v>23</v>
      </c>
      <c r="H66" s="6" t="s">
        <v>486</v>
      </c>
      <c r="I66" s="6" t="s">
        <v>16</v>
      </c>
      <c r="J66" s="6" t="s">
        <v>479</v>
      </c>
      <c r="K66" s="6" t="s">
        <v>369</v>
      </c>
      <c r="L66" s="6" t="s">
        <v>369</v>
      </c>
      <c r="M66" s="14">
        <v>45896.981249999997</v>
      </c>
      <c r="N66" s="6" t="s">
        <v>487</v>
      </c>
      <c r="O66" s="6" t="s">
        <v>488</v>
      </c>
      <c r="P66" s="6" t="s">
        <v>276</v>
      </c>
      <c r="Q66" s="6" t="s">
        <v>268</v>
      </c>
      <c r="R66" s="6" t="s">
        <v>269</v>
      </c>
      <c r="S66" s="6" t="s">
        <v>8</v>
      </c>
      <c r="T66" s="6" t="s">
        <v>254</v>
      </c>
      <c r="U66" s="6" t="s">
        <v>172</v>
      </c>
      <c r="V66" s="6" t="s">
        <v>481</v>
      </c>
      <c r="W66" s="6" t="s">
        <v>91</v>
      </c>
      <c r="X66" s="6" t="s">
        <v>91</v>
      </c>
      <c r="Y66" s="6" t="s">
        <v>91</v>
      </c>
      <c r="Z66" s="6" t="s">
        <v>54</v>
      </c>
      <c r="AA66" s="6" t="s">
        <v>91</v>
      </c>
      <c r="AB66" s="6">
        <v>1309.3599999999999</v>
      </c>
      <c r="AC66" s="6">
        <v>90.08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288</v>
      </c>
      <c r="AJ66" s="6" t="s">
        <v>257</v>
      </c>
      <c r="AK66" s="6" t="s">
        <v>16</v>
      </c>
      <c r="AL66" s="6" t="s">
        <v>48</v>
      </c>
      <c r="AM66" s="6" t="s">
        <v>258</v>
      </c>
      <c r="AN66" s="6" t="s">
        <v>20</v>
      </c>
      <c r="AO66" s="6" t="s">
        <v>272</v>
      </c>
      <c r="AP66" s="6" t="s">
        <v>273</v>
      </c>
      <c r="AQ66" s="6" t="s">
        <v>18</v>
      </c>
    </row>
    <row r="67" spans="1:43" x14ac:dyDescent="0.25">
      <c r="A67" s="6">
        <v>22905085</v>
      </c>
      <c r="B67" s="6">
        <v>23679057</v>
      </c>
      <c r="C67" s="6" t="s">
        <v>248</v>
      </c>
      <c r="D67" s="14">
        <v>45910.883900462963</v>
      </c>
      <c r="E67" s="14">
        <v>45910.894050925926</v>
      </c>
      <c r="F67" s="6" t="s">
        <v>17</v>
      </c>
      <c r="G67" s="6" t="s">
        <v>17</v>
      </c>
      <c r="H67" s="6" t="s">
        <v>489</v>
      </c>
      <c r="I67" s="6" t="s">
        <v>16</v>
      </c>
      <c r="J67" s="6" t="s">
        <v>490</v>
      </c>
      <c r="K67" s="6" t="s">
        <v>369</v>
      </c>
      <c r="L67" s="6" t="s">
        <v>369</v>
      </c>
      <c r="M67" s="14">
        <v>45908.770138888889</v>
      </c>
      <c r="N67" s="6" t="s">
        <v>491</v>
      </c>
      <c r="O67" s="6" t="s">
        <v>91</v>
      </c>
      <c r="P67" s="6" t="s">
        <v>276</v>
      </c>
      <c r="Q67" s="6" t="s">
        <v>253</v>
      </c>
      <c r="R67" s="6" t="s">
        <v>253</v>
      </c>
      <c r="S67" s="6" t="s">
        <v>9</v>
      </c>
      <c r="T67" s="6" t="s">
        <v>254</v>
      </c>
      <c r="U67" s="6" t="s">
        <v>172</v>
      </c>
      <c r="V67" s="6" t="s">
        <v>492</v>
      </c>
      <c r="W67" s="6" t="s">
        <v>91</v>
      </c>
      <c r="X67" s="6" t="s">
        <v>91</v>
      </c>
      <c r="Y67" s="6" t="s">
        <v>91</v>
      </c>
      <c r="Z67" s="6" t="s">
        <v>54</v>
      </c>
      <c r="AA67" s="6" t="s">
        <v>91</v>
      </c>
      <c r="AB67" s="6">
        <v>1176.328</v>
      </c>
      <c r="AC67" s="6">
        <v>21.8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 t="s">
        <v>288</v>
      </c>
      <c r="AJ67" s="6" t="s">
        <v>482</v>
      </c>
      <c r="AK67" s="6" t="s">
        <v>16</v>
      </c>
      <c r="AL67" s="6" t="s">
        <v>53</v>
      </c>
      <c r="AM67" s="6" t="s">
        <v>67</v>
      </c>
      <c r="AN67" s="6" t="s">
        <v>20</v>
      </c>
      <c r="AO67" s="6" t="s">
        <v>272</v>
      </c>
      <c r="AP67" s="6" t="s">
        <v>273</v>
      </c>
      <c r="AQ67" s="6" t="s">
        <v>18</v>
      </c>
    </row>
    <row r="68" spans="1:43" x14ac:dyDescent="0.25">
      <c r="A68" s="6">
        <v>22909648</v>
      </c>
      <c r="B68" s="6">
        <v>23682892</v>
      </c>
      <c r="C68" s="6" t="s">
        <v>248</v>
      </c>
      <c r="D68" s="14">
        <v>45911.675949074073</v>
      </c>
      <c r="E68" s="14">
        <v>45912.220104166663</v>
      </c>
      <c r="F68" s="6" t="s">
        <v>17</v>
      </c>
      <c r="G68" s="6" t="s">
        <v>17</v>
      </c>
      <c r="H68" s="6" t="s">
        <v>493</v>
      </c>
      <c r="I68" s="6" t="s">
        <v>16</v>
      </c>
      <c r="J68" s="6" t="s">
        <v>494</v>
      </c>
      <c r="K68" s="6" t="s">
        <v>495</v>
      </c>
      <c r="L68" s="6" t="s">
        <v>495</v>
      </c>
      <c r="M68" s="14">
        <v>45911.418749999997</v>
      </c>
      <c r="N68" s="6">
        <v>13893799819</v>
      </c>
      <c r="O68" s="6" t="s">
        <v>91</v>
      </c>
      <c r="P68" s="6" t="s">
        <v>276</v>
      </c>
      <c r="Q68" s="6" t="s">
        <v>253</v>
      </c>
      <c r="R68" s="6" t="s">
        <v>253</v>
      </c>
      <c r="S68" s="6" t="s">
        <v>9</v>
      </c>
      <c r="T68" s="6" t="s">
        <v>254</v>
      </c>
      <c r="U68" s="6" t="s">
        <v>146</v>
      </c>
      <c r="V68" s="6" t="s">
        <v>473</v>
      </c>
      <c r="W68" s="6" t="s">
        <v>391</v>
      </c>
      <c r="X68" s="6" t="s">
        <v>91</v>
      </c>
      <c r="Y68" s="6" t="s">
        <v>91</v>
      </c>
      <c r="Z68" s="6" t="s">
        <v>84</v>
      </c>
      <c r="AA68" s="6" t="s">
        <v>91</v>
      </c>
      <c r="AB68" s="6">
        <v>367.75</v>
      </c>
      <c r="AC68" s="6">
        <v>18.39</v>
      </c>
      <c r="AD68" s="6">
        <v>0</v>
      </c>
      <c r="AE68" s="6">
        <v>0</v>
      </c>
      <c r="AF68" s="6">
        <v>0</v>
      </c>
      <c r="AG68" s="6">
        <v>0</v>
      </c>
      <c r="AH68" s="6">
        <v>27.34</v>
      </c>
      <c r="AI68" s="6" t="s">
        <v>288</v>
      </c>
      <c r="AJ68" s="6" t="s">
        <v>257</v>
      </c>
      <c r="AK68" s="6" t="s">
        <v>16</v>
      </c>
      <c r="AL68" s="6" t="s">
        <v>48</v>
      </c>
      <c r="AM68" s="6" t="s">
        <v>258</v>
      </c>
      <c r="AN68" s="6" t="s">
        <v>20</v>
      </c>
      <c r="AO68" s="6" t="s">
        <v>259</v>
      </c>
      <c r="AP68" s="6" t="s">
        <v>260</v>
      </c>
      <c r="AQ68" s="6" t="s">
        <v>31</v>
      </c>
    </row>
    <row r="69" spans="1:43" x14ac:dyDescent="0.25">
      <c r="A69" s="6">
        <v>22899116</v>
      </c>
      <c r="B69" s="6">
        <v>23673798</v>
      </c>
      <c r="C69" s="6" t="s">
        <v>248</v>
      </c>
      <c r="D69" s="14">
        <v>45910.014085648138</v>
      </c>
      <c r="E69" s="14">
        <v>45912.257453703707</v>
      </c>
      <c r="F69" s="6" t="s">
        <v>17</v>
      </c>
      <c r="G69" s="6" t="s">
        <v>17</v>
      </c>
      <c r="H69" s="6" t="s">
        <v>496</v>
      </c>
      <c r="I69" s="6" t="s">
        <v>337</v>
      </c>
      <c r="J69" s="6" t="s">
        <v>497</v>
      </c>
      <c r="K69" s="6" t="s">
        <v>498</v>
      </c>
      <c r="L69" s="6" t="s">
        <v>498</v>
      </c>
      <c r="M69" s="14">
        <v>45909.592361111107</v>
      </c>
      <c r="N69" s="6">
        <v>8555</v>
      </c>
      <c r="O69" s="6" t="s">
        <v>91</v>
      </c>
      <c r="P69" s="6" t="s">
        <v>252</v>
      </c>
      <c r="Q69" s="6" t="s">
        <v>268</v>
      </c>
      <c r="R69" s="6" t="s">
        <v>269</v>
      </c>
      <c r="S69" s="6" t="s">
        <v>3</v>
      </c>
      <c r="T69" s="6" t="s">
        <v>254</v>
      </c>
      <c r="U69" s="6" t="s">
        <v>193</v>
      </c>
      <c r="V69" s="6" t="s">
        <v>499</v>
      </c>
      <c r="W69" s="6" t="s">
        <v>91</v>
      </c>
      <c r="X69" s="6" t="s">
        <v>91</v>
      </c>
      <c r="Y69" s="6" t="s">
        <v>91</v>
      </c>
      <c r="Z69" s="6" t="s">
        <v>133</v>
      </c>
      <c r="AA69" s="6" t="s">
        <v>91</v>
      </c>
      <c r="AB69" s="6">
        <v>252.46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 t="s">
        <v>500</v>
      </c>
      <c r="AJ69" s="6" t="s">
        <v>257</v>
      </c>
      <c r="AK69" s="6" t="s">
        <v>12</v>
      </c>
      <c r="AL69" s="6" t="s">
        <v>48</v>
      </c>
      <c r="AM69" s="6" t="s">
        <v>258</v>
      </c>
      <c r="AN69" s="6" t="s">
        <v>20</v>
      </c>
      <c r="AO69" s="6" t="s">
        <v>272</v>
      </c>
      <c r="AP69" s="6" t="s">
        <v>273</v>
      </c>
      <c r="AQ69" s="6" t="s">
        <v>18</v>
      </c>
    </row>
    <row r="70" spans="1:43" x14ac:dyDescent="0.25">
      <c r="A70" s="6">
        <v>22853284</v>
      </c>
      <c r="B70" s="6">
        <v>23634129</v>
      </c>
      <c r="C70" s="6" t="s">
        <v>248</v>
      </c>
      <c r="D70" s="14">
        <v>45902.438877314817</v>
      </c>
      <c r="E70" s="14">
        <v>45903.206863425927</v>
      </c>
      <c r="F70" s="6" t="s">
        <v>23</v>
      </c>
      <c r="G70" s="6" t="s">
        <v>23</v>
      </c>
      <c r="H70" s="6" t="s">
        <v>501</v>
      </c>
      <c r="I70" s="6" t="s">
        <v>16</v>
      </c>
      <c r="J70" s="6" t="s">
        <v>502</v>
      </c>
      <c r="K70" s="6" t="s">
        <v>369</v>
      </c>
      <c r="L70" s="6" t="s">
        <v>369</v>
      </c>
      <c r="M70" s="14">
        <v>45901.782638888893</v>
      </c>
      <c r="N70" s="6" t="s">
        <v>503</v>
      </c>
      <c r="O70" s="6" t="s">
        <v>91</v>
      </c>
      <c r="P70" s="6" t="s">
        <v>276</v>
      </c>
      <c r="Q70" s="6" t="s">
        <v>253</v>
      </c>
      <c r="R70" s="6" t="s">
        <v>253</v>
      </c>
      <c r="S70" s="6" t="s">
        <v>9</v>
      </c>
      <c r="T70" s="6" t="s">
        <v>254</v>
      </c>
      <c r="U70" s="6" t="s">
        <v>130</v>
      </c>
      <c r="V70" s="6" t="s">
        <v>504</v>
      </c>
      <c r="W70" s="6" t="s">
        <v>391</v>
      </c>
      <c r="X70" s="6" t="s">
        <v>91</v>
      </c>
      <c r="Y70" s="6" t="s">
        <v>91</v>
      </c>
      <c r="Z70" s="6" t="s">
        <v>54</v>
      </c>
      <c r="AA70" s="6" t="s">
        <v>91</v>
      </c>
      <c r="AB70" s="6">
        <v>2495.96</v>
      </c>
      <c r="AC70" s="6">
        <v>60.44</v>
      </c>
      <c r="AD70" s="6">
        <v>0</v>
      </c>
      <c r="AE70" s="6">
        <v>0</v>
      </c>
      <c r="AF70" s="6">
        <v>0</v>
      </c>
      <c r="AG70" s="6">
        <v>0</v>
      </c>
      <c r="AH70" s="6">
        <v>8</v>
      </c>
      <c r="AI70" s="6" t="s">
        <v>288</v>
      </c>
      <c r="AJ70" s="6" t="s">
        <v>257</v>
      </c>
      <c r="AK70" s="6" t="s">
        <v>16</v>
      </c>
      <c r="AL70" s="6" t="s">
        <v>48</v>
      </c>
      <c r="AM70" s="6" t="s">
        <v>258</v>
      </c>
      <c r="AN70" s="6" t="s">
        <v>20</v>
      </c>
      <c r="AO70" s="6" t="s">
        <v>259</v>
      </c>
      <c r="AP70" s="6" t="s">
        <v>260</v>
      </c>
      <c r="AQ70" s="6" t="s">
        <v>31</v>
      </c>
    </row>
    <row r="71" spans="1:43" x14ac:dyDescent="0.25">
      <c r="A71" s="6">
        <v>22853289</v>
      </c>
      <c r="B71" s="6">
        <v>23634132</v>
      </c>
      <c r="C71" s="6" t="s">
        <v>248</v>
      </c>
      <c r="D71" s="14">
        <v>45902.439143518517</v>
      </c>
      <c r="E71" s="14">
        <v>45902.463009259263</v>
      </c>
      <c r="F71" s="6" t="s">
        <v>23</v>
      </c>
      <c r="G71" s="6" t="s">
        <v>23</v>
      </c>
      <c r="H71" s="6" t="s">
        <v>505</v>
      </c>
      <c r="I71" s="6" t="s">
        <v>16</v>
      </c>
      <c r="J71" s="6" t="s">
        <v>502</v>
      </c>
      <c r="K71" s="6" t="s">
        <v>369</v>
      </c>
      <c r="L71" s="6" t="s">
        <v>369</v>
      </c>
      <c r="M71" s="14">
        <v>45901.785416666673</v>
      </c>
      <c r="N71" s="6" t="s">
        <v>506</v>
      </c>
      <c r="O71" s="6" t="s">
        <v>507</v>
      </c>
      <c r="P71" s="6" t="s">
        <v>276</v>
      </c>
      <c r="Q71" s="6" t="s">
        <v>268</v>
      </c>
      <c r="R71" s="6" t="s">
        <v>269</v>
      </c>
      <c r="S71" s="6" t="s">
        <v>8</v>
      </c>
      <c r="T71" s="6" t="s">
        <v>254</v>
      </c>
      <c r="U71" s="6" t="s">
        <v>130</v>
      </c>
      <c r="V71" s="6" t="s">
        <v>504</v>
      </c>
      <c r="W71" s="6" t="s">
        <v>391</v>
      </c>
      <c r="X71" s="6" t="s">
        <v>91</v>
      </c>
      <c r="Y71" s="6" t="s">
        <v>91</v>
      </c>
      <c r="Z71" s="6" t="s">
        <v>54</v>
      </c>
      <c r="AA71" s="6" t="s">
        <v>91</v>
      </c>
      <c r="AB71" s="6">
        <v>683.68</v>
      </c>
      <c r="AC71" s="6">
        <v>68.27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 t="s">
        <v>288</v>
      </c>
      <c r="AJ71" s="6" t="s">
        <v>257</v>
      </c>
      <c r="AK71" s="6" t="s">
        <v>16</v>
      </c>
      <c r="AL71" s="6" t="s">
        <v>48</v>
      </c>
      <c r="AM71" s="6" t="s">
        <v>258</v>
      </c>
      <c r="AN71" s="6" t="s">
        <v>20</v>
      </c>
      <c r="AO71" s="6" t="s">
        <v>272</v>
      </c>
      <c r="AP71" s="6" t="s">
        <v>273</v>
      </c>
      <c r="AQ71" s="6" t="s">
        <v>18</v>
      </c>
    </row>
    <row r="72" spans="1:43" x14ac:dyDescent="0.25">
      <c r="A72" s="6">
        <v>22853292</v>
      </c>
      <c r="B72" s="6">
        <v>23634135</v>
      </c>
      <c r="C72" s="6" t="s">
        <v>248</v>
      </c>
      <c r="D72" s="14">
        <v>45902.439606481479</v>
      </c>
      <c r="E72" s="14">
        <v>45902.463101851848</v>
      </c>
      <c r="F72" s="6" t="s">
        <v>23</v>
      </c>
      <c r="G72" s="6" t="s">
        <v>23</v>
      </c>
      <c r="H72" s="6" t="s">
        <v>508</v>
      </c>
      <c r="I72" s="6" t="s">
        <v>16</v>
      </c>
      <c r="J72" s="6" t="s">
        <v>502</v>
      </c>
      <c r="K72" s="6" t="s">
        <v>369</v>
      </c>
      <c r="L72" s="6" t="s">
        <v>369</v>
      </c>
      <c r="M72" s="14">
        <v>45901.789583333331</v>
      </c>
      <c r="N72" s="6" t="s">
        <v>509</v>
      </c>
      <c r="O72" s="6" t="s">
        <v>510</v>
      </c>
      <c r="P72" s="6" t="s">
        <v>276</v>
      </c>
      <c r="Q72" s="6" t="s">
        <v>268</v>
      </c>
      <c r="R72" s="6" t="s">
        <v>269</v>
      </c>
      <c r="S72" s="6" t="s">
        <v>8</v>
      </c>
      <c r="T72" s="6" t="s">
        <v>254</v>
      </c>
      <c r="U72" s="6" t="s">
        <v>130</v>
      </c>
      <c r="V72" s="6" t="s">
        <v>504</v>
      </c>
      <c r="W72" s="6" t="s">
        <v>391</v>
      </c>
      <c r="X72" s="6" t="s">
        <v>91</v>
      </c>
      <c r="Y72" s="6" t="s">
        <v>91</v>
      </c>
      <c r="Z72" s="6" t="s">
        <v>54</v>
      </c>
      <c r="AA72" s="6" t="s">
        <v>91</v>
      </c>
      <c r="AB72" s="6">
        <v>341.84</v>
      </c>
      <c r="AC72" s="6">
        <v>29.56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 t="s">
        <v>288</v>
      </c>
      <c r="AJ72" s="6" t="s">
        <v>257</v>
      </c>
      <c r="AK72" s="6" t="s">
        <v>16</v>
      </c>
      <c r="AL72" s="6" t="s">
        <v>48</v>
      </c>
      <c r="AM72" s="6" t="s">
        <v>258</v>
      </c>
      <c r="AN72" s="6" t="s">
        <v>20</v>
      </c>
      <c r="AO72" s="6" t="s">
        <v>272</v>
      </c>
      <c r="AP72" s="6" t="s">
        <v>273</v>
      </c>
      <c r="AQ72" s="6" t="s">
        <v>18</v>
      </c>
    </row>
    <row r="73" spans="1:43" x14ac:dyDescent="0.25">
      <c r="A73" s="6">
        <v>22890482</v>
      </c>
      <c r="B73" s="6">
        <v>23666032</v>
      </c>
      <c r="C73" s="6" t="s">
        <v>248</v>
      </c>
      <c r="D73" s="14">
        <v>45908.730891203697</v>
      </c>
      <c r="E73" s="14">
        <v>45908.754652777781</v>
      </c>
      <c r="F73" s="6" t="s">
        <v>19</v>
      </c>
      <c r="G73" s="6" t="s">
        <v>19</v>
      </c>
      <c r="H73" s="6" t="s">
        <v>511</v>
      </c>
      <c r="I73" s="6" t="s">
        <v>16</v>
      </c>
      <c r="J73" s="6" t="s">
        <v>512</v>
      </c>
      <c r="K73" s="6" t="s">
        <v>369</v>
      </c>
      <c r="L73" s="6" t="s">
        <v>369</v>
      </c>
      <c r="M73" s="14">
        <v>45908.39166666667</v>
      </c>
      <c r="N73" s="6" t="s">
        <v>513</v>
      </c>
      <c r="O73" s="6" t="s">
        <v>514</v>
      </c>
      <c r="P73" s="6" t="s">
        <v>276</v>
      </c>
      <c r="Q73" s="6" t="s">
        <v>268</v>
      </c>
      <c r="R73" s="6" t="s">
        <v>269</v>
      </c>
      <c r="S73" s="6" t="s">
        <v>8</v>
      </c>
      <c r="T73" s="6" t="s">
        <v>254</v>
      </c>
      <c r="U73" s="6" t="s">
        <v>130</v>
      </c>
      <c r="V73" s="6" t="s">
        <v>504</v>
      </c>
      <c r="W73" s="6" t="s">
        <v>391</v>
      </c>
      <c r="X73" s="6" t="s">
        <v>91</v>
      </c>
      <c r="Y73" s="6" t="s">
        <v>91</v>
      </c>
      <c r="Z73" s="6" t="s">
        <v>54</v>
      </c>
      <c r="AA73" s="6" t="s">
        <v>91</v>
      </c>
      <c r="AB73" s="6">
        <v>326.22000000000003</v>
      </c>
      <c r="AC73" s="6">
        <v>204.01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 t="s">
        <v>288</v>
      </c>
      <c r="AJ73" s="6" t="s">
        <v>257</v>
      </c>
      <c r="AK73" s="6" t="s">
        <v>16</v>
      </c>
      <c r="AL73" s="6" t="s">
        <v>48</v>
      </c>
      <c r="AM73" s="6" t="s">
        <v>258</v>
      </c>
      <c r="AN73" s="6" t="s">
        <v>20</v>
      </c>
      <c r="AO73" s="6" t="s">
        <v>272</v>
      </c>
      <c r="AP73" s="6" t="s">
        <v>273</v>
      </c>
      <c r="AQ73" s="6" t="s">
        <v>18</v>
      </c>
    </row>
    <row r="74" spans="1:43" x14ac:dyDescent="0.25">
      <c r="A74" s="6">
        <v>22890485</v>
      </c>
      <c r="B74" s="6">
        <v>23666034</v>
      </c>
      <c r="C74" s="6" t="s">
        <v>248</v>
      </c>
      <c r="D74" s="14">
        <v>45908.731631944444</v>
      </c>
      <c r="E74" s="14">
        <v>45908.754733796297</v>
      </c>
      <c r="F74" s="6" t="s">
        <v>19</v>
      </c>
      <c r="G74" s="6" t="s">
        <v>19</v>
      </c>
      <c r="H74" s="6" t="s">
        <v>515</v>
      </c>
      <c r="I74" s="6" t="s">
        <v>16</v>
      </c>
      <c r="J74" s="6" t="s">
        <v>512</v>
      </c>
      <c r="K74" s="6" t="s">
        <v>369</v>
      </c>
      <c r="L74" s="6" t="s">
        <v>369</v>
      </c>
      <c r="M74" s="14">
        <v>45908.399305555547</v>
      </c>
      <c r="N74" s="6" t="s">
        <v>516</v>
      </c>
      <c r="O74" s="6" t="s">
        <v>514</v>
      </c>
      <c r="P74" s="6" t="s">
        <v>276</v>
      </c>
      <c r="Q74" s="6" t="s">
        <v>268</v>
      </c>
      <c r="R74" s="6" t="s">
        <v>269</v>
      </c>
      <c r="S74" s="6" t="s">
        <v>8</v>
      </c>
      <c r="T74" s="6" t="s">
        <v>254</v>
      </c>
      <c r="U74" s="6" t="s">
        <v>130</v>
      </c>
      <c r="V74" s="6" t="s">
        <v>504</v>
      </c>
      <c r="W74" s="6" t="s">
        <v>391</v>
      </c>
      <c r="X74" s="6" t="s">
        <v>91</v>
      </c>
      <c r="Y74" s="6" t="s">
        <v>91</v>
      </c>
      <c r="Z74" s="6" t="s">
        <v>54</v>
      </c>
      <c r="AA74" s="6" t="s">
        <v>91</v>
      </c>
      <c r="AB74" s="6">
        <v>468.55</v>
      </c>
      <c r="AC74" s="6">
        <v>342.8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288</v>
      </c>
      <c r="AJ74" s="6" t="s">
        <v>257</v>
      </c>
      <c r="AK74" s="6" t="s">
        <v>16</v>
      </c>
      <c r="AL74" s="6" t="s">
        <v>48</v>
      </c>
      <c r="AM74" s="6" t="s">
        <v>258</v>
      </c>
      <c r="AN74" s="6" t="s">
        <v>20</v>
      </c>
      <c r="AO74" s="6" t="s">
        <v>272</v>
      </c>
      <c r="AP74" s="6" t="s">
        <v>273</v>
      </c>
      <c r="AQ74" s="6" t="s">
        <v>18</v>
      </c>
    </row>
    <row r="75" spans="1:43" x14ac:dyDescent="0.25">
      <c r="A75" s="6">
        <v>22860088</v>
      </c>
      <c r="B75" s="6">
        <v>23640119</v>
      </c>
      <c r="C75" s="6" t="s">
        <v>248</v>
      </c>
      <c r="D75" s="14">
        <v>45903.421712962961</v>
      </c>
      <c r="E75" s="14">
        <v>45904.927511574067</v>
      </c>
      <c r="F75" s="6" t="s">
        <v>21</v>
      </c>
      <c r="G75" s="6" t="s">
        <v>23</v>
      </c>
      <c r="H75" s="6" t="s">
        <v>517</v>
      </c>
      <c r="I75" s="6" t="s">
        <v>13</v>
      </c>
      <c r="J75" s="6" t="s">
        <v>518</v>
      </c>
      <c r="K75" s="6" t="s">
        <v>275</v>
      </c>
      <c r="L75" s="6" t="s">
        <v>275</v>
      </c>
      <c r="M75" s="14">
        <v>45903.404166666667</v>
      </c>
      <c r="N75" s="6">
        <v>4591912</v>
      </c>
      <c r="O75" s="6" t="s">
        <v>91</v>
      </c>
      <c r="P75" s="6" t="s">
        <v>276</v>
      </c>
      <c r="Q75" s="6" t="s">
        <v>253</v>
      </c>
      <c r="R75" s="6" t="s">
        <v>253</v>
      </c>
      <c r="S75" s="6" t="s">
        <v>9</v>
      </c>
      <c r="T75" s="6" t="s">
        <v>254</v>
      </c>
      <c r="U75" s="6" t="s">
        <v>203</v>
      </c>
      <c r="V75" s="6" t="s">
        <v>519</v>
      </c>
      <c r="W75" s="6" t="s">
        <v>91</v>
      </c>
      <c r="X75" s="6" t="s">
        <v>91</v>
      </c>
      <c r="Y75" s="6" t="s">
        <v>91</v>
      </c>
      <c r="Z75" s="6" t="s">
        <v>128</v>
      </c>
      <c r="AA75" s="6" t="s">
        <v>91</v>
      </c>
      <c r="AB75" s="6">
        <v>452.4</v>
      </c>
      <c r="AC75" s="6">
        <v>22.62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520</v>
      </c>
      <c r="AJ75" s="6" t="s">
        <v>257</v>
      </c>
      <c r="AK75" s="6" t="s">
        <v>13</v>
      </c>
      <c r="AL75" s="6" t="s">
        <v>48</v>
      </c>
      <c r="AM75" s="6" t="s">
        <v>258</v>
      </c>
      <c r="AN75" s="6" t="s">
        <v>20</v>
      </c>
      <c r="AO75" s="6" t="s">
        <v>259</v>
      </c>
      <c r="AP75" s="6" t="s">
        <v>260</v>
      </c>
      <c r="AQ75" s="6" t="s">
        <v>31</v>
      </c>
    </row>
    <row r="76" spans="1:43" x14ac:dyDescent="0.25">
      <c r="A76" s="6">
        <v>22819175</v>
      </c>
      <c r="B76" s="6">
        <v>23605304</v>
      </c>
      <c r="C76" s="6" t="s">
        <v>248</v>
      </c>
      <c r="D76" s="14">
        <v>45896.398240740738</v>
      </c>
      <c r="E76" s="14">
        <v>45897.264340277783</v>
      </c>
      <c r="F76" s="6" t="s">
        <v>23</v>
      </c>
      <c r="G76" s="6" t="s">
        <v>25</v>
      </c>
      <c r="H76" s="6" t="s">
        <v>521</v>
      </c>
      <c r="I76" s="6" t="s">
        <v>16</v>
      </c>
      <c r="J76" s="6" t="s">
        <v>522</v>
      </c>
      <c r="K76" s="6" t="s">
        <v>369</v>
      </c>
      <c r="L76" s="6" t="s">
        <v>369</v>
      </c>
      <c r="M76" s="14">
        <v>45895.966666666667</v>
      </c>
      <c r="N76" s="6" t="s">
        <v>523</v>
      </c>
      <c r="O76" s="6" t="s">
        <v>91</v>
      </c>
      <c r="P76" s="6" t="s">
        <v>276</v>
      </c>
      <c r="Q76" s="6" t="s">
        <v>253</v>
      </c>
      <c r="R76" s="6" t="s">
        <v>253</v>
      </c>
      <c r="S76" s="6" t="s">
        <v>9</v>
      </c>
      <c r="T76" s="6" t="s">
        <v>254</v>
      </c>
      <c r="U76" s="6" t="s">
        <v>134</v>
      </c>
      <c r="V76" s="6" t="s">
        <v>524</v>
      </c>
      <c r="W76" s="6" t="s">
        <v>391</v>
      </c>
      <c r="X76" s="6" t="s">
        <v>91</v>
      </c>
      <c r="Y76" s="6" t="s">
        <v>91</v>
      </c>
      <c r="Z76" s="6" t="s">
        <v>76</v>
      </c>
      <c r="AA76" s="6" t="s">
        <v>91</v>
      </c>
      <c r="AB76" s="6">
        <v>425.7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13</v>
      </c>
      <c r="AI76" s="6" t="s">
        <v>288</v>
      </c>
      <c r="AJ76" s="6" t="s">
        <v>257</v>
      </c>
      <c r="AK76" s="6" t="s">
        <v>16</v>
      </c>
      <c r="AL76" s="6" t="s">
        <v>48</v>
      </c>
      <c r="AM76" s="6" t="s">
        <v>258</v>
      </c>
      <c r="AN76" s="6" t="s">
        <v>20</v>
      </c>
      <c r="AO76" s="6" t="s">
        <v>259</v>
      </c>
      <c r="AP76" s="6" t="s">
        <v>260</v>
      </c>
      <c r="AQ76" s="6" t="s">
        <v>31</v>
      </c>
    </row>
    <row r="77" spans="1:43" x14ac:dyDescent="0.25">
      <c r="A77" s="6">
        <v>22821368</v>
      </c>
      <c r="B77" s="6">
        <v>23607400</v>
      </c>
      <c r="C77" s="6" t="s">
        <v>248</v>
      </c>
      <c r="D77" s="14">
        <v>45896.658078703702</v>
      </c>
      <c r="E77" s="14">
        <v>45897.277905092589</v>
      </c>
      <c r="F77" s="6" t="s">
        <v>23</v>
      </c>
      <c r="G77" s="6" t="s">
        <v>25</v>
      </c>
      <c r="H77" s="6" t="s">
        <v>525</v>
      </c>
      <c r="I77" s="6" t="s">
        <v>16</v>
      </c>
      <c r="J77" s="6" t="s">
        <v>526</v>
      </c>
      <c r="K77" s="6" t="s">
        <v>369</v>
      </c>
      <c r="L77" s="6" t="s">
        <v>369</v>
      </c>
      <c r="M77" s="14">
        <v>45891.480555555558</v>
      </c>
      <c r="N77" s="6" t="s">
        <v>527</v>
      </c>
      <c r="O77" s="6" t="s">
        <v>91</v>
      </c>
      <c r="P77" s="6" t="s">
        <v>276</v>
      </c>
      <c r="Q77" s="6" t="s">
        <v>253</v>
      </c>
      <c r="R77" s="6" t="s">
        <v>253</v>
      </c>
      <c r="S77" s="6" t="s">
        <v>9</v>
      </c>
      <c r="T77" s="6" t="s">
        <v>254</v>
      </c>
      <c r="U77" s="6" t="s">
        <v>134</v>
      </c>
      <c r="V77" s="6" t="s">
        <v>524</v>
      </c>
      <c r="W77" s="6" t="s">
        <v>391</v>
      </c>
      <c r="X77" s="6" t="s">
        <v>91</v>
      </c>
      <c r="Y77" s="6" t="s">
        <v>91</v>
      </c>
      <c r="Z77" s="6" t="s">
        <v>76</v>
      </c>
      <c r="AA77" s="6" t="s">
        <v>91</v>
      </c>
      <c r="AB77" s="6">
        <v>5453.4</v>
      </c>
      <c r="AC77" s="6">
        <v>785</v>
      </c>
      <c r="AD77" s="6">
        <v>0</v>
      </c>
      <c r="AE77" s="6">
        <v>0</v>
      </c>
      <c r="AF77" s="6">
        <v>0</v>
      </c>
      <c r="AG77" s="6">
        <v>0</v>
      </c>
      <c r="AH77" s="6">
        <v>13</v>
      </c>
      <c r="AI77" s="6" t="s">
        <v>288</v>
      </c>
      <c r="AJ77" s="6" t="s">
        <v>257</v>
      </c>
      <c r="AK77" s="6" t="s">
        <v>16</v>
      </c>
      <c r="AL77" s="6" t="s">
        <v>48</v>
      </c>
      <c r="AM77" s="6" t="s">
        <v>258</v>
      </c>
      <c r="AN77" s="6" t="s">
        <v>20</v>
      </c>
      <c r="AO77" s="6" t="s">
        <v>259</v>
      </c>
      <c r="AP77" s="6" t="s">
        <v>260</v>
      </c>
      <c r="AQ77" s="6" t="s">
        <v>31</v>
      </c>
    </row>
    <row r="78" spans="1:43" x14ac:dyDescent="0.25">
      <c r="A78" s="6">
        <v>22846100</v>
      </c>
      <c r="B78" s="6">
        <v>23627691</v>
      </c>
      <c r="C78" s="6" t="s">
        <v>248</v>
      </c>
      <c r="D78" s="14">
        <v>45901.357499999998</v>
      </c>
      <c r="E78" s="14">
        <v>45902.266030092593</v>
      </c>
      <c r="F78" s="6" t="s">
        <v>23</v>
      </c>
      <c r="G78" s="6" t="s">
        <v>23</v>
      </c>
      <c r="H78" s="6" t="s">
        <v>528</v>
      </c>
      <c r="I78" s="6" t="s">
        <v>16</v>
      </c>
      <c r="J78" s="6" t="s">
        <v>529</v>
      </c>
      <c r="K78" s="6" t="s">
        <v>369</v>
      </c>
      <c r="L78" s="6" t="s">
        <v>369</v>
      </c>
      <c r="M78" s="14">
        <v>45898.546527777777</v>
      </c>
      <c r="N78" s="6" t="s">
        <v>530</v>
      </c>
      <c r="O78" s="6" t="s">
        <v>91</v>
      </c>
      <c r="P78" s="6" t="s">
        <v>276</v>
      </c>
      <c r="Q78" s="6" t="s">
        <v>253</v>
      </c>
      <c r="R78" s="6" t="s">
        <v>253</v>
      </c>
      <c r="S78" s="6" t="s">
        <v>9</v>
      </c>
      <c r="T78" s="6" t="s">
        <v>254</v>
      </c>
      <c r="U78" s="6" t="s">
        <v>134</v>
      </c>
      <c r="V78" s="6" t="s">
        <v>524</v>
      </c>
      <c r="W78" s="6" t="s">
        <v>391</v>
      </c>
      <c r="X78" s="6" t="s">
        <v>91</v>
      </c>
      <c r="Y78" s="6" t="s">
        <v>91</v>
      </c>
      <c r="Z78" s="6" t="s">
        <v>76</v>
      </c>
      <c r="AA78" s="6" t="s">
        <v>91</v>
      </c>
      <c r="AB78" s="6">
        <v>12085.091200000001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>
        <v>13</v>
      </c>
      <c r="AI78" s="6" t="s">
        <v>288</v>
      </c>
      <c r="AJ78" s="6" t="s">
        <v>257</v>
      </c>
      <c r="AK78" s="6" t="s">
        <v>16</v>
      </c>
      <c r="AL78" s="6" t="s">
        <v>48</v>
      </c>
      <c r="AM78" s="6" t="s">
        <v>258</v>
      </c>
      <c r="AN78" s="6" t="s">
        <v>20</v>
      </c>
      <c r="AO78" s="6" t="s">
        <v>259</v>
      </c>
      <c r="AP78" s="6" t="s">
        <v>260</v>
      </c>
      <c r="AQ78" s="6" t="s">
        <v>31</v>
      </c>
    </row>
    <row r="79" spans="1:43" x14ac:dyDescent="0.25">
      <c r="A79" s="6">
        <v>22850136</v>
      </c>
      <c r="B79" s="6">
        <v>23631688</v>
      </c>
      <c r="C79" s="6" t="s">
        <v>248</v>
      </c>
      <c r="D79" s="14">
        <v>45901.774212962962</v>
      </c>
      <c r="E79" s="14">
        <v>45902.283449074072</v>
      </c>
      <c r="F79" s="6" t="s">
        <v>23</v>
      </c>
      <c r="G79" s="6" t="s">
        <v>23</v>
      </c>
      <c r="H79" s="6" t="s">
        <v>531</v>
      </c>
      <c r="I79" s="6" t="s">
        <v>16</v>
      </c>
      <c r="J79" s="6" t="s">
        <v>532</v>
      </c>
      <c r="K79" s="6" t="s">
        <v>369</v>
      </c>
      <c r="L79" s="6" t="s">
        <v>369</v>
      </c>
      <c r="M79" s="14">
        <v>45901.548611111109</v>
      </c>
      <c r="N79" s="6" t="s">
        <v>533</v>
      </c>
      <c r="O79" s="6" t="s">
        <v>91</v>
      </c>
      <c r="P79" s="6" t="s">
        <v>276</v>
      </c>
      <c r="Q79" s="6" t="s">
        <v>253</v>
      </c>
      <c r="R79" s="6" t="s">
        <v>253</v>
      </c>
      <c r="S79" s="6" t="s">
        <v>9</v>
      </c>
      <c r="T79" s="6" t="s">
        <v>254</v>
      </c>
      <c r="U79" s="6" t="s">
        <v>134</v>
      </c>
      <c r="V79" s="6" t="s">
        <v>524</v>
      </c>
      <c r="W79" s="6" t="s">
        <v>391</v>
      </c>
      <c r="X79" s="6" t="s">
        <v>91</v>
      </c>
      <c r="Y79" s="6" t="s">
        <v>91</v>
      </c>
      <c r="Z79" s="6" t="s">
        <v>76</v>
      </c>
      <c r="AA79" s="6" t="s">
        <v>91</v>
      </c>
      <c r="AB79" s="6">
        <v>1819.76</v>
      </c>
      <c r="AC79" s="6">
        <v>218.38</v>
      </c>
      <c r="AD79" s="6">
        <v>0</v>
      </c>
      <c r="AE79" s="6">
        <v>0</v>
      </c>
      <c r="AF79" s="6">
        <v>0</v>
      </c>
      <c r="AG79" s="6">
        <v>0</v>
      </c>
      <c r="AH79" s="6">
        <v>38</v>
      </c>
      <c r="AI79" s="6" t="s">
        <v>288</v>
      </c>
      <c r="AJ79" s="6" t="s">
        <v>257</v>
      </c>
      <c r="AK79" s="6" t="s">
        <v>16</v>
      </c>
      <c r="AL79" s="6" t="s">
        <v>48</v>
      </c>
      <c r="AM79" s="6" t="s">
        <v>258</v>
      </c>
      <c r="AN79" s="6" t="s">
        <v>20</v>
      </c>
      <c r="AO79" s="6" t="s">
        <v>259</v>
      </c>
      <c r="AP79" s="6" t="s">
        <v>260</v>
      </c>
      <c r="AQ79" s="6" t="s">
        <v>31</v>
      </c>
    </row>
    <row r="80" spans="1:43" x14ac:dyDescent="0.25">
      <c r="A80" s="6">
        <v>22905536</v>
      </c>
      <c r="B80" s="6">
        <v>23679474</v>
      </c>
      <c r="C80" s="6" t="s">
        <v>248</v>
      </c>
      <c r="D80" s="14">
        <v>45910.942673611113</v>
      </c>
      <c r="E80" s="14">
        <v>45910.950729166667</v>
      </c>
      <c r="F80" s="6" t="s">
        <v>17</v>
      </c>
      <c r="G80" s="6" t="s">
        <v>17</v>
      </c>
      <c r="H80" s="6" t="s">
        <v>534</v>
      </c>
      <c r="I80" s="6" t="s">
        <v>16</v>
      </c>
      <c r="J80" s="6" t="s">
        <v>535</v>
      </c>
      <c r="K80" s="6" t="s">
        <v>374</v>
      </c>
      <c r="L80" s="6" t="s">
        <v>374</v>
      </c>
      <c r="M80" s="14">
        <v>45910.62222222222</v>
      </c>
      <c r="N80" s="6" t="s">
        <v>536</v>
      </c>
      <c r="O80" s="6" t="s">
        <v>91</v>
      </c>
      <c r="P80" s="6" t="s">
        <v>252</v>
      </c>
      <c r="Q80" s="6" t="s">
        <v>268</v>
      </c>
      <c r="R80" s="6" t="s">
        <v>269</v>
      </c>
      <c r="S80" s="6" t="s">
        <v>9</v>
      </c>
      <c r="T80" s="6" t="s">
        <v>254</v>
      </c>
      <c r="U80" s="6" t="s">
        <v>134</v>
      </c>
      <c r="V80" s="6" t="s">
        <v>537</v>
      </c>
      <c r="W80" s="6" t="s">
        <v>91</v>
      </c>
      <c r="X80" s="6" t="s">
        <v>91</v>
      </c>
      <c r="Y80" s="6" t="s">
        <v>91</v>
      </c>
      <c r="Z80" s="6" t="s">
        <v>76</v>
      </c>
      <c r="AA80" s="6" t="s">
        <v>91</v>
      </c>
      <c r="AB80" s="6">
        <v>856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288</v>
      </c>
      <c r="AJ80" s="6" t="s">
        <v>257</v>
      </c>
      <c r="AK80" s="6" t="s">
        <v>16</v>
      </c>
      <c r="AL80" s="6" t="s">
        <v>48</v>
      </c>
      <c r="AM80" s="6" t="s">
        <v>258</v>
      </c>
      <c r="AN80" s="6" t="s">
        <v>20</v>
      </c>
      <c r="AO80" s="6" t="s">
        <v>272</v>
      </c>
      <c r="AP80" s="6" t="s">
        <v>273</v>
      </c>
      <c r="AQ80" s="6" t="s">
        <v>18</v>
      </c>
    </row>
    <row r="81" spans="1:43" x14ac:dyDescent="0.25">
      <c r="A81" s="6">
        <v>22861953</v>
      </c>
      <c r="B81" s="6">
        <v>23641862</v>
      </c>
      <c r="C81" s="6" t="s">
        <v>248</v>
      </c>
      <c r="D81" s="14">
        <v>45903.649282407408</v>
      </c>
      <c r="E81" s="14">
        <v>45903.649664351848</v>
      </c>
      <c r="F81" s="6" t="s">
        <v>23</v>
      </c>
      <c r="G81" s="6" t="s">
        <v>23</v>
      </c>
      <c r="H81" s="6">
        <v>19847091</v>
      </c>
      <c r="I81" s="6" t="s">
        <v>13</v>
      </c>
      <c r="J81" s="6" t="s">
        <v>538</v>
      </c>
      <c r="K81" s="6" t="s">
        <v>275</v>
      </c>
      <c r="L81" s="6" t="s">
        <v>275</v>
      </c>
      <c r="M81" s="14">
        <v>45903.634722222218</v>
      </c>
      <c r="N81" s="6">
        <v>4592209</v>
      </c>
      <c r="O81" s="6" t="s">
        <v>91</v>
      </c>
      <c r="P81" s="6" t="s">
        <v>276</v>
      </c>
      <c r="Q81" s="6" t="s">
        <v>253</v>
      </c>
      <c r="R81" s="6" t="s">
        <v>253</v>
      </c>
      <c r="S81" s="6" t="s">
        <v>9</v>
      </c>
      <c r="T81" s="6" t="s">
        <v>254</v>
      </c>
      <c r="U81" s="6" t="s">
        <v>162</v>
      </c>
      <c r="V81" s="6" t="s">
        <v>539</v>
      </c>
      <c r="W81" s="6" t="s">
        <v>91</v>
      </c>
      <c r="X81" s="6" t="s">
        <v>91</v>
      </c>
      <c r="Y81" s="6" t="s">
        <v>91</v>
      </c>
      <c r="Z81" s="6" t="s">
        <v>94</v>
      </c>
      <c r="AA81" s="6" t="s">
        <v>91</v>
      </c>
      <c r="AB81" s="6">
        <v>630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540</v>
      </c>
      <c r="AJ81" s="6" t="s">
        <v>257</v>
      </c>
      <c r="AK81" s="6" t="s">
        <v>13</v>
      </c>
      <c r="AL81" s="6" t="s">
        <v>48</v>
      </c>
      <c r="AM81" s="6" t="s">
        <v>258</v>
      </c>
      <c r="AN81" s="6" t="s">
        <v>20</v>
      </c>
      <c r="AO81" s="6" t="s">
        <v>259</v>
      </c>
      <c r="AP81" s="6" t="s">
        <v>260</v>
      </c>
      <c r="AQ81" s="6" t="s">
        <v>31</v>
      </c>
    </row>
    <row r="82" spans="1:43" x14ac:dyDescent="0.25">
      <c r="A82" s="6">
        <v>22889471</v>
      </c>
      <c r="B82" s="6">
        <v>23664955</v>
      </c>
      <c r="C82" s="6" t="s">
        <v>248</v>
      </c>
      <c r="D82" s="14">
        <v>45908.588287037041</v>
      </c>
      <c r="E82" s="14">
        <v>45908.591180555559</v>
      </c>
      <c r="F82" s="6" t="s">
        <v>19</v>
      </c>
      <c r="G82" s="6" t="s">
        <v>19</v>
      </c>
      <c r="H82" s="6">
        <v>19897901</v>
      </c>
      <c r="I82" s="6" t="s">
        <v>13</v>
      </c>
      <c r="J82" s="6" t="s">
        <v>538</v>
      </c>
      <c r="K82" s="6" t="s">
        <v>275</v>
      </c>
      <c r="L82" s="6" t="s">
        <v>275</v>
      </c>
      <c r="M82" s="14">
        <v>45908.425694444442</v>
      </c>
      <c r="N82" s="6">
        <v>4594004</v>
      </c>
      <c r="O82" s="6" t="s">
        <v>91</v>
      </c>
      <c r="P82" s="6" t="s">
        <v>276</v>
      </c>
      <c r="Q82" s="6" t="s">
        <v>253</v>
      </c>
      <c r="R82" s="6" t="s">
        <v>253</v>
      </c>
      <c r="S82" s="6" t="s">
        <v>9</v>
      </c>
      <c r="T82" s="6" t="s">
        <v>254</v>
      </c>
      <c r="U82" s="6" t="s">
        <v>162</v>
      </c>
      <c r="V82" s="6" t="s">
        <v>539</v>
      </c>
      <c r="W82" s="6" t="s">
        <v>91</v>
      </c>
      <c r="X82" s="6" t="s">
        <v>91</v>
      </c>
      <c r="Y82" s="6" t="s">
        <v>91</v>
      </c>
      <c r="Z82" s="6" t="s">
        <v>94</v>
      </c>
      <c r="AA82" s="6" t="s">
        <v>91</v>
      </c>
      <c r="AB82" s="6">
        <v>1460</v>
      </c>
      <c r="AC82" s="6">
        <v>0</v>
      </c>
      <c r="AD82" s="6">
        <v>0</v>
      </c>
      <c r="AE82" s="6">
        <v>0</v>
      </c>
      <c r="AF82" s="6">
        <v>0</v>
      </c>
      <c r="AG82" s="6">
        <v>0</v>
      </c>
      <c r="AH82" s="6">
        <v>0</v>
      </c>
      <c r="AI82" s="6" t="s">
        <v>541</v>
      </c>
      <c r="AJ82" s="6" t="s">
        <v>257</v>
      </c>
      <c r="AK82" s="6" t="s">
        <v>13</v>
      </c>
      <c r="AL82" s="6" t="s">
        <v>48</v>
      </c>
      <c r="AM82" s="6" t="s">
        <v>258</v>
      </c>
      <c r="AN82" s="6" t="s">
        <v>20</v>
      </c>
      <c r="AO82" s="6" t="s">
        <v>259</v>
      </c>
      <c r="AP82" s="6" t="s">
        <v>260</v>
      </c>
      <c r="AQ82" s="6" t="s">
        <v>31</v>
      </c>
    </row>
    <row r="83" spans="1:43" x14ac:dyDescent="0.25">
      <c r="A83" s="6">
        <v>22896699</v>
      </c>
      <c r="B83" s="6">
        <v>23671607</v>
      </c>
      <c r="C83" s="6" t="s">
        <v>248</v>
      </c>
      <c r="D83" s="14">
        <v>45909.713217592587</v>
      </c>
      <c r="E83" s="14">
        <v>45909.716863425929</v>
      </c>
      <c r="F83" s="6" t="s">
        <v>19</v>
      </c>
      <c r="G83" s="6" t="s">
        <v>19</v>
      </c>
      <c r="H83" s="6">
        <v>19928698</v>
      </c>
      <c r="I83" s="6" t="s">
        <v>13</v>
      </c>
      <c r="J83" s="6" t="s">
        <v>542</v>
      </c>
      <c r="K83" s="6" t="s">
        <v>275</v>
      </c>
      <c r="L83" s="6" t="s">
        <v>275</v>
      </c>
      <c r="M83" s="14">
        <v>45909.703472222223</v>
      </c>
      <c r="N83" s="6">
        <v>4595046</v>
      </c>
      <c r="O83" s="6" t="s">
        <v>91</v>
      </c>
      <c r="P83" s="6" t="s">
        <v>276</v>
      </c>
      <c r="Q83" s="6" t="s">
        <v>253</v>
      </c>
      <c r="R83" s="6" t="s">
        <v>253</v>
      </c>
      <c r="S83" s="6" t="s">
        <v>9</v>
      </c>
      <c r="T83" s="6" t="s">
        <v>254</v>
      </c>
      <c r="U83" s="6" t="s">
        <v>162</v>
      </c>
      <c r="V83" s="6" t="s">
        <v>543</v>
      </c>
      <c r="W83" s="6" t="s">
        <v>91</v>
      </c>
      <c r="X83" s="6" t="s">
        <v>91</v>
      </c>
      <c r="Y83" s="6" t="s">
        <v>91</v>
      </c>
      <c r="Z83" s="6" t="s">
        <v>94</v>
      </c>
      <c r="AA83" s="6" t="s">
        <v>91</v>
      </c>
      <c r="AB83" s="6">
        <v>365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 t="s">
        <v>544</v>
      </c>
      <c r="AJ83" s="6" t="s">
        <v>257</v>
      </c>
      <c r="AK83" s="6" t="s">
        <v>13</v>
      </c>
      <c r="AL83" s="6" t="s">
        <v>48</v>
      </c>
      <c r="AM83" s="6" t="s">
        <v>258</v>
      </c>
      <c r="AN83" s="6" t="s">
        <v>20</v>
      </c>
      <c r="AO83" s="6" t="s">
        <v>259</v>
      </c>
      <c r="AP83" s="6" t="s">
        <v>260</v>
      </c>
      <c r="AQ83" s="6" t="s">
        <v>31</v>
      </c>
    </row>
    <row r="84" spans="1:43" x14ac:dyDescent="0.25">
      <c r="A84" s="6">
        <v>22792981</v>
      </c>
      <c r="B84" s="6">
        <v>23583750</v>
      </c>
      <c r="C84" s="6" t="s">
        <v>248</v>
      </c>
      <c r="D84" s="14">
        <v>45891.587905092587</v>
      </c>
      <c r="E84" s="14">
        <v>45891.590763888889</v>
      </c>
      <c r="F84" s="46" t="s">
        <v>25</v>
      </c>
      <c r="G84" s="46" t="s">
        <v>25</v>
      </c>
      <c r="H84" s="6">
        <v>19670467</v>
      </c>
      <c r="I84" s="6" t="s">
        <v>13</v>
      </c>
      <c r="J84" s="6" t="s">
        <v>545</v>
      </c>
      <c r="K84" s="6" t="s">
        <v>275</v>
      </c>
      <c r="L84" s="6" t="s">
        <v>275</v>
      </c>
      <c r="M84" s="14">
        <v>45890.651388888888</v>
      </c>
      <c r="N84" s="6">
        <v>4586093</v>
      </c>
      <c r="O84" s="6" t="s">
        <v>91</v>
      </c>
      <c r="P84" s="6" t="s">
        <v>276</v>
      </c>
      <c r="Q84" s="6" t="s">
        <v>268</v>
      </c>
      <c r="R84" s="6" t="s">
        <v>269</v>
      </c>
      <c r="S84" s="6" t="s">
        <v>9</v>
      </c>
      <c r="T84" s="6" t="s">
        <v>254</v>
      </c>
      <c r="U84" s="6" t="s">
        <v>162</v>
      </c>
      <c r="V84" s="6" t="s">
        <v>546</v>
      </c>
      <c r="W84" s="6" t="s">
        <v>91</v>
      </c>
      <c r="X84" s="6" t="s">
        <v>91</v>
      </c>
      <c r="Y84" s="6" t="s">
        <v>91</v>
      </c>
      <c r="Z84" s="6" t="s">
        <v>94</v>
      </c>
      <c r="AA84" s="6" t="s">
        <v>91</v>
      </c>
      <c r="AB84" s="6">
        <v>665</v>
      </c>
      <c r="AC84" s="6">
        <v>99.75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 t="s">
        <v>547</v>
      </c>
      <c r="AJ84" s="6" t="s">
        <v>257</v>
      </c>
      <c r="AK84" s="6" t="s">
        <v>13</v>
      </c>
      <c r="AL84" s="6" t="s">
        <v>48</v>
      </c>
      <c r="AM84" s="6" t="s">
        <v>258</v>
      </c>
      <c r="AN84" s="6" t="s">
        <v>20</v>
      </c>
      <c r="AO84" s="6" t="s">
        <v>259</v>
      </c>
      <c r="AP84" s="6" t="s">
        <v>260</v>
      </c>
      <c r="AQ84" s="6" t="s">
        <v>31</v>
      </c>
    </row>
    <row r="85" spans="1:43" x14ac:dyDescent="0.25">
      <c r="A85" s="6">
        <v>22827499</v>
      </c>
      <c r="B85" s="6">
        <v>23612825</v>
      </c>
      <c r="C85" s="6" t="s">
        <v>248</v>
      </c>
      <c r="D85" s="14">
        <v>45897.534409722219</v>
      </c>
      <c r="E85" s="14">
        <v>45911.563935185193</v>
      </c>
      <c r="F85" s="6" t="s">
        <v>17</v>
      </c>
      <c r="G85" s="6" t="s">
        <v>23</v>
      </c>
      <c r="H85" s="6" t="s">
        <v>548</v>
      </c>
      <c r="I85" s="6" t="s">
        <v>337</v>
      </c>
      <c r="J85" s="6" t="s">
        <v>549</v>
      </c>
      <c r="K85" s="6" t="s">
        <v>344</v>
      </c>
      <c r="L85" s="6" t="s">
        <v>344</v>
      </c>
      <c r="M85" s="14">
        <v>45897.474999999999</v>
      </c>
      <c r="N85" s="6">
        <v>78436</v>
      </c>
      <c r="O85" s="6" t="s">
        <v>91</v>
      </c>
      <c r="P85" s="6" t="s">
        <v>276</v>
      </c>
      <c r="Q85" s="6" t="s">
        <v>253</v>
      </c>
      <c r="R85" s="6" t="s">
        <v>253</v>
      </c>
      <c r="S85" s="6" t="s">
        <v>9</v>
      </c>
      <c r="T85" s="6" t="s">
        <v>254</v>
      </c>
      <c r="U85" s="6" t="s">
        <v>120</v>
      </c>
      <c r="V85" s="6" t="s">
        <v>550</v>
      </c>
      <c r="W85" s="6" t="s">
        <v>91</v>
      </c>
      <c r="X85" s="6" t="s">
        <v>91</v>
      </c>
      <c r="Y85" s="6" t="s">
        <v>91</v>
      </c>
      <c r="Z85" s="6" t="s">
        <v>91</v>
      </c>
      <c r="AA85" s="6" t="s">
        <v>91</v>
      </c>
      <c r="AB85" s="6">
        <v>408</v>
      </c>
      <c r="AC85" s="6">
        <v>0</v>
      </c>
      <c r="AD85" s="6">
        <v>0</v>
      </c>
      <c r="AE85" s="6">
        <v>0</v>
      </c>
      <c r="AF85" s="6">
        <v>0</v>
      </c>
      <c r="AG85" s="6">
        <v>155</v>
      </c>
      <c r="AH85" s="6">
        <v>0</v>
      </c>
      <c r="AI85" s="6" t="s">
        <v>551</v>
      </c>
      <c r="AJ85" s="6" t="s">
        <v>257</v>
      </c>
      <c r="AK85" s="6" t="s">
        <v>12</v>
      </c>
      <c r="AL85" s="6" t="s">
        <v>48</v>
      </c>
      <c r="AM85" s="6" t="s">
        <v>258</v>
      </c>
      <c r="AN85" s="6" t="s">
        <v>20</v>
      </c>
      <c r="AO85" s="6" t="s">
        <v>259</v>
      </c>
      <c r="AP85" s="6" t="s">
        <v>260</v>
      </c>
      <c r="AQ85" s="6" t="s">
        <v>31</v>
      </c>
    </row>
    <row r="86" spans="1:43" x14ac:dyDescent="0.25">
      <c r="A86" s="6">
        <v>22851646</v>
      </c>
      <c r="B86" s="6">
        <v>23632843</v>
      </c>
      <c r="C86" s="6" t="s">
        <v>248</v>
      </c>
      <c r="D86" s="14">
        <v>45902.017013888893</v>
      </c>
      <c r="E86" s="14">
        <v>45911.567499999997</v>
      </c>
      <c r="F86" s="6" t="s">
        <v>17</v>
      </c>
      <c r="G86" s="6" t="s">
        <v>23</v>
      </c>
      <c r="H86" s="6" t="s">
        <v>552</v>
      </c>
      <c r="I86" s="6" t="s">
        <v>337</v>
      </c>
      <c r="J86" s="6" t="s">
        <v>553</v>
      </c>
      <c r="K86" s="6" t="s">
        <v>344</v>
      </c>
      <c r="L86" s="6" t="s">
        <v>344</v>
      </c>
      <c r="M86" s="14">
        <v>45901.756249999999</v>
      </c>
      <c r="N86" s="6">
        <v>79655</v>
      </c>
      <c r="O86" s="6" t="s">
        <v>91</v>
      </c>
      <c r="P86" s="6" t="s">
        <v>276</v>
      </c>
      <c r="Q86" s="6" t="s">
        <v>253</v>
      </c>
      <c r="R86" s="6" t="s">
        <v>253</v>
      </c>
      <c r="S86" s="6" t="s">
        <v>9</v>
      </c>
      <c r="T86" s="6" t="s">
        <v>254</v>
      </c>
      <c r="U86" s="6" t="s">
        <v>120</v>
      </c>
      <c r="V86" s="6" t="s">
        <v>554</v>
      </c>
      <c r="W86" s="6" t="s">
        <v>91</v>
      </c>
      <c r="X86" s="6" t="s">
        <v>91</v>
      </c>
      <c r="Y86" s="6" t="s">
        <v>91</v>
      </c>
      <c r="Z86" s="6" t="s">
        <v>62</v>
      </c>
      <c r="AA86" s="6" t="s">
        <v>91</v>
      </c>
      <c r="AB86" s="6">
        <v>189.75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 t="s">
        <v>555</v>
      </c>
      <c r="AJ86" s="6" t="s">
        <v>257</v>
      </c>
      <c r="AK86" s="6" t="s">
        <v>12</v>
      </c>
      <c r="AL86" s="6" t="s">
        <v>48</v>
      </c>
      <c r="AM86" s="6" t="s">
        <v>258</v>
      </c>
      <c r="AN86" s="6" t="s">
        <v>20</v>
      </c>
      <c r="AO86" s="6" t="s">
        <v>259</v>
      </c>
      <c r="AP86" s="6" t="s">
        <v>260</v>
      </c>
      <c r="AQ86" s="6" t="s">
        <v>31</v>
      </c>
    </row>
    <row r="87" spans="1:43" x14ac:dyDescent="0.25">
      <c r="A87" s="6">
        <v>22851647</v>
      </c>
      <c r="B87" s="6">
        <v>23632844</v>
      </c>
      <c r="C87" s="6" t="s">
        <v>248</v>
      </c>
      <c r="D87" s="14">
        <v>45902.017106481479</v>
      </c>
      <c r="E87" s="14">
        <v>45911.567499999997</v>
      </c>
      <c r="F87" s="6" t="s">
        <v>17</v>
      </c>
      <c r="G87" s="6" t="s">
        <v>23</v>
      </c>
      <c r="H87" s="6" t="s">
        <v>556</v>
      </c>
      <c r="I87" s="6" t="s">
        <v>337</v>
      </c>
      <c r="J87" s="6" t="s">
        <v>557</v>
      </c>
      <c r="K87" s="6" t="s">
        <v>344</v>
      </c>
      <c r="L87" s="6" t="s">
        <v>344</v>
      </c>
      <c r="M87" s="14">
        <v>45901.756944444453</v>
      </c>
      <c r="N87" s="6">
        <v>79654</v>
      </c>
      <c r="O87" s="6" t="s">
        <v>91</v>
      </c>
      <c r="P87" s="6" t="s">
        <v>276</v>
      </c>
      <c r="Q87" s="6" t="s">
        <v>253</v>
      </c>
      <c r="R87" s="6" t="s">
        <v>253</v>
      </c>
      <c r="S87" s="6" t="s">
        <v>9</v>
      </c>
      <c r="T87" s="6" t="s">
        <v>254</v>
      </c>
      <c r="U87" s="6" t="s">
        <v>120</v>
      </c>
      <c r="V87" s="6" t="s">
        <v>554</v>
      </c>
      <c r="W87" s="6" t="s">
        <v>91</v>
      </c>
      <c r="X87" s="6" t="s">
        <v>91</v>
      </c>
      <c r="Y87" s="6" t="s">
        <v>91</v>
      </c>
      <c r="Z87" s="6" t="s">
        <v>62</v>
      </c>
      <c r="AA87" s="6" t="s">
        <v>91</v>
      </c>
      <c r="AB87" s="6">
        <v>189.75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 t="s">
        <v>558</v>
      </c>
      <c r="AJ87" s="6" t="s">
        <v>257</v>
      </c>
      <c r="AK87" s="6" t="s">
        <v>12</v>
      </c>
      <c r="AL87" s="6" t="s">
        <v>48</v>
      </c>
      <c r="AM87" s="6" t="s">
        <v>258</v>
      </c>
      <c r="AN87" s="6" t="s">
        <v>20</v>
      </c>
      <c r="AO87" s="6" t="s">
        <v>259</v>
      </c>
      <c r="AP87" s="6" t="s">
        <v>260</v>
      </c>
      <c r="AQ87" s="6" t="s">
        <v>31</v>
      </c>
    </row>
    <row r="88" spans="1:43" x14ac:dyDescent="0.25">
      <c r="A88" s="6">
        <v>22829976</v>
      </c>
      <c r="B88" s="6">
        <v>23615404</v>
      </c>
      <c r="C88" s="6" t="s">
        <v>248</v>
      </c>
      <c r="D88" s="14">
        <v>45897.797199074077</v>
      </c>
      <c r="E88" s="14">
        <v>45911.564664351848</v>
      </c>
      <c r="F88" s="6" t="s">
        <v>17</v>
      </c>
      <c r="G88" s="6" t="s">
        <v>23</v>
      </c>
      <c r="H88" s="6" t="s">
        <v>559</v>
      </c>
      <c r="I88" s="6" t="s">
        <v>337</v>
      </c>
      <c r="J88" s="6" t="s">
        <v>560</v>
      </c>
      <c r="K88" s="6" t="s">
        <v>344</v>
      </c>
      <c r="L88" s="6" t="s">
        <v>344</v>
      </c>
      <c r="M88" s="14">
        <v>45897.631944444453</v>
      </c>
      <c r="N88" s="6">
        <v>79159</v>
      </c>
      <c r="O88" s="6" t="s">
        <v>91</v>
      </c>
      <c r="P88" s="6" t="s">
        <v>276</v>
      </c>
      <c r="Q88" s="6" t="s">
        <v>253</v>
      </c>
      <c r="R88" s="6" t="s">
        <v>253</v>
      </c>
      <c r="S88" s="6" t="s">
        <v>9</v>
      </c>
      <c r="T88" s="6" t="s">
        <v>254</v>
      </c>
      <c r="U88" s="6" t="s">
        <v>120</v>
      </c>
      <c r="V88" s="6" t="s">
        <v>554</v>
      </c>
      <c r="W88" s="6" t="s">
        <v>91</v>
      </c>
      <c r="X88" s="6" t="s">
        <v>91</v>
      </c>
      <c r="Y88" s="6" t="s">
        <v>91</v>
      </c>
      <c r="Z88" s="6" t="s">
        <v>62</v>
      </c>
      <c r="AA88" s="6" t="s">
        <v>91</v>
      </c>
      <c r="AB88" s="6">
        <v>220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>
        <v>0</v>
      </c>
      <c r="AI88" s="6" t="s">
        <v>561</v>
      </c>
      <c r="AJ88" s="6" t="s">
        <v>257</v>
      </c>
      <c r="AK88" s="6" t="s">
        <v>12</v>
      </c>
      <c r="AL88" s="6" t="s">
        <v>48</v>
      </c>
      <c r="AM88" s="6" t="s">
        <v>258</v>
      </c>
      <c r="AN88" s="6" t="s">
        <v>20</v>
      </c>
      <c r="AO88" s="6" t="s">
        <v>259</v>
      </c>
      <c r="AP88" s="6" t="s">
        <v>260</v>
      </c>
      <c r="AQ88" s="6" t="s">
        <v>31</v>
      </c>
    </row>
    <row r="89" spans="1:43" x14ac:dyDescent="0.25">
      <c r="A89" s="6">
        <v>22829977</v>
      </c>
      <c r="B89" s="6">
        <v>23615405</v>
      </c>
      <c r="C89" s="6" t="s">
        <v>248</v>
      </c>
      <c r="D89" s="14">
        <v>45897.797291666669</v>
      </c>
      <c r="E89" s="14">
        <v>45911.56622685185</v>
      </c>
      <c r="F89" s="6" t="s">
        <v>17</v>
      </c>
      <c r="G89" s="6" t="s">
        <v>23</v>
      </c>
      <c r="H89" s="6" t="s">
        <v>562</v>
      </c>
      <c r="I89" s="6" t="s">
        <v>337</v>
      </c>
      <c r="J89" s="6" t="s">
        <v>563</v>
      </c>
      <c r="K89" s="6" t="s">
        <v>344</v>
      </c>
      <c r="L89" s="6" t="s">
        <v>344</v>
      </c>
      <c r="M89" s="14">
        <v>45897.631944444453</v>
      </c>
      <c r="N89" s="6">
        <v>79158</v>
      </c>
      <c r="O89" s="6" t="s">
        <v>91</v>
      </c>
      <c r="P89" s="6" t="s">
        <v>276</v>
      </c>
      <c r="Q89" s="6" t="s">
        <v>253</v>
      </c>
      <c r="R89" s="6" t="s">
        <v>253</v>
      </c>
      <c r="S89" s="6" t="s">
        <v>9</v>
      </c>
      <c r="T89" s="6" t="s">
        <v>254</v>
      </c>
      <c r="U89" s="6" t="s">
        <v>120</v>
      </c>
      <c r="V89" s="6" t="s">
        <v>554</v>
      </c>
      <c r="W89" s="6" t="s">
        <v>91</v>
      </c>
      <c r="X89" s="6" t="s">
        <v>91</v>
      </c>
      <c r="Y89" s="6" t="s">
        <v>91</v>
      </c>
      <c r="Z89" s="6" t="s">
        <v>62</v>
      </c>
      <c r="AA89" s="6" t="s">
        <v>91</v>
      </c>
      <c r="AB89" s="6">
        <v>220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>
        <v>0</v>
      </c>
      <c r="AI89" s="6" t="s">
        <v>564</v>
      </c>
      <c r="AJ89" s="6" t="s">
        <v>257</v>
      </c>
      <c r="AK89" s="6" t="s">
        <v>12</v>
      </c>
      <c r="AL89" s="6" t="s">
        <v>48</v>
      </c>
      <c r="AM89" s="6" t="s">
        <v>258</v>
      </c>
      <c r="AN89" s="6" t="s">
        <v>20</v>
      </c>
      <c r="AO89" s="6" t="s">
        <v>259</v>
      </c>
      <c r="AP89" s="6" t="s">
        <v>260</v>
      </c>
      <c r="AQ89" s="6" t="s">
        <v>31</v>
      </c>
    </row>
    <row r="90" spans="1:43" x14ac:dyDescent="0.25">
      <c r="A90" s="6">
        <v>22836708</v>
      </c>
      <c r="B90" s="6">
        <v>23621360</v>
      </c>
      <c r="C90" s="6" t="s">
        <v>248</v>
      </c>
      <c r="D90" s="14">
        <v>45898.790520833332</v>
      </c>
      <c r="E90" s="14">
        <v>45911.566944444443</v>
      </c>
      <c r="F90" s="6" t="s">
        <v>17</v>
      </c>
      <c r="G90" s="6" t="s">
        <v>23</v>
      </c>
      <c r="H90" s="6" t="s">
        <v>565</v>
      </c>
      <c r="I90" s="6" t="s">
        <v>337</v>
      </c>
      <c r="J90" s="6" t="s">
        <v>566</v>
      </c>
      <c r="K90" s="6" t="s">
        <v>344</v>
      </c>
      <c r="L90" s="6" t="s">
        <v>344</v>
      </c>
      <c r="M90" s="14">
        <v>45898.604166666657</v>
      </c>
      <c r="N90" s="6">
        <v>79375</v>
      </c>
      <c r="O90" s="6" t="s">
        <v>91</v>
      </c>
      <c r="P90" s="6" t="s">
        <v>276</v>
      </c>
      <c r="Q90" s="6" t="s">
        <v>253</v>
      </c>
      <c r="R90" s="6" t="s">
        <v>253</v>
      </c>
      <c r="S90" s="6" t="s">
        <v>9</v>
      </c>
      <c r="T90" s="6" t="s">
        <v>254</v>
      </c>
      <c r="U90" s="6" t="s">
        <v>120</v>
      </c>
      <c r="V90" s="6" t="s">
        <v>554</v>
      </c>
      <c r="W90" s="6" t="s">
        <v>91</v>
      </c>
      <c r="X90" s="6" t="s">
        <v>91</v>
      </c>
      <c r="Y90" s="6" t="s">
        <v>91</v>
      </c>
      <c r="Z90" s="6" t="s">
        <v>62</v>
      </c>
      <c r="AA90" s="6" t="s">
        <v>91</v>
      </c>
      <c r="AB90" s="6">
        <v>220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>
        <v>0</v>
      </c>
      <c r="AI90" s="6" t="s">
        <v>567</v>
      </c>
      <c r="AJ90" s="6" t="s">
        <v>257</v>
      </c>
      <c r="AK90" s="6" t="s">
        <v>12</v>
      </c>
      <c r="AL90" s="6" t="s">
        <v>48</v>
      </c>
      <c r="AM90" s="6" t="s">
        <v>258</v>
      </c>
      <c r="AN90" s="6" t="s">
        <v>20</v>
      </c>
      <c r="AO90" s="6" t="s">
        <v>259</v>
      </c>
      <c r="AP90" s="6" t="s">
        <v>260</v>
      </c>
      <c r="AQ90" s="6" t="s">
        <v>31</v>
      </c>
    </row>
    <row r="91" spans="1:43" x14ac:dyDescent="0.25">
      <c r="A91" s="6">
        <v>22906237</v>
      </c>
      <c r="B91" s="6">
        <v>23680113</v>
      </c>
      <c r="C91" s="6" t="s">
        <v>248</v>
      </c>
      <c r="D91" s="14">
        <v>45911.019212962958</v>
      </c>
      <c r="E91" s="14">
        <v>45911.608715277784</v>
      </c>
      <c r="F91" s="6" t="s">
        <v>17</v>
      </c>
      <c r="G91" s="6" t="s">
        <v>17</v>
      </c>
      <c r="H91" s="6" t="s">
        <v>568</v>
      </c>
      <c r="I91" s="6" t="s">
        <v>337</v>
      </c>
      <c r="J91" s="6" t="s">
        <v>569</v>
      </c>
      <c r="K91" s="6" t="s">
        <v>344</v>
      </c>
      <c r="L91" s="6" t="s">
        <v>344</v>
      </c>
      <c r="M91" s="14">
        <v>45910.8</v>
      </c>
      <c r="N91" s="6">
        <v>80737</v>
      </c>
      <c r="O91" s="6" t="s">
        <v>91</v>
      </c>
      <c r="P91" s="6" t="s">
        <v>276</v>
      </c>
      <c r="Q91" s="6" t="s">
        <v>253</v>
      </c>
      <c r="R91" s="6" t="s">
        <v>253</v>
      </c>
      <c r="S91" s="6" t="s">
        <v>9</v>
      </c>
      <c r="T91" s="6" t="s">
        <v>254</v>
      </c>
      <c r="U91" s="6" t="s">
        <v>120</v>
      </c>
      <c r="V91" s="6" t="s">
        <v>570</v>
      </c>
      <c r="W91" s="6" t="s">
        <v>91</v>
      </c>
      <c r="X91" s="6" t="s">
        <v>91</v>
      </c>
      <c r="Y91" s="6" t="s">
        <v>91</v>
      </c>
      <c r="Z91" s="6" t="s">
        <v>62</v>
      </c>
      <c r="AA91" s="6" t="s">
        <v>91</v>
      </c>
      <c r="AB91" s="6">
        <v>182</v>
      </c>
      <c r="AC91" s="6">
        <v>0</v>
      </c>
      <c r="AD91" s="6">
        <v>0</v>
      </c>
      <c r="AE91" s="6">
        <v>0</v>
      </c>
      <c r="AF91" s="6">
        <v>0</v>
      </c>
      <c r="AG91" s="6">
        <v>9.1</v>
      </c>
      <c r="AH91" s="6">
        <v>0</v>
      </c>
      <c r="AI91" s="6" t="s">
        <v>571</v>
      </c>
      <c r="AJ91" s="6" t="s">
        <v>257</v>
      </c>
      <c r="AK91" s="6" t="s">
        <v>12</v>
      </c>
      <c r="AL91" s="6" t="s">
        <v>48</v>
      </c>
      <c r="AM91" s="6" t="s">
        <v>258</v>
      </c>
      <c r="AN91" s="6" t="s">
        <v>20</v>
      </c>
      <c r="AO91" s="6" t="s">
        <v>259</v>
      </c>
      <c r="AP91" s="6" t="s">
        <v>260</v>
      </c>
      <c r="AQ91" s="6" t="s">
        <v>31</v>
      </c>
    </row>
    <row r="92" spans="1:43" x14ac:dyDescent="0.25">
      <c r="A92" s="6">
        <v>22836322</v>
      </c>
      <c r="B92" s="6">
        <v>23620986</v>
      </c>
      <c r="C92" s="6" t="s">
        <v>248</v>
      </c>
      <c r="D92" s="14">
        <v>45898.775775462957</v>
      </c>
      <c r="E92" s="14">
        <v>45911.56690972222</v>
      </c>
      <c r="F92" s="6" t="s">
        <v>17</v>
      </c>
      <c r="G92" s="6" t="s">
        <v>23</v>
      </c>
      <c r="H92" s="6" t="s">
        <v>572</v>
      </c>
      <c r="I92" s="6" t="s">
        <v>337</v>
      </c>
      <c r="J92" s="6" t="s">
        <v>573</v>
      </c>
      <c r="K92" s="6" t="s">
        <v>344</v>
      </c>
      <c r="L92" s="6" t="s">
        <v>344</v>
      </c>
      <c r="M92" s="14">
        <v>45898.545138888891</v>
      </c>
      <c r="N92" s="6">
        <v>8338</v>
      </c>
      <c r="O92" s="6" t="s">
        <v>91</v>
      </c>
      <c r="P92" s="6" t="s">
        <v>276</v>
      </c>
      <c r="Q92" s="6" t="s">
        <v>253</v>
      </c>
      <c r="R92" s="6" t="s">
        <v>253</v>
      </c>
      <c r="S92" s="6" t="s">
        <v>9</v>
      </c>
      <c r="T92" s="6" t="s">
        <v>254</v>
      </c>
      <c r="U92" s="6" t="s">
        <v>169</v>
      </c>
      <c r="V92" s="6" t="s">
        <v>574</v>
      </c>
      <c r="W92" s="6" t="s">
        <v>91</v>
      </c>
      <c r="X92" s="6" t="s">
        <v>91</v>
      </c>
      <c r="Y92" s="6" t="s">
        <v>91</v>
      </c>
      <c r="Z92" s="6" t="s">
        <v>99</v>
      </c>
      <c r="AA92" s="6" t="s">
        <v>91</v>
      </c>
      <c r="AB92" s="6">
        <v>584.41999999999996</v>
      </c>
      <c r="AC92" s="6">
        <v>0</v>
      </c>
      <c r="AD92" s="6">
        <v>0</v>
      </c>
      <c r="AE92" s="6">
        <v>0</v>
      </c>
      <c r="AF92" s="6">
        <v>0</v>
      </c>
      <c r="AG92" s="6">
        <v>0</v>
      </c>
      <c r="AH92" s="6">
        <v>0</v>
      </c>
      <c r="AI92" s="6" t="s">
        <v>575</v>
      </c>
      <c r="AJ92" s="6" t="s">
        <v>257</v>
      </c>
      <c r="AK92" s="6" t="s">
        <v>12</v>
      </c>
      <c r="AL92" s="6" t="s">
        <v>48</v>
      </c>
      <c r="AM92" s="6" t="s">
        <v>258</v>
      </c>
      <c r="AN92" s="6" t="s">
        <v>20</v>
      </c>
      <c r="AO92" s="6" t="s">
        <v>259</v>
      </c>
      <c r="AP92" s="6" t="s">
        <v>260</v>
      </c>
      <c r="AQ92" s="6" t="s">
        <v>31</v>
      </c>
    </row>
    <row r="93" spans="1:43" x14ac:dyDescent="0.25">
      <c r="A93" s="6">
        <v>22910940</v>
      </c>
      <c r="B93" s="6">
        <v>23684117</v>
      </c>
      <c r="C93" s="6" t="s">
        <v>248</v>
      </c>
      <c r="D93" s="14">
        <v>45911.782893518517</v>
      </c>
      <c r="E93" s="14">
        <v>45911.83935185185</v>
      </c>
      <c r="F93" s="6" t="s">
        <v>17</v>
      </c>
      <c r="G93" s="6" t="s">
        <v>17</v>
      </c>
      <c r="H93" s="6" t="s">
        <v>576</v>
      </c>
      <c r="I93" s="6" t="s">
        <v>337</v>
      </c>
      <c r="J93" s="6" t="s">
        <v>577</v>
      </c>
      <c r="K93" s="6" t="s">
        <v>344</v>
      </c>
      <c r="L93" s="6" t="s">
        <v>344</v>
      </c>
      <c r="M93" s="14">
        <v>45911.706944444442</v>
      </c>
      <c r="N93" s="6">
        <v>8610</v>
      </c>
      <c r="O93" s="6" t="s">
        <v>578</v>
      </c>
      <c r="P93" s="6" t="s">
        <v>276</v>
      </c>
      <c r="Q93" s="6" t="s">
        <v>268</v>
      </c>
      <c r="R93" s="6" t="s">
        <v>269</v>
      </c>
      <c r="S93" s="6" t="s">
        <v>8</v>
      </c>
      <c r="T93" s="6" t="s">
        <v>254</v>
      </c>
      <c r="U93" s="6" t="s">
        <v>169</v>
      </c>
      <c r="V93" s="6" t="s">
        <v>579</v>
      </c>
      <c r="W93" s="6" t="s">
        <v>91</v>
      </c>
      <c r="X93" s="6" t="s">
        <v>91</v>
      </c>
      <c r="Y93" s="6" t="s">
        <v>91</v>
      </c>
      <c r="Z93" s="6" t="s">
        <v>99</v>
      </c>
      <c r="AA93" s="6" t="s">
        <v>91</v>
      </c>
      <c r="AB93" s="6">
        <v>546.03359999999998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 t="s">
        <v>580</v>
      </c>
      <c r="AJ93" s="6" t="s">
        <v>257</v>
      </c>
      <c r="AK93" s="6" t="s">
        <v>12</v>
      </c>
      <c r="AL93" s="6" t="s">
        <v>48</v>
      </c>
      <c r="AM93" s="6" t="s">
        <v>258</v>
      </c>
      <c r="AN93" s="6" t="s">
        <v>20</v>
      </c>
      <c r="AO93" s="6" t="s">
        <v>272</v>
      </c>
      <c r="AP93" s="6" t="s">
        <v>273</v>
      </c>
      <c r="AQ93" s="6" t="s">
        <v>18</v>
      </c>
    </row>
    <row r="94" spans="1:43" x14ac:dyDescent="0.25">
      <c r="A94" s="6">
        <v>22816673</v>
      </c>
      <c r="B94" s="6">
        <v>23603408</v>
      </c>
      <c r="C94" s="6" t="s">
        <v>248</v>
      </c>
      <c r="D94" s="14">
        <v>45895.817002314812</v>
      </c>
      <c r="E94" s="14">
        <v>45911.561365740738</v>
      </c>
      <c r="F94" s="6" t="s">
        <v>17</v>
      </c>
      <c r="G94" s="6" t="s">
        <v>25</v>
      </c>
      <c r="H94" s="6" t="s">
        <v>581</v>
      </c>
      <c r="I94" s="6" t="s">
        <v>337</v>
      </c>
      <c r="J94" s="6" t="s">
        <v>582</v>
      </c>
      <c r="K94" s="6" t="s">
        <v>583</v>
      </c>
      <c r="L94" s="6" t="s">
        <v>583</v>
      </c>
      <c r="M94" s="14">
        <v>45895.749305555553</v>
      </c>
      <c r="N94" s="6">
        <v>78784</v>
      </c>
      <c r="O94" s="6" t="s">
        <v>91</v>
      </c>
      <c r="P94" s="6" t="s">
        <v>252</v>
      </c>
      <c r="Q94" s="6" t="s">
        <v>268</v>
      </c>
      <c r="R94" s="6" t="s">
        <v>269</v>
      </c>
      <c r="S94" s="6" t="s">
        <v>9</v>
      </c>
      <c r="T94" s="6" t="s">
        <v>254</v>
      </c>
      <c r="U94" s="6" t="s">
        <v>120</v>
      </c>
      <c r="V94" s="6" t="s">
        <v>570</v>
      </c>
      <c r="W94" s="6" t="s">
        <v>91</v>
      </c>
      <c r="X94" s="6" t="s">
        <v>91</v>
      </c>
      <c r="Y94" s="6" t="s">
        <v>91</v>
      </c>
      <c r="Z94" s="6" t="s">
        <v>62</v>
      </c>
      <c r="AA94" s="6" t="s">
        <v>91</v>
      </c>
      <c r="AB94" s="6">
        <v>266.76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 t="s">
        <v>584</v>
      </c>
      <c r="AJ94" s="6" t="s">
        <v>257</v>
      </c>
      <c r="AK94" s="6" t="s">
        <v>12</v>
      </c>
      <c r="AL94" s="6" t="s">
        <v>48</v>
      </c>
      <c r="AM94" s="6" t="s">
        <v>258</v>
      </c>
      <c r="AN94" s="6" t="s">
        <v>20</v>
      </c>
      <c r="AO94" s="6" t="s">
        <v>272</v>
      </c>
      <c r="AP94" s="6" t="s">
        <v>273</v>
      </c>
      <c r="AQ94" s="6" t="s">
        <v>18</v>
      </c>
    </row>
    <row r="95" spans="1:43" x14ac:dyDescent="0.25">
      <c r="A95" s="6">
        <v>22827485</v>
      </c>
      <c r="B95" s="6">
        <v>23612812</v>
      </c>
      <c r="C95" s="6" t="s">
        <v>248</v>
      </c>
      <c r="D95" s="14">
        <v>45897.533275462964</v>
      </c>
      <c r="E95" s="14">
        <v>45911.563923611109</v>
      </c>
      <c r="F95" s="6" t="s">
        <v>17</v>
      </c>
      <c r="G95" s="6" t="s">
        <v>23</v>
      </c>
      <c r="H95" s="6" t="s">
        <v>585</v>
      </c>
      <c r="I95" s="6" t="s">
        <v>337</v>
      </c>
      <c r="J95" s="6" t="s">
        <v>586</v>
      </c>
      <c r="K95" s="6" t="s">
        <v>587</v>
      </c>
      <c r="L95" s="6" t="s">
        <v>587</v>
      </c>
      <c r="M95" s="14">
        <v>45897.4</v>
      </c>
      <c r="N95" s="6">
        <v>79107</v>
      </c>
      <c r="O95" s="6" t="s">
        <v>91</v>
      </c>
      <c r="P95" s="6" t="s">
        <v>252</v>
      </c>
      <c r="Q95" s="6" t="s">
        <v>253</v>
      </c>
      <c r="R95" s="6" t="s">
        <v>253</v>
      </c>
      <c r="S95" s="6" t="s">
        <v>9</v>
      </c>
      <c r="T95" s="6" t="s">
        <v>254</v>
      </c>
      <c r="U95" s="6" t="s">
        <v>120</v>
      </c>
      <c r="V95" s="6" t="s">
        <v>570</v>
      </c>
      <c r="W95" s="6" t="s">
        <v>91</v>
      </c>
      <c r="X95" s="6" t="s">
        <v>91</v>
      </c>
      <c r="Y95" s="6" t="s">
        <v>91</v>
      </c>
      <c r="Z95" s="6" t="s">
        <v>62</v>
      </c>
      <c r="AA95" s="6" t="s">
        <v>91</v>
      </c>
      <c r="AB95" s="6">
        <v>266.67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 t="s">
        <v>588</v>
      </c>
      <c r="AJ95" s="6" t="s">
        <v>257</v>
      </c>
      <c r="AK95" s="6" t="s">
        <v>12</v>
      </c>
      <c r="AL95" s="6" t="s">
        <v>48</v>
      </c>
      <c r="AM95" s="6" t="s">
        <v>258</v>
      </c>
      <c r="AN95" s="6" t="s">
        <v>20</v>
      </c>
      <c r="AO95" s="6" t="s">
        <v>272</v>
      </c>
      <c r="AP95" s="6" t="s">
        <v>273</v>
      </c>
      <c r="AQ95" s="6" t="s">
        <v>18</v>
      </c>
    </row>
    <row r="96" spans="1:43" x14ac:dyDescent="0.25">
      <c r="A96" s="6">
        <v>22837869</v>
      </c>
      <c r="B96" s="6">
        <v>23622298</v>
      </c>
      <c r="C96" s="6" t="s">
        <v>248</v>
      </c>
      <c r="D96" s="14">
        <v>45899.00540509259</v>
      </c>
      <c r="E96" s="14">
        <v>45902.55263888889</v>
      </c>
      <c r="F96" s="6" t="s">
        <v>23</v>
      </c>
      <c r="G96" s="6" t="s">
        <v>23</v>
      </c>
      <c r="H96" s="6" t="s">
        <v>589</v>
      </c>
      <c r="I96" s="6" t="s">
        <v>13</v>
      </c>
      <c r="J96" s="6" t="s">
        <v>590</v>
      </c>
      <c r="K96" s="6" t="s">
        <v>275</v>
      </c>
      <c r="L96" s="6" t="s">
        <v>275</v>
      </c>
      <c r="M96" s="14">
        <v>45898.681250000001</v>
      </c>
      <c r="N96" s="6">
        <v>4590285</v>
      </c>
      <c r="O96" s="6" t="s">
        <v>591</v>
      </c>
      <c r="P96" s="6" t="s">
        <v>276</v>
      </c>
      <c r="Q96" s="6" t="s">
        <v>268</v>
      </c>
      <c r="R96" s="6" t="s">
        <v>269</v>
      </c>
      <c r="S96" s="6" t="s">
        <v>8</v>
      </c>
      <c r="T96" s="6" t="s">
        <v>254</v>
      </c>
      <c r="U96" s="6" t="s">
        <v>160</v>
      </c>
      <c r="V96" s="6" t="s">
        <v>592</v>
      </c>
      <c r="W96" s="6" t="s">
        <v>91</v>
      </c>
      <c r="X96" s="6" t="s">
        <v>91</v>
      </c>
      <c r="Y96" s="6" t="s">
        <v>91</v>
      </c>
      <c r="Z96" s="6" t="s">
        <v>93</v>
      </c>
      <c r="AA96" s="6" t="s">
        <v>91</v>
      </c>
      <c r="AB96" s="6">
        <v>344.68</v>
      </c>
      <c r="AC96" s="6">
        <v>117.7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 t="s">
        <v>593</v>
      </c>
      <c r="AJ96" s="6" t="s">
        <v>257</v>
      </c>
      <c r="AK96" s="6" t="s">
        <v>13</v>
      </c>
      <c r="AL96" s="6" t="s">
        <v>48</v>
      </c>
      <c r="AM96" s="6" t="s">
        <v>258</v>
      </c>
      <c r="AN96" s="6" t="s">
        <v>20</v>
      </c>
      <c r="AO96" s="6" t="s">
        <v>259</v>
      </c>
      <c r="AP96" s="6" t="s">
        <v>260</v>
      </c>
      <c r="AQ96" s="6" t="s">
        <v>31</v>
      </c>
    </row>
    <row r="97" spans="1:43" x14ac:dyDescent="0.25">
      <c r="A97" s="6">
        <v>22872083</v>
      </c>
      <c r="B97" s="6">
        <v>23651126</v>
      </c>
      <c r="C97" s="6" t="s">
        <v>248</v>
      </c>
      <c r="D97" s="14">
        <v>45905.003275462957</v>
      </c>
      <c r="E97" s="14">
        <v>45905.003935185188</v>
      </c>
      <c r="F97" s="6" t="s">
        <v>21</v>
      </c>
      <c r="G97" s="6" t="s">
        <v>21</v>
      </c>
      <c r="H97" s="6" t="s">
        <v>594</v>
      </c>
      <c r="I97" s="6" t="s">
        <v>13</v>
      </c>
      <c r="J97" s="6" t="s">
        <v>595</v>
      </c>
      <c r="K97" s="6" t="s">
        <v>275</v>
      </c>
      <c r="L97" s="6" t="s">
        <v>275</v>
      </c>
      <c r="M97" s="14">
        <v>45904.787499999999</v>
      </c>
      <c r="N97" s="6">
        <v>4593119</v>
      </c>
      <c r="O97" s="6" t="s">
        <v>91</v>
      </c>
      <c r="P97" s="6" t="s">
        <v>276</v>
      </c>
      <c r="Q97" s="6" t="s">
        <v>318</v>
      </c>
      <c r="R97" s="6" t="s">
        <v>318</v>
      </c>
      <c r="S97" s="6" t="s">
        <v>9</v>
      </c>
      <c r="T97" s="6" t="s">
        <v>254</v>
      </c>
      <c r="U97" s="6" t="s">
        <v>160</v>
      </c>
      <c r="V97" s="6" t="s">
        <v>592</v>
      </c>
      <c r="W97" s="6" t="s">
        <v>91</v>
      </c>
      <c r="X97" s="6" t="s">
        <v>91</v>
      </c>
      <c r="Y97" s="6" t="s">
        <v>91</v>
      </c>
      <c r="Z97" s="6" t="s">
        <v>93</v>
      </c>
      <c r="AA97" s="6" t="s">
        <v>91</v>
      </c>
      <c r="AB97" s="6">
        <v>5949.78</v>
      </c>
      <c r="AC97" s="6">
        <v>201.48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596</v>
      </c>
      <c r="AJ97" s="6" t="s">
        <v>257</v>
      </c>
      <c r="AK97" s="6" t="s">
        <v>13</v>
      </c>
      <c r="AL97" s="6" t="s">
        <v>48</v>
      </c>
      <c r="AM97" s="6" t="s">
        <v>258</v>
      </c>
      <c r="AN97" s="6" t="s">
        <v>20</v>
      </c>
      <c r="AO97" s="6" t="s">
        <v>259</v>
      </c>
      <c r="AP97" s="6" t="s">
        <v>260</v>
      </c>
      <c r="AQ97" s="6" t="s">
        <v>31</v>
      </c>
    </row>
    <row r="98" spans="1:43" x14ac:dyDescent="0.25">
      <c r="A98" s="6">
        <v>22872084</v>
      </c>
      <c r="B98" s="6">
        <v>23651127</v>
      </c>
      <c r="C98" s="6" t="s">
        <v>248</v>
      </c>
      <c r="D98" s="14">
        <v>45905.003287037027</v>
      </c>
      <c r="E98" s="14">
        <v>45905.003946759258</v>
      </c>
      <c r="F98" s="6" t="s">
        <v>21</v>
      </c>
      <c r="G98" s="6" t="s">
        <v>21</v>
      </c>
      <c r="H98" s="6" t="s">
        <v>597</v>
      </c>
      <c r="I98" s="6" t="s">
        <v>13</v>
      </c>
      <c r="J98" s="6" t="s">
        <v>598</v>
      </c>
      <c r="K98" s="6" t="s">
        <v>275</v>
      </c>
      <c r="L98" s="6" t="s">
        <v>275</v>
      </c>
      <c r="M98" s="14">
        <v>45904.790277777778</v>
      </c>
      <c r="N98" s="6">
        <v>4593122</v>
      </c>
      <c r="O98" s="6" t="s">
        <v>91</v>
      </c>
      <c r="P98" s="6" t="s">
        <v>276</v>
      </c>
      <c r="Q98" s="6" t="s">
        <v>318</v>
      </c>
      <c r="R98" s="6" t="s">
        <v>318</v>
      </c>
      <c r="S98" s="6" t="s">
        <v>9</v>
      </c>
      <c r="T98" s="6" t="s">
        <v>254</v>
      </c>
      <c r="U98" s="6" t="s">
        <v>160</v>
      </c>
      <c r="V98" s="6" t="s">
        <v>592</v>
      </c>
      <c r="W98" s="6" t="s">
        <v>91</v>
      </c>
      <c r="X98" s="6" t="s">
        <v>91</v>
      </c>
      <c r="Y98" s="6" t="s">
        <v>91</v>
      </c>
      <c r="Z98" s="6" t="s">
        <v>93</v>
      </c>
      <c r="AA98" s="6" t="s">
        <v>91</v>
      </c>
      <c r="AB98" s="6">
        <v>5949.78</v>
      </c>
      <c r="AC98" s="6">
        <v>201.48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599</v>
      </c>
      <c r="AJ98" s="6" t="s">
        <v>257</v>
      </c>
      <c r="AK98" s="6" t="s">
        <v>13</v>
      </c>
      <c r="AL98" s="6" t="s">
        <v>48</v>
      </c>
      <c r="AM98" s="6" t="s">
        <v>258</v>
      </c>
      <c r="AN98" s="6" t="s">
        <v>20</v>
      </c>
      <c r="AO98" s="6" t="s">
        <v>259</v>
      </c>
      <c r="AP98" s="6" t="s">
        <v>260</v>
      </c>
      <c r="AQ98" s="6" t="s">
        <v>31</v>
      </c>
    </row>
    <row r="99" spans="1:43" x14ac:dyDescent="0.25">
      <c r="A99" s="6">
        <v>22879020</v>
      </c>
      <c r="B99" s="6">
        <v>23657360</v>
      </c>
      <c r="C99" s="6" t="s">
        <v>248</v>
      </c>
      <c r="D99" s="14">
        <v>45906.00372685185</v>
      </c>
      <c r="E99" s="14">
        <v>45906.007291666669</v>
      </c>
      <c r="F99" s="6" t="s">
        <v>21</v>
      </c>
      <c r="G99" s="6" t="s">
        <v>21</v>
      </c>
      <c r="H99" s="6" t="s">
        <v>600</v>
      </c>
      <c r="I99" s="6" t="s">
        <v>13</v>
      </c>
      <c r="J99" s="6" t="s">
        <v>601</v>
      </c>
      <c r="K99" s="6" t="s">
        <v>275</v>
      </c>
      <c r="L99" s="6" t="s">
        <v>275</v>
      </c>
      <c r="M99" s="14">
        <v>45905.645138888889</v>
      </c>
      <c r="N99" s="6">
        <v>4593552</v>
      </c>
      <c r="O99" s="6" t="s">
        <v>91</v>
      </c>
      <c r="P99" s="6" t="s">
        <v>276</v>
      </c>
      <c r="Q99" s="6" t="s">
        <v>318</v>
      </c>
      <c r="R99" s="6" t="s">
        <v>318</v>
      </c>
      <c r="S99" s="6" t="s">
        <v>9</v>
      </c>
      <c r="T99" s="6" t="s">
        <v>254</v>
      </c>
      <c r="U99" s="6" t="s">
        <v>160</v>
      </c>
      <c r="V99" s="6" t="s">
        <v>592</v>
      </c>
      <c r="W99" s="6" t="s">
        <v>91</v>
      </c>
      <c r="X99" s="6" t="s">
        <v>91</v>
      </c>
      <c r="Y99" s="6" t="s">
        <v>91</v>
      </c>
      <c r="Z99" s="6" t="s">
        <v>93</v>
      </c>
      <c r="AA99" s="6" t="s">
        <v>91</v>
      </c>
      <c r="AB99" s="6">
        <v>5926.86</v>
      </c>
      <c r="AC99" s="6">
        <v>200.28</v>
      </c>
      <c r="AD99" s="6">
        <v>0</v>
      </c>
      <c r="AE99" s="6">
        <v>0</v>
      </c>
      <c r="AF99" s="6">
        <v>0</v>
      </c>
      <c r="AG99" s="6">
        <v>0</v>
      </c>
      <c r="AH99" s="6">
        <v>0</v>
      </c>
      <c r="AI99" s="6" t="s">
        <v>602</v>
      </c>
      <c r="AJ99" s="6" t="s">
        <v>257</v>
      </c>
      <c r="AK99" s="6" t="s">
        <v>13</v>
      </c>
      <c r="AL99" s="6" t="s">
        <v>48</v>
      </c>
      <c r="AM99" s="6" t="s">
        <v>258</v>
      </c>
      <c r="AN99" s="6" t="s">
        <v>20</v>
      </c>
      <c r="AO99" s="6" t="s">
        <v>259</v>
      </c>
      <c r="AP99" s="6" t="s">
        <v>260</v>
      </c>
      <c r="AQ99" s="6" t="s">
        <v>31</v>
      </c>
    </row>
    <row r="100" spans="1:43" x14ac:dyDescent="0.25">
      <c r="A100" s="6">
        <v>22879021</v>
      </c>
      <c r="B100" s="6">
        <v>23657361</v>
      </c>
      <c r="C100" s="6" t="s">
        <v>248</v>
      </c>
      <c r="D100" s="14">
        <v>45906.003738425927</v>
      </c>
      <c r="E100" s="14">
        <v>45906.007291666669</v>
      </c>
      <c r="F100" s="6" t="s">
        <v>21</v>
      </c>
      <c r="G100" s="6" t="s">
        <v>21</v>
      </c>
      <c r="H100" s="6" t="s">
        <v>603</v>
      </c>
      <c r="I100" s="6" t="s">
        <v>13</v>
      </c>
      <c r="J100" s="6" t="s">
        <v>604</v>
      </c>
      <c r="K100" s="6" t="s">
        <v>275</v>
      </c>
      <c r="L100" s="6" t="s">
        <v>275</v>
      </c>
      <c r="M100" s="14">
        <v>45905.645138888889</v>
      </c>
      <c r="N100" s="6">
        <v>4593553</v>
      </c>
      <c r="O100" s="6" t="s">
        <v>91</v>
      </c>
      <c r="P100" s="6" t="s">
        <v>276</v>
      </c>
      <c r="Q100" s="6" t="s">
        <v>318</v>
      </c>
      <c r="R100" s="6" t="s">
        <v>318</v>
      </c>
      <c r="S100" s="6" t="s">
        <v>9</v>
      </c>
      <c r="T100" s="6" t="s">
        <v>254</v>
      </c>
      <c r="U100" s="6" t="s">
        <v>160</v>
      </c>
      <c r="V100" s="6" t="s">
        <v>592</v>
      </c>
      <c r="W100" s="6" t="s">
        <v>91</v>
      </c>
      <c r="X100" s="6" t="s">
        <v>91</v>
      </c>
      <c r="Y100" s="6" t="s">
        <v>91</v>
      </c>
      <c r="Z100" s="6" t="s">
        <v>93</v>
      </c>
      <c r="AA100" s="6" t="s">
        <v>91</v>
      </c>
      <c r="AB100" s="6">
        <v>5926.86</v>
      </c>
      <c r="AC100" s="6">
        <v>200.28</v>
      </c>
      <c r="AD100" s="6">
        <v>0</v>
      </c>
      <c r="AE100" s="6">
        <v>0</v>
      </c>
      <c r="AF100" s="6">
        <v>0</v>
      </c>
      <c r="AG100" s="6">
        <v>0</v>
      </c>
      <c r="AH100" s="6">
        <v>0</v>
      </c>
      <c r="AI100" s="6" t="s">
        <v>605</v>
      </c>
      <c r="AJ100" s="6" t="s">
        <v>257</v>
      </c>
      <c r="AK100" s="6" t="s">
        <v>13</v>
      </c>
      <c r="AL100" s="6" t="s">
        <v>48</v>
      </c>
      <c r="AM100" s="6" t="s">
        <v>258</v>
      </c>
      <c r="AN100" s="6" t="s">
        <v>20</v>
      </c>
      <c r="AO100" s="6" t="s">
        <v>259</v>
      </c>
      <c r="AP100" s="6" t="s">
        <v>260</v>
      </c>
      <c r="AQ100" s="6" t="s">
        <v>31</v>
      </c>
    </row>
    <row r="101" spans="1:43" x14ac:dyDescent="0.25">
      <c r="A101" s="6">
        <v>22879022</v>
      </c>
      <c r="B101" s="6">
        <v>23657362</v>
      </c>
      <c r="C101" s="6" t="s">
        <v>248</v>
      </c>
      <c r="D101" s="14">
        <v>45906.003750000003</v>
      </c>
      <c r="E101" s="14">
        <v>45906.007303240738</v>
      </c>
      <c r="F101" s="6" t="s">
        <v>21</v>
      </c>
      <c r="G101" s="6" t="s">
        <v>21</v>
      </c>
      <c r="H101" s="6" t="s">
        <v>606</v>
      </c>
      <c r="I101" s="6" t="s">
        <v>13</v>
      </c>
      <c r="J101" s="6" t="s">
        <v>601</v>
      </c>
      <c r="K101" s="6" t="s">
        <v>275</v>
      </c>
      <c r="L101" s="6" t="s">
        <v>275</v>
      </c>
      <c r="M101" s="14">
        <v>45905.647916666669</v>
      </c>
      <c r="N101" s="6">
        <v>4593559</v>
      </c>
      <c r="O101" s="6" t="s">
        <v>91</v>
      </c>
      <c r="P101" s="6" t="s">
        <v>276</v>
      </c>
      <c r="Q101" s="6" t="s">
        <v>318</v>
      </c>
      <c r="R101" s="6" t="s">
        <v>318</v>
      </c>
      <c r="S101" s="6" t="s">
        <v>9</v>
      </c>
      <c r="T101" s="6" t="s">
        <v>254</v>
      </c>
      <c r="U101" s="6" t="s">
        <v>160</v>
      </c>
      <c r="V101" s="6" t="s">
        <v>592</v>
      </c>
      <c r="W101" s="6" t="s">
        <v>91</v>
      </c>
      <c r="X101" s="6" t="s">
        <v>91</v>
      </c>
      <c r="Y101" s="6" t="s">
        <v>91</v>
      </c>
      <c r="Z101" s="6" t="s">
        <v>93</v>
      </c>
      <c r="AA101" s="6" t="s">
        <v>91</v>
      </c>
      <c r="AB101" s="6">
        <v>5926.86</v>
      </c>
      <c r="AC101" s="6">
        <v>200.28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607</v>
      </c>
      <c r="AJ101" s="6" t="s">
        <v>257</v>
      </c>
      <c r="AK101" s="6" t="s">
        <v>13</v>
      </c>
      <c r="AL101" s="6" t="s">
        <v>48</v>
      </c>
      <c r="AM101" s="6" t="s">
        <v>258</v>
      </c>
      <c r="AN101" s="6" t="s">
        <v>20</v>
      </c>
      <c r="AO101" s="6" t="s">
        <v>259</v>
      </c>
      <c r="AP101" s="6" t="s">
        <v>260</v>
      </c>
      <c r="AQ101" s="6" t="s">
        <v>31</v>
      </c>
    </row>
    <row r="102" spans="1:43" x14ac:dyDescent="0.25">
      <c r="A102" s="6">
        <v>22848745</v>
      </c>
      <c r="B102" s="6">
        <v>23630322</v>
      </c>
      <c r="C102" s="6" t="s">
        <v>248</v>
      </c>
      <c r="D102" s="14">
        <v>45901.669537037043</v>
      </c>
      <c r="E102" s="14">
        <v>45911.566932870373</v>
      </c>
      <c r="F102" s="6" t="s">
        <v>17</v>
      </c>
      <c r="G102" s="6" t="s">
        <v>23</v>
      </c>
      <c r="H102" s="6" t="s">
        <v>608</v>
      </c>
      <c r="I102" s="6" t="s">
        <v>16</v>
      </c>
      <c r="J102" s="6" t="s">
        <v>609</v>
      </c>
      <c r="K102" s="6" t="s">
        <v>369</v>
      </c>
      <c r="L102" s="6" t="s">
        <v>369</v>
      </c>
      <c r="M102" s="14">
        <v>45897.566666666673</v>
      </c>
      <c r="N102" s="6" t="s">
        <v>610</v>
      </c>
      <c r="O102" s="6" t="s">
        <v>611</v>
      </c>
      <c r="P102" s="6" t="s">
        <v>276</v>
      </c>
      <c r="Q102" s="6" t="s">
        <v>268</v>
      </c>
      <c r="R102" s="6" t="s">
        <v>269</v>
      </c>
      <c r="S102" s="6" t="s">
        <v>8</v>
      </c>
      <c r="T102" s="6" t="s">
        <v>254</v>
      </c>
      <c r="U102" s="6" t="s">
        <v>197</v>
      </c>
      <c r="V102" s="6" t="s">
        <v>612</v>
      </c>
      <c r="W102" s="6" t="s">
        <v>391</v>
      </c>
      <c r="X102" s="6" t="s">
        <v>91</v>
      </c>
      <c r="Y102" s="6" t="s">
        <v>91</v>
      </c>
      <c r="Z102" s="6" t="s">
        <v>54</v>
      </c>
      <c r="AA102" s="6" t="s">
        <v>91</v>
      </c>
      <c r="AB102" s="6">
        <v>85.52</v>
      </c>
      <c r="AC102" s="6">
        <v>14.67</v>
      </c>
      <c r="AD102" s="6">
        <v>0</v>
      </c>
      <c r="AE102" s="6">
        <v>0</v>
      </c>
      <c r="AF102" s="6">
        <v>0</v>
      </c>
      <c r="AG102" s="6">
        <v>0</v>
      </c>
      <c r="AH102" s="6">
        <v>0</v>
      </c>
      <c r="AI102" s="6" t="s">
        <v>288</v>
      </c>
      <c r="AJ102" s="6" t="s">
        <v>393</v>
      </c>
      <c r="AK102" s="6" t="s">
        <v>16</v>
      </c>
      <c r="AL102" s="6" t="s">
        <v>61</v>
      </c>
      <c r="AM102" s="6" t="s">
        <v>394</v>
      </c>
      <c r="AN102" s="6" t="s">
        <v>20</v>
      </c>
      <c r="AO102" s="6" t="s">
        <v>272</v>
      </c>
      <c r="AP102" s="6" t="s">
        <v>273</v>
      </c>
      <c r="AQ102" s="6" t="s">
        <v>18</v>
      </c>
    </row>
    <row r="103" spans="1:43" x14ac:dyDescent="0.25">
      <c r="A103" s="6">
        <v>22896560</v>
      </c>
      <c r="B103" s="6">
        <v>23671489</v>
      </c>
      <c r="C103" s="6" t="s">
        <v>248</v>
      </c>
      <c r="D103" s="14">
        <v>45909.69226851852</v>
      </c>
      <c r="E103" s="14">
        <v>45910.942685185182</v>
      </c>
      <c r="F103" s="6" t="s">
        <v>17</v>
      </c>
      <c r="G103" s="6" t="s">
        <v>19</v>
      </c>
      <c r="H103" s="6">
        <v>19921908</v>
      </c>
      <c r="I103" s="6" t="s">
        <v>13</v>
      </c>
      <c r="J103" s="6" t="s">
        <v>613</v>
      </c>
      <c r="K103" s="6" t="s">
        <v>275</v>
      </c>
      <c r="L103" s="6" t="s">
        <v>275</v>
      </c>
      <c r="M103" s="14">
        <v>45909.536805555559</v>
      </c>
      <c r="N103" s="6">
        <v>4594848</v>
      </c>
      <c r="O103" s="6" t="s">
        <v>91</v>
      </c>
      <c r="P103" s="6" t="s">
        <v>276</v>
      </c>
      <c r="Q103" s="6" t="s">
        <v>253</v>
      </c>
      <c r="R103" s="6" t="s">
        <v>253</v>
      </c>
      <c r="S103" s="6" t="s">
        <v>9</v>
      </c>
      <c r="T103" s="6" t="s">
        <v>254</v>
      </c>
      <c r="U103" s="6" t="s">
        <v>180</v>
      </c>
      <c r="V103" s="6" t="s">
        <v>614</v>
      </c>
      <c r="W103" s="6" t="s">
        <v>91</v>
      </c>
      <c r="X103" s="6" t="s">
        <v>91</v>
      </c>
      <c r="Y103" s="6" t="s">
        <v>91</v>
      </c>
      <c r="Z103" s="6" t="s">
        <v>111</v>
      </c>
      <c r="AA103" s="6" t="s">
        <v>91</v>
      </c>
      <c r="AB103" s="6">
        <v>788.5</v>
      </c>
      <c r="AC103" s="6">
        <v>118.28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615</v>
      </c>
      <c r="AJ103" s="6" t="s">
        <v>257</v>
      </c>
      <c r="AK103" s="6" t="s">
        <v>13</v>
      </c>
      <c r="AL103" s="6" t="s">
        <v>48</v>
      </c>
      <c r="AM103" s="6" t="s">
        <v>258</v>
      </c>
      <c r="AN103" s="6" t="s">
        <v>20</v>
      </c>
      <c r="AO103" s="6" t="s">
        <v>259</v>
      </c>
      <c r="AP103" s="6" t="s">
        <v>260</v>
      </c>
      <c r="AQ103" s="6" t="s">
        <v>31</v>
      </c>
    </row>
    <row r="104" spans="1:43" x14ac:dyDescent="0.25">
      <c r="A104" s="6">
        <v>22901730</v>
      </c>
      <c r="B104" s="6">
        <v>23675885</v>
      </c>
      <c r="C104" s="6" t="s">
        <v>248</v>
      </c>
      <c r="D104" s="14">
        <v>45910.51798611111</v>
      </c>
      <c r="E104" s="14">
        <v>45911.938969907409</v>
      </c>
      <c r="F104" s="6" t="s">
        <v>17</v>
      </c>
      <c r="G104" s="6" t="s">
        <v>17</v>
      </c>
      <c r="H104" s="6">
        <v>19923421</v>
      </c>
      <c r="I104" s="6" t="s">
        <v>13</v>
      </c>
      <c r="J104" s="6" t="s">
        <v>616</v>
      </c>
      <c r="K104" s="6" t="s">
        <v>275</v>
      </c>
      <c r="L104" s="6" t="s">
        <v>275</v>
      </c>
      <c r="M104" s="14">
        <v>45909.592361111107</v>
      </c>
      <c r="N104" s="6">
        <v>4594891</v>
      </c>
      <c r="O104" s="6" t="s">
        <v>91</v>
      </c>
      <c r="P104" s="6" t="s">
        <v>276</v>
      </c>
      <c r="Q104" s="6" t="s">
        <v>253</v>
      </c>
      <c r="R104" s="6" t="s">
        <v>253</v>
      </c>
      <c r="S104" s="6" t="s">
        <v>9</v>
      </c>
      <c r="T104" s="6" t="s">
        <v>254</v>
      </c>
      <c r="U104" s="6" t="s">
        <v>180</v>
      </c>
      <c r="V104" s="6" t="s">
        <v>614</v>
      </c>
      <c r="W104" s="6" t="s">
        <v>91</v>
      </c>
      <c r="X104" s="6" t="s">
        <v>91</v>
      </c>
      <c r="Y104" s="6" t="s">
        <v>91</v>
      </c>
      <c r="Z104" s="6" t="s">
        <v>111</v>
      </c>
      <c r="AA104" s="6" t="s">
        <v>91</v>
      </c>
      <c r="AB104" s="6">
        <v>394.25</v>
      </c>
      <c r="AC104" s="6">
        <v>59.14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617</v>
      </c>
      <c r="AJ104" s="6" t="s">
        <v>257</v>
      </c>
      <c r="AK104" s="6" t="s">
        <v>13</v>
      </c>
      <c r="AL104" s="6" t="s">
        <v>48</v>
      </c>
      <c r="AM104" s="6" t="s">
        <v>258</v>
      </c>
      <c r="AN104" s="6" t="s">
        <v>20</v>
      </c>
      <c r="AO104" s="6" t="s">
        <v>259</v>
      </c>
      <c r="AP104" s="6" t="s">
        <v>260</v>
      </c>
      <c r="AQ104" s="6" t="s">
        <v>31</v>
      </c>
    </row>
    <row r="105" spans="1:43" x14ac:dyDescent="0.25">
      <c r="A105" s="6">
        <v>22809805</v>
      </c>
      <c r="B105" s="6">
        <v>23597334</v>
      </c>
      <c r="C105" s="6" t="s">
        <v>248</v>
      </c>
      <c r="D105" s="14">
        <v>45894.808333333327</v>
      </c>
      <c r="E105" s="14">
        <v>45911.560740740737</v>
      </c>
      <c r="F105" s="6" t="s">
        <v>17</v>
      </c>
      <c r="G105" s="6" t="s">
        <v>25</v>
      </c>
      <c r="H105" s="6" t="s">
        <v>618</v>
      </c>
      <c r="I105" s="6" t="s">
        <v>337</v>
      </c>
      <c r="J105" s="6" t="s">
        <v>619</v>
      </c>
      <c r="K105" s="6" t="s">
        <v>344</v>
      </c>
      <c r="L105" s="6" t="s">
        <v>344</v>
      </c>
      <c r="M105" s="14">
        <v>45894.65347222222</v>
      </c>
      <c r="N105" s="6">
        <v>78683</v>
      </c>
      <c r="O105" s="6" t="s">
        <v>91</v>
      </c>
      <c r="P105" s="6" t="s">
        <v>276</v>
      </c>
      <c r="Q105" s="6" t="s">
        <v>253</v>
      </c>
      <c r="R105" s="6" t="s">
        <v>253</v>
      </c>
      <c r="S105" s="6" t="s">
        <v>9</v>
      </c>
      <c r="T105" s="6" t="s">
        <v>254</v>
      </c>
      <c r="U105" s="6" t="s">
        <v>120</v>
      </c>
      <c r="V105" s="6" t="s">
        <v>570</v>
      </c>
      <c r="W105" s="6" t="s">
        <v>91</v>
      </c>
      <c r="X105" s="6" t="s">
        <v>91</v>
      </c>
      <c r="Y105" s="6" t="s">
        <v>91</v>
      </c>
      <c r="Z105" s="6" t="s">
        <v>62</v>
      </c>
      <c r="AA105" s="6" t="s">
        <v>91</v>
      </c>
      <c r="AB105" s="6">
        <v>110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>
        <v>0</v>
      </c>
      <c r="AI105" s="6" t="s">
        <v>620</v>
      </c>
      <c r="AJ105" s="6" t="s">
        <v>257</v>
      </c>
      <c r="AK105" s="6" t="s">
        <v>12</v>
      </c>
      <c r="AL105" s="6" t="s">
        <v>48</v>
      </c>
      <c r="AM105" s="6" t="s">
        <v>258</v>
      </c>
      <c r="AN105" s="6" t="s">
        <v>20</v>
      </c>
      <c r="AO105" s="6" t="s">
        <v>259</v>
      </c>
      <c r="AP105" s="6" t="s">
        <v>260</v>
      </c>
      <c r="AQ105" s="6" t="s">
        <v>31</v>
      </c>
    </row>
    <row r="106" spans="1:43" x14ac:dyDescent="0.25">
      <c r="A106" s="6">
        <v>22905088</v>
      </c>
      <c r="B106" s="6">
        <v>23679060</v>
      </c>
      <c r="C106" s="6" t="s">
        <v>248</v>
      </c>
      <c r="D106" s="14">
        <v>45910.884074074071</v>
      </c>
      <c r="E106" s="14">
        <v>45911.57104166667</v>
      </c>
      <c r="F106" s="6" t="s">
        <v>17</v>
      </c>
      <c r="G106" s="6" t="s">
        <v>17</v>
      </c>
      <c r="H106" s="6" t="s">
        <v>621</v>
      </c>
      <c r="I106" s="6" t="s">
        <v>16</v>
      </c>
      <c r="J106" s="6" t="s">
        <v>622</v>
      </c>
      <c r="K106" s="6" t="s">
        <v>623</v>
      </c>
      <c r="L106" s="6" t="s">
        <v>623</v>
      </c>
      <c r="M106" s="14">
        <v>45909.3</v>
      </c>
      <c r="N106" s="6" t="s">
        <v>624</v>
      </c>
      <c r="O106" s="6" t="s">
        <v>91</v>
      </c>
      <c r="P106" s="6" t="s">
        <v>252</v>
      </c>
      <c r="Q106" s="6" t="s">
        <v>253</v>
      </c>
      <c r="R106" s="6" t="s">
        <v>253</v>
      </c>
      <c r="S106" s="6" t="s">
        <v>9</v>
      </c>
      <c r="T106" s="6" t="s">
        <v>254</v>
      </c>
      <c r="U106" s="6" t="s">
        <v>158</v>
      </c>
      <c r="V106" s="6" t="s">
        <v>625</v>
      </c>
      <c r="W106" s="6" t="s">
        <v>91</v>
      </c>
      <c r="X106" s="6" t="s">
        <v>91</v>
      </c>
      <c r="Y106" s="6" t="s">
        <v>91</v>
      </c>
      <c r="Z106" s="6" t="s">
        <v>54</v>
      </c>
      <c r="AA106" s="6" t="s">
        <v>91</v>
      </c>
      <c r="AB106" s="6">
        <v>3186.99</v>
      </c>
      <c r="AC106" s="6">
        <v>164.44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288</v>
      </c>
      <c r="AJ106" s="6" t="s">
        <v>257</v>
      </c>
      <c r="AK106" s="6" t="s">
        <v>16</v>
      </c>
      <c r="AL106" s="6" t="s">
        <v>48</v>
      </c>
      <c r="AM106" s="6" t="s">
        <v>258</v>
      </c>
      <c r="AN106" s="6" t="s">
        <v>20</v>
      </c>
      <c r="AO106" s="6" t="s">
        <v>272</v>
      </c>
      <c r="AP106" s="6" t="s">
        <v>273</v>
      </c>
      <c r="AQ106" s="6" t="s">
        <v>18</v>
      </c>
    </row>
    <row r="107" spans="1:43" x14ac:dyDescent="0.25">
      <c r="A107" s="6">
        <v>22905160</v>
      </c>
      <c r="B107" s="6">
        <v>23679129</v>
      </c>
      <c r="C107" s="6" t="s">
        <v>248</v>
      </c>
      <c r="D107" s="14">
        <v>45910.887604166674</v>
      </c>
      <c r="E107" s="14">
        <v>45911.571053240739</v>
      </c>
      <c r="F107" s="6" t="s">
        <v>17</v>
      </c>
      <c r="G107" s="6" t="s">
        <v>17</v>
      </c>
      <c r="H107" s="6" t="s">
        <v>626</v>
      </c>
      <c r="I107" s="6" t="s">
        <v>16</v>
      </c>
      <c r="J107" s="6" t="s">
        <v>627</v>
      </c>
      <c r="K107" s="6" t="s">
        <v>623</v>
      </c>
      <c r="L107" s="6" t="s">
        <v>623</v>
      </c>
      <c r="M107" s="14">
        <v>45910.556944444441</v>
      </c>
      <c r="N107" s="6" t="s">
        <v>628</v>
      </c>
      <c r="O107" s="6" t="s">
        <v>91</v>
      </c>
      <c r="P107" s="6" t="s">
        <v>252</v>
      </c>
      <c r="Q107" s="6" t="s">
        <v>268</v>
      </c>
      <c r="R107" s="6" t="s">
        <v>269</v>
      </c>
      <c r="S107" s="6" t="s">
        <v>9</v>
      </c>
      <c r="T107" s="6" t="s">
        <v>254</v>
      </c>
      <c r="U107" s="6" t="s">
        <v>158</v>
      </c>
      <c r="V107" s="6" t="s">
        <v>629</v>
      </c>
      <c r="W107" s="6" t="s">
        <v>91</v>
      </c>
      <c r="X107" s="6" t="s">
        <v>91</v>
      </c>
      <c r="Y107" s="6" t="s">
        <v>91</v>
      </c>
      <c r="Z107" s="6" t="s">
        <v>54</v>
      </c>
      <c r="AA107" s="6" t="s">
        <v>91</v>
      </c>
      <c r="AB107" s="6">
        <v>561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288</v>
      </c>
      <c r="AJ107" s="6" t="s">
        <v>257</v>
      </c>
      <c r="AK107" s="6" t="s">
        <v>16</v>
      </c>
      <c r="AL107" s="6" t="s">
        <v>48</v>
      </c>
      <c r="AM107" s="6" t="s">
        <v>258</v>
      </c>
      <c r="AN107" s="6" t="s">
        <v>20</v>
      </c>
      <c r="AO107" s="6" t="s">
        <v>272</v>
      </c>
      <c r="AP107" s="6" t="s">
        <v>273</v>
      </c>
      <c r="AQ107" s="6" t="s">
        <v>18</v>
      </c>
    </row>
    <row r="108" spans="1:43" x14ac:dyDescent="0.25">
      <c r="A108" s="6">
        <v>22904982</v>
      </c>
      <c r="B108" s="6">
        <v>23678959</v>
      </c>
      <c r="C108" s="6" t="s">
        <v>248</v>
      </c>
      <c r="D108" s="14">
        <v>45910.876851851863</v>
      </c>
      <c r="E108" s="14">
        <v>45911.567013888889</v>
      </c>
      <c r="F108" s="6" t="s">
        <v>17</v>
      </c>
      <c r="G108" s="6" t="s">
        <v>17</v>
      </c>
      <c r="H108" s="6" t="s">
        <v>630</v>
      </c>
      <c r="I108" s="6" t="s">
        <v>16</v>
      </c>
      <c r="J108" s="6" t="s">
        <v>631</v>
      </c>
      <c r="K108" s="6" t="s">
        <v>495</v>
      </c>
      <c r="L108" s="6" t="s">
        <v>495</v>
      </c>
      <c r="M108" s="14">
        <v>45839.367361111108</v>
      </c>
      <c r="N108" s="6" t="s">
        <v>632</v>
      </c>
      <c r="O108" s="6" t="s">
        <v>91</v>
      </c>
      <c r="P108" s="6" t="s">
        <v>276</v>
      </c>
      <c r="Q108" s="6" t="s">
        <v>318</v>
      </c>
      <c r="R108" s="6" t="s">
        <v>318</v>
      </c>
      <c r="S108" s="6" t="s">
        <v>9</v>
      </c>
      <c r="T108" s="6" t="s">
        <v>254</v>
      </c>
      <c r="U108" s="6" t="s">
        <v>116</v>
      </c>
      <c r="V108" s="6" t="s">
        <v>633</v>
      </c>
      <c r="W108" s="6" t="s">
        <v>91</v>
      </c>
      <c r="X108" s="6" t="s">
        <v>91</v>
      </c>
      <c r="Y108" s="6" t="s">
        <v>91</v>
      </c>
      <c r="Z108" s="6" t="s">
        <v>56</v>
      </c>
      <c r="AA108" s="6" t="s">
        <v>91</v>
      </c>
      <c r="AB108" s="6">
        <v>11174.3879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288</v>
      </c>
      <c r="AJ108" s="6" t="s">
        <v>257</v>
      </c>
      <c r="AK108" s="6" t="s">
        <v>16</v>
      </c>
      <c r="AL108" s="6" t="s">
        <v>48</v>
      </c>
      <c r="AM108" s="6" t="s">
        <v>258</v>
      </c>
      <c r="AN108" s="6" t="s">
        <v>20</v>
      </c>
      <c r="AO108" s="6" t="s">
        <v>259</v>
      </c>
      <c r="AP108" s="6" t="s">
        <v>260</v>
      </c>
      <c r="AQ108" s="6" t="s">
        <v>31</v>
      </c>
    </row>
    <row r="109" spans="1:43" x14ac:dyDescent="0.25">
      <c r="A109" s="6">
        <v>22909260</v>
      </c>
      <c r="B109" s="6">
        <v>23682459</v>
      </c>
      <c r="C109" s="6" t="s">
        <v>248</v>
      </c>
      <c r="D109" s="14">
        <v>45911.62709490741</v>
      </c>
      <c r="E109" s="14">
        <v>45911.63212962963</v>
      </c>
      <c r="F109" s="6" t="s">
        <v>17</v>
      </c>
      <c r="G109" s="6" t="s">
        <v>17</v>
      </c>
      <c r="H109" s="6" t="s">
        <v>634</v>
      </c>
      <c r="I109" s="6" t="s">
        <v>16</v>
      </c>
      <c r="J109" s="6" t="s">
        <v>635</v>
      </c>
      <c r="K109" s="6" t="s">
        <v>495</v>
      </c>
      <c r="L109" s="6" t="s">
        <v>495</v>
      </c>
      <c r="M109" s="14">
        <v>45909.573611111111</v>
      </c>
      <c r="N109" s="6" t="s">
        <v>636</v>
      </c>
      <c r="O109" s="6" t="s">
        <v>91</v>
      </c>
      <c r="P109" s="6" t="s">
        <v>276</v>
      </c>
      <c r="Q109" s="6" t="s">
        <v>318</v>
      </c>
      <c r="R109" s="6" t="s">
        <v>318</v>
      </c>
      <c r="S109" s="6" t="s">
        <v>9</v>
      </c>
      <c r="T109" s="6" t="s">
        <v>254</v>
      </c>
      <c r="U109" s="6" t="s">
        <v>116</v>
      </c>
      <c r="V109" s="6" t="s">
        <v>633</v>
      </c>
      <c r="W109" s="6" t="s">
        <v>91</v>
      </c>
      <c r="X109" s="6" t="s">
        <v>91</v>
      </c>
      <c r="Y109" s="6" t="s">
        <v>91</v>
      </c>
      <c r="Z109" s="6" t="s">
        <v>56</v>
      </c>
      <c r="AA109" s="6" t="s">
        <v>91</v>
      </c>
      <c r="AB109" s="6">
        <v>484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288</v>
      </c>
      <c r="AJ109" s="6" t="s">
        <v>257</v>
      </c>
      <c r="AK109" s="6" t="s">
        <v>16</v>
      </c>
      <c r="AL109" s="6" t="s">
        <v>48</v>
      </c>
      <c r="AM109" s="6" t="s">
        <v>258</v>
      </c>
      <c r="AN109" s="6" t="s">
        <v>20</v>
      </c>
      <c r="AO109" s="6" t="s">
        <v>259</v>
      </c>
      <c r="AP109" s="6" t="s">
        <v>260</v>
      </c>
      <c r="AQ109" s="6" t="s">
        <v>31</v>
      </c>
    </row>
    <row r="110" spans="1:43" x14ac:dyDescent="0.25">
      <c r="A110" s="6">
        <v>22909260</v>
      </c>
      <c r="B110" s="6">
        <v>23682460</v>
      </c>
      <c r="C110" s="6" t="s">
        <v>637</v>
      </c>
      <c r="D110" s="14">
        <v>45911.62709490741</v>
      </c>
      <c r="E110" s="14">
        <v>45911.63212962963</v>
      </c>
      <c r="F110" s="6" t="s">
        <v>17</v>
      </c>
      <c r="G110" s="6" t="s">
        <v>17</v>
      </c>
      <c r="H110" s="6" t="s">
        <v>634</v>
      </c>
      <c r="I110" s="6" t="s">
        <v>16</v>
      </c>
      <c r="J110" s="6" t="s">
        <v>635</v>
      </c>
      <c r="K110" s="6" t="s">
        <v>495</v>
      </c>
      <c r="L110" s="6" t="s">
        <v>495</v>
      </c>
      <c r="M110" s="14">
        <v>45909.573611111111</v>
      </c>
      <c r="N110" s="6" t="s">
        <v>636</v>
      </c>
      <c r="O110" s="6" t="s">
        <v>91</v>
      </c>
      <c r="P110" s="6" t="s">
        <v>276</v>
      </c>
      <c r="Q110" s="6" t="s">
        <v>318</v>
      </c>
      <c r="R110" s="6" t="s">
        <v>318</v>
      </c>
      <c r="S110" s="6" t="s">
        <v>9</v>
      </c>
      <c r="T110" s="6" t="s">
        <v>254</v>
      </c>
      <c r="U110" s="6" t="s">
        <v>116</v>
      </c>
      <c r="V110" s="6" t="s">
        <v>633</v>
      </c>
      <c r="W110" s="6" t="s">
        <v>91</v>
      </c>
      <c r="X110" s="6" t="s">
        <v>91</v>
      </c>
      <c r="Y110" s="6" t="s">
        <v>91</v>
      </c>
      <c r="Z110" s="6" t="s">
        <v>56</v>
      </c>
      <c r="AA110" s="6" t="s">
        <v>91</v>
      </c>
      <c r="AB110" s="6">
        <v>242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288</v>
      </c>
      <c r="AJ110" s="6" t="s">
        <v>257</v>
      </c>
      <c r="AK110" s="6" t="s">
        <v>16</v>
      </c>
      <c r="AL110" s="6" t="s">
        <v>48</v>
      </c>
      <c r="AM110" s="6" t="s">
        <v>258</v>
      </c>
      <c r="AN110" s="6" t="s">
        <v>20</v>
      </c>
      <c r="AO110" s="6" t="s">
        <v>259</v>
      </c>
      <c r="AP110" s="6" t="s">
        <v>260</v>
      </c>
      <c r="AQ110" s="6" t="s">
        <v>31</v>
      </c>
    </row>
    <row r="111" spans="1:43" x14ac:dyDescent="0.25">
      <c r="A111" s="6">
        <v>22909260</v>
      </c>
      <c r="B111" s="6">
        <v>23682461</v>
      </c>
      <c r="C111" s="6" t="s">
        <v>638</v>
      </c>
      <c r="D111" s="14">
        <v>45911.62709490741</v>
      </c>
      <c r="E111" s="14">
        <v>45911.63212962963</v>
      </c>
      <c r="F111" s="6" t="s">
        <v>17</v>
      </c>
      <c r="G111" s="6" t="s">
        <v>17</v>
      </c>
      <c r="H111" s="6" t="s">
        <v>634</v>
      </c>
      <c r="I111" s="6" t="s">
        <v>16</v>
      </c>
      <c r="J111" s="6" t="s">
        <v>635</v>
      </c>
      <c r="K111" s="6" t="s">
        <v>495</v>
      </c>
      <c r="L111" s="6" t="s">
        <v>495</v>
      </c>
      <c r="M111" s="14">
        <v>45909.573611111111</v>
      </c>
      <c r="N111" s="6" t="s">
        <v>636</v>
      </c>
      <c r="O111" s="6" t="s">
        <v>91</v>
      </c>
      <c r="P111" s="6" t="s">
        <v>276</v>
      </c>
      <c r="Q111" s="6" t="s">
        <v>318</v>
      </c>
      <c r="R111" s="6" t="s">
        <v>318</v>
      </c>
      <c r="S111" s="6" t="s">
        <v>9</v>
      </c>
      <c r="T111" s="6" t="s">
        <v>254</v>
      </c>
      <c r="U111" s="6" t="s">
        <v>116</v>
      </c>
      <c r="V111" s="6" t="s">
        <v>633</v>
      </c>
      <c r="W111" s="6" t="s">
        <v>91</v>
      </c>
      <c r="X111" s="6" t="s">
        <v>91</v>
      </c>
      <c r="Y111" s="6" t="s">
        <v>91</v>
      </c>
      <c r="Z111" s="6" t="s">
        <v>56</v>
      </c>
      <c r="AA111" s="6" t="s">
        <v>91</v>
      </c>
      <c r="AB111" s="6">
        <v>484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288</v>
      </c>
      <c r="AJ111" s="6" t="s">
        <v>257</v>
      </c>
      <c r="AK111" s="6" t="s">
        <v>16</v>
      </c>
      <c r="AL111" s="6" t="s">
        <v>48</v>
      </c>
      <c r="AM111" s="6" t="s">
        <v>258</v>
      </c>
      <c r="AN111" s="6" t="s">
        <v>20</v>
      </c>
      <c r="AO111" s="6" t="s">
        <v>259</v>
      </c>
      <c r="AP111" s="6" t="s">
        <v>260</v>
      </c>
      <c r="AQ111" s="6" t="s">
        <v>31</v>
      </c>
    </row>
    <row r="112" spans="1:43" x14ac:dyDescent="0.25">
      <c r="A112" s="6">
        <v>22909260</v>
      </c>
      <c r="B112" s="6">
        <v>23682463</v>
      </c>
      <c r="C112" s="6" t="s">
        <v>639</v>
      </c>
      <c r="D112" s="14">
        <v>45911.62709490741</v>
      </c>
      <c r="E112" s="14">
        <v>45911.63212962963</v>
      </c>
      <c r="F112" s="6" t="s">
        <v>17</v>
      </c>
      <c r="G112" s="6" t="s">
        <v>17</v>
      </c>
      <c r="H112" s="6" t="s">
        <v>634</v>
      </c>
      <c r="I112" s="6" t="s">
        <v>16</v>
      </c>
      <c r="J112" s="6" t="s">
        <v>635</v>
      </c>
      <c r="K112" s="6" t="s">
        <v>495</v>
      </c>
      <c r="L112" s="6" t="s">
        <v>495</v>
      </c>
      <c r="M112" s="14">
        <v>45909.573611111111</v>
      </c>
      <c r="N112" s="6" t="s">
        <v>636</v>
      </c>
      <c r="O112" s="6" t="s">
        <v>91</v>
      </c>
      <c r="P112" s="6" t="s">
        <v>276</v>
      </c>
      <c r="Q112" s="6" t="s">
        <v>318</v>
      </c>
      <c r="R112" s="6" t="s">
        <v>318</v>
      </c>
      <c r="S112" s="6" t="s">
        <v>9</v>
      </c>
      <c r="T112" s="6" t="s">
        <v>254</v>
      </c>
      <c r="U112" s="6" t="s">
        <v>116</v>
      </c>
      <c r="V112" s="6" t="s">
        <v>633</v>
      </c>
      <c r="W112" s="6" t="s">
        <v>91</v>
      </c>
      <c r="X112" s="6" t="s">
        <v>91</v>
      </c>
      <c r="Y112" s="6" t="s">
        <v>91</v>
      </c>
      <c r="Z112" s="6" t="s">
        <v>56</v>
      </c>
      <c r="AA112" s="6" t="s">
        <v>91</v>
      </c>
      <c r="AB112" s="6">
        <v>242</v>
      </c>
      <c r="AC112" s="6">
        <v>0</v>
      </c>
      <c r="AD112" s="6">
        <v>0</v>
      </c>
      <c r="AE112" s="6">
        <v>0</v>
      </c>
      <c r="AF112" s="6">
        <v>0</v>
      </c>
      <c r="AG112" s="6">
        <v>0</v>
      </c>
      <c r="AH112" s="6">
        <v>0</v>
      </c>
      <c r="AI112" s="6" t="s">
        <v>288</v>
      </c>
      <c r="AJ112" s="6" t="s">
        <v>257</v>
      </c>
      <c r="AK112" s="6" t="s">
        <v>16</v>
      </c>
      <c r="AL112" s="6" t="s">
        <v>48</v>
      </c>
      <c r="AM112" s="6" t="s">
        <v>258</v>
      </c>
      <c r="AN112" s="6" t="s">
        <v>20</v>
      </c>
      <c r="AO112" s="6" t="s">
        <v>259</v>
      </c>
      <c r="AP112" s="6" t="s">
        <v>260</v>
      </c>
      <c r="AQ112" s="6" t="s">
        <v>31</v>
      </c>
    </row>
    <row r="113" spans="1:43" x14ac:dyDescent="0.25">
      <c r="A113" s="6">
        <v>22911941</v>
      </c>
      <c r="B113" s="6">
        <v>23685025</v>
      </c>
      <c r="C113" s="6" t="s">
        <v>248</v>
      </c>
      <c r="D113" s="14">
        <v>45911.898136574076</v>
      </c>
      <c r="E113" s="14">
        <v>45912.287743055553</v>
      </c>
      <c r="F113" s="6" t="s">
        <v>17</v>
      </c>
      <c r="G113" s="6" t="s">
        <v>17</v>
      </c>
      <c r="H113" s="6" t="s">
        <v>640</v>
      </c>
      <c r="I113" s="6" t="s">
        <v>16</v>
      </c>
      <c r="J113" s="6" t="s">
        <v>641</v>
      </c>
      <c r="K113" s="6" t="s">
        <v>495</v>
      </c>
      <c r="L113" s="6" t="s">
        <v>495</v>
      </c>
      <c r="M113" s="14">
        <v>45911.368750000001</v>
      </c>
      <c r="N113" s="6" t="s">
        <v>642</v>
      </c>
      <c r="O113" s="6" t="s">
        <v>91</v>
      </c>
      <c r="P113" s="6" t="s">
        <v>276</v>
      </c>
      <c r="Q113" s="6" t="s">
        <v>318</v>
      </c>
      <c r="R113" s="6" t="s">
        <v>318</v>
      </c>
      <c r="S113" s="6" t="s">
        <v>9</v>
      </c>
      <c r="T113" s="6" t="s">
        <v>254</v>
      </c>
      <c r="U113" s="6" t="s">
        <v>116</v>
      </c>
      <c r="V113" s="6" t="s">
        <v>633</v>
      </c>
      <c r="W113" s="6" t="s">
        <v>91</v>
      </c>
      <c r="X113" s="6" t="s">
        <v>91</v>
      </c>
      <c r="Y113" s="6" t="s">
        <v>91</v>
      </c>
      <c r="Z113" s="6" t="s">
        <v>56</v>
      </c>
      <c r="AA113" s="6" t="s">
        <v>91</v>
      </c>
      <c r="AB113" s="6">
        <v>5850.4139999999998</v>
      </c>
      <c r="AC113" s="6">
        <v>21</v>
      </c>
      <c r="AD113" s="6">
        <v>0</v>
      </c>
      <c r="AE113" s="6">
        <v>0</v>
      </c>
      <c r="AF113" s="6">
        <v>0</v>
      </c>
      <c r="AG113" s="6">
        <v>0</v>
      </c>
      <c r="AH113" s="6">
        <v>0</v>
      </c>
      <c r="AI113" s="6" t="s">
        <v>288</v>
      </c>
      <c r="AJ113" s="6" t="s">
        <v>257</v>
      </c>
      <c r="AK113" s="6" t="s">
        <v>16</v>
      </c>
      <c r="AL113" s="6" t="s">
        <v>48</v>
      </c>
      <c r="AM113" s="6" t="s">
        <v>258</v>
      </c>
      <c r="AN113" s="6" t="s">
        <v>20</v>
      </c>
      <c r="AO113" s="6" t="s">
        <v>259</v>
      </c>
      <c r="AP113" s="6" t="s">
        <v>260</v>
      </c>
      <c r="AQ113" s="6" t="s">
        <v>31</v>
      </c>
    </row>
    <row r="114" spans="1:43" x14ac:dyDescent="0.25">
      <c r="A114" s="6">
        <v>22913663</v>
      </c>
      <c r="B114" s="6">
        <v>23686254</v>
      </c>
      <c r="C114" s="6" t="s">
        <v>248</v>
      </c>
      <c r="D114" s="14">
        <v>45912.284085648149</v>
      </c>
      <c r="E114" s="14">
        <v>45912.289270833331</v>
      </c>
      <c r="F114" s="6" t="s">
        <v>17</v>
      </c>
      <c r="G114" s="6" t="s">
        <v>17</v>
      </c>
      <c r="H114" s="6" t="s">
        <v>643</v>
      </c>
      <c r="I114" s="6" t="s">
        <v>16</v>
      </c>
      <c r="J114" s="6" t="s">
        <v>644</v>
      </c>
      <c r="K114" s="6" t="s">
        <v>495</v>
      </c>
      <c r="L114" s="6" t="s">
        <v>495</v>
      </c>
      <c r="M114" s="14">
        <v>45910.679861111108</v>
      </c>
      <c r="N114" s="6" t="s">
        <v>645</v>
      </c>
      <c r="O114" s="6" t="s">
        <v>646</v>
      </c>
      <c r="P114" s="6" t="s">
        <v>276</v>
      </c>
      <c r="Q114" s="6" t="s">
        <v>268</v>
      </c>
      <c r="R114" s="6" t="s">
        <v>269</v>
      </c>
      <c r="S114" s="6" t="s">
        <v>8</v>
      </c>
      <c r="T114" s="6" t="s">
        <v>254</v>
      </c>
      <c r="U114" s="6" t="s">
        <v>116</v>
      </c>
      <c r="V114" s="6" t="s">
        <v>633</v>
      </c>
      <c r="W114" s="6" t="s">
        <v>91</v>
      </c>
      <c r="X114" s="6" t="s">
        <v>91</v>
      </c>
      <c r="Y114" s="6" t="s">
        <v>91</v>
      </c>
      <c r="Z114" s="6" t="s">
        <v>56</v>
      </c>
      <c r="AA114" s="6" t="s">
        <v>91</v>
      </c>
      <c r="AB114" s="6">
        <v>1088.55</v>
      </c>
      <c r="AC114" s="6">
        <v>0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288</v>
      </c>
      <c r="AJ114" s="6" t="s">
        <v>257</v>
      </c>
      <c r="AK114" s="6" t="s">
        <v>16</v>
      </c>
      <c r="AL114" s="6" t="s">
        <v>48</v>
      </c>
      <c r="AM114" s="6" t="s">
        <v>258</v>
      </c>
      <c r="AN114" s="6" t="s">
        <v>20</v>
      </c>
      <c r="AO114" s="6" t="s">
        <v>272</v>
      </c>
      <c r="AP114" s="6" t="s">
        <v>273</v>
      </c>
      <c r="AQ114" s="6" t="s">
        <v>18</v>
      </c>
    </row>
    <row r="115" spans="1:43" x14ac:dyDescent="0.25">
      <c r="A115" s="6">
        <v>22913664</v>
      </c>
      <c r="B115" s="6">
        <v>23686255</v>
      </c>
      <c r="C115" s="6" t="s">
        <v>248</v>
      </c>
      <c r="D115" s="14">
        <v>45912.28434027778</v>
      </c>
      <c r="E115" s="14">
        <v>45912.289270833331</v>
      </c>
      <c r="F115" s="6" t="s">
        <v>17</v>
      </c>
      <c r="G115" s="6" t="s">
        <v>17</v>
      </c>
      <c r="H115" s="6" t="s">
        <v>647</v>
      </c>
      <c r="I115" s="6" t="s">
        <v>16</v>
      </c>
      <c r="J115" s="6" t="s">
        <v>648</v>
      </c>
      <c r="K115" s="6" t="s">
        <v>495</v>
      </c>
      <c r="L115" s="6" t="s">
        <v>495</v>
      </c>
      <c r="M115" s="14">
        <v>45911.309027777781</v>
      </c>
      <c r="N115" s="6" t="s">
        <v>649</v>
      </c>
      <c r="O115" s="6" t="s">
        <v>91</v>
      </c>
      <c r="P115" s="6" t="s">
        <v>276</v>
      </c>
      <c r="Q115" s="6" t="s">
        <v>318</v>
      </c>
      <c r="R115" s="6" t="s">
        <v>318</v>
      </c>
      <c r="S115" s="6" t="s">
        <v>9</v>
      </c>
      <c r="T115" s="6" t="s">
        <v>254</v>
      </c>
      <c r="U115" s="6" t="s">
        <v>116</v>
      </c>
      <c r="V115" s="6" t="s">
        <v>633</v>
      </c>
      <c r="W115" s="6" t="s">
        <v>91</v>
      </c>
      <c r="X115" s="6" t="s">
        <v>91</v>
      </c>
      <c r="Y115" s="6" t="s">
        <v>91</v>
      </c>
      <c r="Z115" s="6" t="s">
        <v>56</v>
      </c>
      <c r="AA115" s="6" t="s">
        <v>91</v>
      </c>
      <c r="AB115" s="6">
        <v>943.20399999999995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 t="s">
        <v>288</v>
      </c>
      <c r="AJ115" s="6" t="s">
        <v>257</v>
      </c>
      <c r="AK115" s="6" t="s">
        <v>16</v>
      </c>
      <c r="AL115" s="6" t="s">
        <v>48</v>
      </c>
      <c r="AM115" s="6" t="s">
        <v>258</v>
      </c>
      <c r="AN115" s="6" t="s">
        <v>20</v>
      </c>
      <c r="AO115" s="6" t="s">
        <v>259</v>
      </c>
      <c r="AP115" s="6" t="s">
        <v>260</v>
      </c>
      <c r="AQ115" s="6" t="s">
        <v>31</v>
      </c>
    </row>
    <row r="116" spans="1:43" x14ac:dyDescent="0.25">
      <c r="A116" s="6">
        <v>22868261</v>
      </c>
      <c r="B116" s="6">
        <v>23647337</v>
      </c>
      <c r="C116" s="6" t="s">
        <v>248</v>
      </c>
      <c r="D116" s="14">
        <v>45904.536979166667</v>
      </c>
      <c r="E116" s="14">
        <v>45911.566967592589</v>
      </c>
      <c r="F116" s="6" t="s">
        <v>17</v>
      </c>
      <c r="G116" s="6" t="s">
        <v>21</v>
      </c>
      <c r="H116" s="6" t="s">
        <v>650</v>
      </c>
      <c r="I116" s="6" t="s">
        <v>16</v>
      </c>
      <c r="J116" s="6" t="s">
        <v>651</v>
      </c>
      <c r="K116" s="6" t="s">
        <v>495</v>
      </c>
      <c r="L116" s="6" t="s">
        <v>495</v>
      </c>
      <c r="M116" s="14">
        <v>45903.720138888893</v>
      </c>
      <c r="N116" s="6" t="s">
        <v>652</v>
      </c>
      <c r="O116" s="6" t="s">
        <v>91</v>
      </c>
      <c r="P116" s="6" t="s">
        <v>276</v>
      </c>
      <c r="Q116" s="6" t="s">
        <v>318</v>
      </c>
      <c r="R116" s="6" t="s">
        <v>318</v>
      </c>
      <c r="S116" s="6" t="s">
        <v>9</v>
      </c>
      <c r="T116" s="6" t="s">
        <v>254</v>
      </c>
      <c r="U116" s="6" t="s">
        <v>116</v>
      </c>
      <c r="V116" s="6" t="s">
        <v>633</v>
      </c>
      <c r="W116" s="6" t="s">
        <v>91</v>
      </c>
      <c r="X116" s="6" t="s">
        <v>91</v>
      </c>
      <c r="Y116" s="6" t="s">
        <v>91</v>
      </c>
      <c r="Z116" s="6" t="s">
        <v>56</v>
      </c>
      <c r="AA116" s="6" t="s">
        <v>91</v>
      </c>
      <c r="AB116" s="6">
        <v>449.8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 t="s">
        <v>288</v>
      </c>
      <c r="AJ116" s="6" t="s">
        <v>257</v>
      </c>
      <c r="AK116" s="6" t="s">
        <v>16</v>
      </c>
      <c r="AL116" s="6" t="s">
        <v>48</v>
      </c>
      <c r="AM116" s="6" t="s">
        <v>258</v>
      </c>
      <c r="AN116" s="6" t="s">
        <v>20</v>
      </c>
      <c r="AO116" s="6" t="s">
        <v>259</v>
      </c>
      <c r="AP116" s="6" t="s">
        <v>260</v>
      </c>
      <c r="AQ116" s="6" t="s">
        <v>31</v>
      </c>
    </row>
    <row r="117" spans="1:43" x14ac:dyDescent="0.25">
      <c r="A117" s="6">
        <v>22868263</v>
      </c>
      <c r="B117" s="6">
        <v>23647339</v>
      </c>
      <c r="C117" s="6" t="s">
        <v>248</v>
      </c>
      <c r="D117" s="14">
        <v>45904.537048611113</v>
      </c>
      <c r="E117" s="14">
        <v>45911.566990740743</v>
      </c>
      <c r="F117" s="6" t="s">
        <v>17</v>
      </c>
      <c r="G117" s="6" t="s">
        <v>21</v>
      </c>
      <c r="H117" s="6" t="s">
        <v>653</v>
      </c>
      <c r="I117" s="6" t="s">
        <v>16</v>
      </c>
      <c r="J117" s="6" t="s">
        <v>654</v>
      </c>
      <c r="K117" s="6" t="s">
        <v>495</v>
      </c>
      <c r="L117" s="6" t="s">
        <v>495</v>
      </c>
      <c r="M117" s="14">
        <v>45902.888194444437</v>
      </c>
      <c r="N117" s="6" t="s">
        <v>655</v>
      </c>
      <c r="O117" s="6" t="s">
        <v>91</v>
      </c>
      <c r="P117" s="6" t="s">
        <v>276</v>
      </c>
      <c r="Q117" s="6" t="s">
        <v>318</v>
      </c>
      <c r="R117" s="6" t="s">
        <v>318</v>
      </c>
      <c r="S117" s="6" t="s">
        <v>9</v>
      </c>
      <c r="T117" s="6" t="s">
        <v>254</v>
      </c>
      <c r="U117" s="6" t="s">
        <v>116</v>
      </c>
      <c r="V117" s="6" t="s">
        <v>633</v>
      </c>
      <c r="W117" s="6" t="s">
        <v>91</v>
      </c>
      <c r="X117" s="6" t="s">
        <v>91</v>
      </c>
      <c r="Y117" s="6" t="s">
        <v>91</v>
      </c>
      <c r="Z117" s="6" t="s">
        <v>56</v>
      </c>
      <c r="AA117" s="6" t="s">
        <v>91</v>
      </c>
      <c r="AB117" s="6">
        <v>3571.2392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 t="s">
        <v>288</v>
      </c>
      <c r="AJ117" s="6" t="s">
        <v>257</v>
      </c>
      <c r="AK117" s="6" t="s">
        <v>16</v>
      </c>
      <c r="AL117" s="6" t="s">
        <v>48</v>
      </c>
      <c r="AM117" s="6" t="s">
        <v>258</v>
      </c>
      <c r="AN117" s="6" t="s">
        <v>20</v>
      </c>
      <c r="AO117" s="6" t="s">
        <v>259</v>
      </c>
      <c r="AP117" s="6" t="s">
        <v>260</v>
      </c>
      <c r="AQ117" s="6" t="s">
        <v>31</v>
      </c>
    </row>
    <row r="118" spans="1:43" x14ac:dyDescent="0.25">
      <c r="A118" s="6">
        <v>22868011</v>
      </c>
      <c r="B118" s="6">
        <v>23647091</v>
      </c>
      <c r="C118" s="6" t="s">
        <v>248</v>
      </c>
      <c r="D118" s="14">
        <v>45904.529016203713</v>
      </c>
      <c r="E118" s="14">
        <v>45911.566944444443</v>
      </c>
      <c r="F118" s="6" t="s">
        <v>17</v>
      </c>
      <c r="G118" s="6" t="s">
        <v>21</v>
      </c>
      <c r="H118" s="6" t="s">
        <v>656</v>
      </c>
      <c r="I118" s="6" t="s">
        <v>16</v>
      </c>
      <c r="J118" s="6" t="s">
        <v>657</v>
      </c>
      <c r="K118" s="6" t="s">
        <v>495</v>
      </c>
      <c r="L118" s="6" t="s">
        <v>495</v>
      </c>
      <c r="M118" s="14">
        <v>45902.511805555558</v>
      </c>
      <c r="N118" s="6" t="s">
        <v>658</v>
      </c>
      <c r="O118" s="6" t="s">
        <v>91</v>
      </c>
      <c r="P118" s="6" t="s">
        <v>276</v>
      </c>
      <c r="Q118" s="6" t="s">
        <v>318</v>
      </c>
      <c r="R118" s="6" t="s">
        <v>318</v>
      </c>
      <c r="S118" s="6" t="s">
        <v>9</v>
      </c>
      <c r="T118" s="6" t="s">
        <v>254</v>
      </c>
      <c r="U118" s="6" t="s">
        <v>116</v>
      </c>
      <c r="V118" s="6" t="s">
        <v>633</v>
      </c>
      <c r="W118" s="6" t="s">
        <v>91</v>
      </c>
      <c r="X118" s="6" t="s">
        <v>91</v>
      </c>
      <c r="Y118" s="6" t="s">
        <v>91</v>
      </c>
      <c r="Z118" s="6" t="s">
        <v>56</v>
      </c>
      <c r="AA118" s="6" t="s">
        <v>91</v>
      </c>
      <c r="AB118" s="6">
        <v>860.19600000000003</v>
      </c>
      <c r="AC118" s="6">
        <v>522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288</v>
      </c>
      <c r="AJ118" s="6" t="s">
        <v>257</v>
      </c>
      <c r="AK118" s="6" t="s">
        <v>16</v>
      </c>
      <c r="AL118" s="6" t="s">
        <v>48</v>
      </c>
      <c r="AM118" s="6" t="s">
        <v>258</v>
      </c>
      <c r="AN118" s="6" t="s">
        <v>20</v>
      </c>
      <c r="AO118" s="6" t="s">
        <v>259</v>
      </c>
      <c r="AP118" s="6" t="s">
        <v>260</v>
      </c>
      <c r="AQ118" s="6" t="s">
        <v>31</v>
      </c>
    </row>
    <row r="119" spans="1:43" x14ac:dyDescent="0.25">
      <c r="A119" s="6">
        <v>22909300</v>
      </c>
      <c r="B119" s="6">
        <v>23682507</v>
      </c>
      <c r="C119" s="6" t="s">
        <v>248</v>
      </c>
      <c r="D119" s="14">
        <v>45911.629965277767</v>
      </c>
      <c r="E119" s="14">
        <v>45911.634317129632</v>
      </c>
      <c r="F119" s="6" t="s">
        <v>17</v>
      </c>
      <c r="G119" s="6" t="s">
        <v>17</v>
      </c>
      <c r="H119" s="6" t="s">
        <v>659</v>
      </c>
      <c r="I119" s="6" t="s">
        <v>16</v>
      </c>
      <c r="J119" s="6" t="s">
        <v>660</v>
      </c>
      <c r="K119" s="6" t="s">
        <v>661</v>
      </c>
      <c r="L119" s="6" t="s">
        <v>661</v>
      </c>
      <c r="M119" s="14">
        <v>45910.37222222222</v>
      </c>
      <c r="N119" s="6" t="s">
        <v>662</v>
      </c>
      <c r="O119" s="6" t="s">
        <v>91</v>
      </c>
      <c r="P119" s="6" t="s">
        <v>252</v>
      </c>
      <c r="Q119" s="6" t="s">
        <v>318</v>
      </c>
      <c r="R119" s="6" t="s">
        <v>318</v>
      </c>
      <c r="S119" s="6" t="s">
        <v>9</v>
      </c>
      <c r="T119" s="6" t="s">
        <v>254</v>
      </c>
      <c r="U119" s="6" t="s">
        <v>116</v>
      </c>
      <c r="V119" s="6" t="s">
        <v>633</v>
      </c>
      <c r="W119" s="6" t="s">
        <v>91</v>
      </c>
      <c r="X119" s="6" t="s">
        <v>91</v>
      </c>
      <c r="Y119" s="6" t="s">
        <v>91</v>
      </c>
      <c r="Z119" s="6" t="s">
        <v>56</v>
      </c>
      <c r="AA119" s="6" t="s">
        <v>91</v>
      </c>
      <c r="AB119" s="6">
        <v>662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 t="s">
        <v>288</v>
      </c>
      <c r="AJ119" s="6" t="s">
        <v>257</v>
      </c>
      <c r="AK119" s="6" t="s">
        <v>16</v>
      </c>
      <c r="AL119" s="6" t="s">
        <v>48</v>
      </c>
      <c r="AM119" s="6" t="s">
        <v>258</v>
      </c>
      <c r="AN119" s="6" t="s">
        <v>20</v>
      </c>
      <c r="AO119" s="6" t="s">
        <v>272</v>
      </c>
      <c r="AP119" s="6" t="s">
        <v>273</v>
      </c>
      <c r="AQ119" s="6" t="s">
        <v>18</v>
      </c>
    </row>
    <row r="120" spans="1:43" x14ac:dyDescent="0.25">
      <c r="A120" s="6">
        <v>22909319</v>
      </c>
      <c r="B120" s="6">
        <v>23682521</v>
      </c>
      <c r="C120" s="6" t="s">
        <v>248</v>
      </c>
      <c r="D120" s="14">
        <v>45911.631076388891</v>
      </c>
      <c r="E120" s="14">
        <v>45911.634780092587</v>
      </c>
      <c r="F120" s="6" t="s">
        <v>17</v>
      </c>
      <c r="G120" s="6" t="s">
        <v>17</v>
      </c>
      <c r="H120" s="6" t="s">
        <v>663</v>
      </c>
      <c r="I120" s="6" t="s">
        <v>16</v>
      </c>
      <c r="J120" s="6" t="s">
        <v>664</v>
      </c>
      <c r="K120" s="6" t="s">
        <v>661</v>
      </c>
      <c r="L120" s="6" t="s">
        <v>661</v>
      </c>
      <c r="M120" s="14">
        <v>45910.548611111109</v>
      </c>
      <c r="N120" s="6" t="s">
        <v>665</v>
      </c>
      <c r="O120" s="6" t="s">
        <v>477</v>
      </c>
      <c r="P120" s="6" t="s">
        <v>252</v>
      </c>
      <c r="Q120" s="6" t="s">
        <v>268</v>
      </c>
      <c r="R120" s="6" t="s">
        <v>269</v>
      </c>
      <c r="S120" s="6" t="s">
        <v>8</v>
      </c>
      <c r="T120" s="6" t="s">
        <v>254</v>
      </c>
      <c r="U120" s="6" t="s">
        <v>116</v>
      </c>
      <c r="V120" s="6" t="s">
        <v>633</v>
      </c>
      <c r="W120" s="6" t="s">
        <v>91</v>
      </c>
      <c r="X120" s="6" t="s">
        <v>91</v>
      </c>
      <c r="Y120" s="6" t="s">
        <v>91</v>
      </c>
      <c r="Z120" s="6" t="s">
        <v>56</v>
      </c>
      <c r="AA120" s="6" t="s">
        <v>91</v>
      </c>
      <c r="AB120" s="6">
        <v>91.77</v>
      </c>
      <c r="AC120" s="6">
        <v>103.93</v>
      </c>
      <c r="AD120" s="6">
        <v>0</v>
      </c>
      <c r="AE120" s="6">
        <v>0</v>
      </c>
      <c r="AF120" s="6">
        <v>0</v>
      </c>
      <c r="AG120" s="6">
        <v>0</v>
      </c>
      <c r="AH120" s="6">
        <v>0</v>
      </c>
      <c r="AI120" s="6" t="s">
        <v>288</v>
      </c>
      <c r="AJ120" s="6" t="s">
        <v>257</v>
      </c>
      <c r="AK120" s="6" t="s">
        <v>16</v>
      </c>
      <c r="AL120" s="6" t="s">
        <v>48</v>
      </c>
      <c r="AM120" s="6" t="s">
        <v>258</v>
      </c>
      <c r="AN120" s="6" t="s">
        <v>20</v>
      </c>
      <c r="AO120" s="6" t="s">
        <v>272</v>
      </c>
      <c r="AP120" s="6" t="s">
        <v>273</v>
      </c>
      <c r="AQ120" s="6" t="s">
        <v>18</v>
      </c>
    </row>
    <row r="121" spans="1:43" x14ac:dyDescent="0.25">
      <c r="A121" s="6">
        <v>22913658</v>
      </c>
      <c r="B121" s="6">
        <v>23686248</v>
      </c>
      <c r="C121" s="6" t="s">
        <v>248</v>
      </c>
      <c r="D121" s="14">
        <v>45912.283784722233</v>
      </c>
      <c r="E121" s="14">
        <v>45912.289143518523</v>
      </c>
      <c r="F121" s="6" t="s">
        <v>17</v>
      </c>
      <c r="G121" s="6" t="s">
        <v>17</v>
      </c>
      <c r="H121" s="6" t="s">
        <v>666</v>
      </c>
      <c r="I121" s="6" t="s">
        <v>16</v>
      </c>
      <c r="J121" s="6" t="s">
        <v>667</v>
      </c>
      <c r="K121" s="6" t="s">
        <v>661</v>
      </c>
      <c r="L121" s="6" t="s">
        <v>661</v>
      </c>
      <c r="M121" s="14">
        <v>45911.324999999997</v>
      </c>
      <c r="N121" s="6" t="s">
        <v>668</v>
      </c>
      <c r="O121" s="6" t="s">
        <v>669</v>
      </c>
      <c r="P121" s="6" t="s">
        <v>252</v>
      </c>
      <c r="Q121" s="6" t="s">
        <v>268</v>
      </c>
      <c r="R121" s="6" t="s">
        <v>269</v>
      </c>
      <c r="S121" s="6" t="s">
        <v>8</v>
      </c>
      <c r="T121" s="6" t="s">
        <v>254</v>
      </c>
      <c r="U121" s="6" t="s">
        <v>116</v>
      </c>
      <c r="V121" s="6" t="s">
        <v>633</v>
      </c>
      <c r="W121" s="6" t="s">
        <v>91</v>
      </c>
      <c r="X121" s="6" t="s">
        <v>91</v>
      </c>
      <c r="Y121" s="6" t="s">
        <v>91</v>
      </c>
      <c r="Z121" s="6" t="s">
        <v>56</v>
      </c>
      <c r="AA121" s="6" t="s">
        <v>91</v>
      </c>
      <c r="AB121" s="6">
        <v>652.96</v>
      </c>
      <c r="AC121" s="6">
        <v>288.47000000000003</v>
      </c>
      <c r="AD121" s="6">
        <v>0</v>
      </c>
      <c r="AE121" s="6">
        <v>0</v>
      </c>
      <c r="AF121" s="6">
        <v>0</v>
      </c>
      <c r="AG121" s="6">
        <v>0</v>
      </c>
      <c r="AH121" s="6">
        <v>0</v>
      </c>
      <c r="AI121" s="6" t="s">
        <v>288</v>
      </c>
      <c r="AJ121" s="6" t="s">
        <v>257</v>
      </c>
      <c r="AK121" s="6" t="s">
        <v>16</v>
      </c>
      <c r="AL121" s="6" t="s">
        <v>48</v>
      </c>
      <c r="AM121" s="6" t="s">
        <v>258</v>
      </c>
      <c r="AN121" s="6" t="s">
        <v>20</v>
      </c>
      <c r="AO121" s="6" t="s">
        <v>272</v>
      </c>
      <c r="AP121" s="6" t="s">
        <v>273</v>
      </c>
      <c r="AQ121" s="6" t="s">
        <v>18</v>
      </c>
    </row>
    <row r="122" spans="1:43" x14ac:dyDescent="0.25">
      <c r="A122" s="6">
        <v>22835322</v>
      </c>
      <c r="B122" s="6">
        <v>23620016</v>
      </c>
      <c r="C122" s="6" t="s">
        <v>248</v>
      </c>
      <c r="D122" s="14">
        <v>45898.729953703703</v>
      </c>
      <c r="E122" s="14">
        <v>45911.566863425927</v>
      </c>
      <c r="F122" s="6" t="s">
        <v>17</v>
      </c>
      <c r="G122" s="6" t="s">
        <v>23</v>
      </c>
      <c r="H122" s="6" t="s">
        <v>670</v>
      </c>
      <c r="I122" s="6" t="s">
        <v>16</v>
      </c>
      <c r="J122" s="6" t="s">
        <v>657</v>
      </c>
      <c r="K122" s="6" t="s">
        <v>495</v>
      </c>
      <c r="L122" s="6" t="s">
        <v>495</v>
      </c>
      <c r="M122" s="14">
        <v>45898.3125</v>
      </c>
      <c r="N122" s="6" t="s">
        <v>671</v>
      </c>
      <c r="O122" s="6" t="s">
        <v>91</v>
      </c>
      <c r="P122" s="6" t="s">
        <v>276</v>
      </c>
      <c r="Q122" s="6" t="s">
        <v>318</v>
      </c>
      <c r="R122" s="6" t="s">
        <v>318</v>
      </c>
      <c r="S122" s="6" t="s">
        <v>9</v>
      </c>
      <c r="T122" s="6" t="s">
        <v>254</v>
      </c>
      <c r="U122" s="6" t="s">
        <v>116</v>
      </c>
      <c r="V122" s="6" t="s">
        <v>633</v>
      </c>
      <c r="W122" s="6" t="s">
        <v>91</v>
      </c>
      <c r="X122" s="6" t="s">
        <v>91</v>
      </c>
      <c r="Y122" s="6" t="s">
        <v>91</v>
      </c>
      <c r="Z122" s="6" t="s">
        <v>56</v>
      </c>
      <c r="AA122" s="6" t="s">
        <v>91</v>
      </c>
      <c r="AB122" s="6">
        <v>498.22</v>
      </c>
      <c r="AC122" s="6">
        <v>351</v>
      </c>
      <c r="AD122" s="6">
        <v>0</v>
      </c>
      <c r="AE122" s="6">
        <v>0</v>
      </c>
      <c r="AF122" s="6">
        <v>0</v>
      </c>
      <c r="AG122" s="6">
        <v>0</v>
      </c>
      <c r="AH122" s="6">
        <v>0</v>
      </c>
      <c r="AI122" s="6" t="s">
        <v>288</v>
      </c>
      <c r="AJ122" s="6" t="s">
        <v>257</v>
      </c>
      <c r="AK122" s="6" t="s">
        <v>16</v>
      </c>
      <c r="AL122" s="6" t="s">
        <v>48</v>
      </c>
      <c r="AM122" s="6" t="s">
        <v>258</v>
      </c>
      <c r="AN122" s="6" t="s">
        <v>20</v>
      </c>
      <c r="AO122" s="6" t="s">
        <v>259</v>
      </c>
      <c r="AP122" s="6" t="s">
        <v>260</v>
      </c>
      <c r="AQ122" s="6" t="s">
        <v>31</v>
      </c>
    </row>
    <row r="123" spans="1:43" x14ac:dyDescent="0.25">
      <c r="A123" s="6">
        <v>22846340</v>
      </c>
      <c r="B123" s="6">
        <v>23627905</v>
      </c>
      <c r="C123" s="6" t="s">
        <v>248</v>
      </c>
      <c r="D123" s="14">
        <v>45901.396539351852</v>
      </c>
      <c r="E123" s="14">
        <v>45911.566886574074</v>
      </c>
      <c r="F123" s="6" t="s">
        <v>17</v>
      </c>
      <c r="G123" s="6" t="s">
        <v>23</v>
      </c>
      <c r="H123" s="6" t="s">
        <v>672</v>
      </c>
      <c r="I123" s="6" t="s">
        <v>16</v>
      </c>
      <c r="J123" s="6" t="s">
        <v>673</v>
      </c>
      <c r="K123" s="6" t="s">
        <v>495</v>
      </c>
      <c r="L123" s="6" t="s">
        <v>495</v>
      </c>
      <c r="M123" s="14">
        <v>45898.686111111107</v>
      </c>
      <c r="N123" s="6" t="s">
        <v>674</v>
      </c>
      <c r="O123" s="6" t="s">
        <v>91</v>
      </c>
      <c r="P123" s="6" t="s">
        <v>276</v>
      </c>
      <c r="Q123" s="6" t="s">
        <v>318</v>
      </c>
      <c r="R123" s="6" t="s">
        <v>318</v>
      </c>
      <c r="S123" s="6" t="s">
        <v>9</v>
      </c>
      <c r="T123" s="6" t="s">
        <v>254</v>
      </c>
      <c r="U123" s="6" t="s">
        <v>116</v>
      </c>
      <c r="V123" s="6" t="s">
        <v>633</v>
      </c>
      <c r="W123" s="6" t="s">
        <v>91</v>
      </c>
      <c r="X123" s="6" t="s">
        <v>91</v>
      </c>
      <c r="Y123" s="6" t="s">
        <v>91</v>
      </c>
      <c r="Z123" s="6" t="s">
        <v>56</v>
      </c>
      <c r="AA123" s="6" t="s">
        <v>91</v>
      </c>
      <c r="AB123" s="6">
        <v>666.63520000000005</v>
      </c>
      <c r="AC123" s="6">
        <v>16.02</v>
      </c>
      <c r="AD123" s="6">
        <v>0</v>
      </c>
      <c r="AE123" s="6">
        <v>0</v>
      </c>
      <c r="AF123" s="6">
        <v>0</v>
      </c>
      <c r="AG123" s="6">
        <v>0</v>
      </c>
      <c r="AH123" s="6">
        <v>0</v>
      </c>
      <c r="AI123" s="6" t="s">
        <v>288</v>
      </c>
      <c r="AJ123" s="6" t="s">
        <v>257</v>
      </c>
      <c r="AK123" s="6" t="s">
        <v>16</v>
      </c>
      <c r="AL123" s="6" t="s">
        <v>48</v>
      </c>
      <c r="AM123" s="6" t="s">
        <v>258</v>
      </c>
      <c r="AN123" s="6" t="s">
        <v>20</v>
      </c>
      <c r="AO123" s="6" t="s">
        <v>259</v>
      </c>
      <c r="AP123" s="6" t="s">
        <v>260</v>
      </c>
      <c r="AQ123" s="6" t="s">
        <v>31</v>
      </c>
    </row>
    <row r="124" spans="1:43" x14ac:dyDescent="0.25">
      <c r="A124" s="6">
        <v>22846340</v>
      </c>
      <c r="B124" s="6">
        <v>23627906</v>
      </c>
      <c r="C124" s="6" t="s">
        <v>637</v>
      </c>
      <c r="D124" s="14">
        <v>45901.396539351852</v>
      </c>
      <c r="E124" s="14">
        <v>45911.566886574074</v>
      </c>
      <c r="F124" s="6" t="s">
        <v>17</v>
      </c>
      <c r="G124" s="6" t="s">
        <v>23</v>
      </c>
      <c r="H124" s="6" t="s">
        <v>672</v>
      </c>
      <c r="I124" s="6" t="s">
        <v>16</v>
      </c>
      <c r="J124" s="6" t="s">
        <v>673</v>
      </c>
      <c r="K124" s="6" t="s">
        <v>495</v>
      </c>
      <c r="L124" s="6" t="s">
        <v>495</v>
      </c>
      <c r="M124" s="14">
        <v>45898.686111111107</v>
      </c>
      <c r="N124" s="6" t="s">
        <v>674</v>
      </c>
      <c r="O124" s="6" t="s">
        <v>91</v>
      </c>
      <c r="P124" s="6" t="s">
        <v>276</v>
      </c>
      <c r="Q124" s="6" t="s">
        <v>318</v>
      </c>
      <c r="R124" s="6" t="s">
        <v>318</v>
      </c>
      <c r="S124" s="6" t="s">
        <v>9</v>
      </c>
      <c r="T124" s="6" t="s">
        <v>254</v>
      </c>
      <c r="U124" s="6" t="s">
        <v>116</v>
      </c>
      <c r="V124" s="6" t="s">
        <v>633</v>
      </c>
      <c r="W124" s="6" t="s">
        <v>91</v>
      </c>
      <c r="X124" s="6" t="s">
        <v>91</v>
      </c>
      <c r="Y124" s="6" t="s">
        <v>91</v>
      </c>
      <c r="Z124" s="6" t="s">
        <v>56</v>
      </c>
      <c r="AA124" s="6" t="s">
        <v>91</v>
      </c>
      <c r="AB124" s="6">
        <v>420.75940000000003</v>
      </c>
      <c r="AC124" s="6">
        <v>10.11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288</v>
      </c>
      <c r="AJ124" s="6" t="s">
        <v>257</v>
      </c>
      <c r="AK124" s="6" t="s">
        <v>16</v>
      </c>
      <c r="AL124" s="6" t="s">
        <v>48</v>
      </c>
      <c r="AM124" s="6" t="s">
        <v>258</v>
      </c>
      <c r="AN124" s="6" t="s">
        <v>20</v>
      </c>
      <c r="AO124" s="6" t="s">
        <v>259</v>
      </c>
      <c r="AP124" s="6" t="s">
        <v>260</v>
      </c>
      <c r="AQ124" s="6" t="s">
        <v>31</v>
      </c>
    </row>
    <row r="125" spans="1:43" x14ac:dyDescent="0.25">
      <c r="A125" s="6">
        <v>22846340</v>
      </c>
      <c r="B125" s="6">
        <v>23627907</v>
      </c>
      <c r="C125" s="6" t="s">
        <v>638</v>
      </c>
      <c r="D125" s="14">
        <v>45901.396539351852</v>
      </c>
      <c r="E125" s="14">
        <v>45911.566886574074</v>
      </c>
      <c r="F125" s="6" t="s">
        <v>17</v>
      </c>
      <c r="G125" s="6" t="s">
        <v>23</v>
      </c>
      <c r="H125" s="6" t="s">
        <v>672</v>
      </c>
      <c r="I125" s="6" t="s">
        <v>16</v>
      </c>
      <c r="J125" s="6" t="s">
        <v>673</v>
      </c>
      <c r="K125" s="6" t="s">
        <v>495</v>
      </c>
      <c r="L125" s="6" t="s">
        <v>495</v>
      </c>
      <c r="M125" s="14">
        <v>45898.686111111107</v>
      </c>
      <c r="N125" s="6" t="s">
        <v>674</v>
      </c>
      <c r="O125" s="6" t="s">
        <v>91</v>
      </c>
      <c r="P125" s="6" t="s">
        <v>276</v>
      </c>
      <c r="Q125" s="6" t="s">
        <v>318</v>
      </c>
      <c r="R125" s="6" t="s">
        <v>318</v>
      </c>
      <c r="S125" s="6" t="s">
        <v>9</v>
      </c>
      <c r="T125" s="6" t="s">
        <v>254</v>
      </c>
      <c r="U125" s="6" t="s">
        <v>116</v>
      </c>
      <c r="V125" s="6" t="s">
        <v>633</v>
      </c>
      <c r="W125" s="6" t="s">
        <v>91</v>
      </c>
      <c r="X125" s="6" t="s">
        <v>91</v>
      </c>
      <c r="Y125" s="6" t="s">
        <v>91</v>
      </c>
      <c r="Z125" s="6" t="s">
        <v>56</v>
      </c>
      <c r="AA125" s="6" t="s">
        <v>91</v>
      </c>
      <c r="AB125" s="6">
        <v>709.49030000000005</v>
      </c>
      <c r="AC125" s="6">
        <v>17.05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288</v>
      </c>
      <c r="AJ125" s="6" t="s">
        <v>257</v>
      </c>
      <c r="AK125" s="6" t="s">
        <v>16</v>
      </c>
      <c r="AL125" s="6" t="s">
        <v>48</v>
      </c>
      <c r="AM125" s="6" t="s">
        <v>258</v>
      </c>
      <c r="AN125" s="6" t="s">
        <v>20</v>
      </c>
      <c r="AO125" s="6" t="s">
        <v>259</v>
      </c>
      <c r="AP125" s="6" t="s">
        <v>260</v>
      </c>
      <c r="AQ125" s="6" t="s">
        <v>31</v>
      </c>
    </row>
    <row r="126" spans="1:43" x14ac:dyDescent="0.25">
      <c r="A126" s="6">
        <v>22833086</v>
      </c>
      <c r="B126" s="6">
        <v>23617877</v>
      </c>
      <c r="C126" s="6" t="s">
        <v>248</v>
      </c>
      <c r="D126" s="14">
        <v>45898.462685185194</v>
      </c>
      <c r="E126" s="14">
        <v>45911.566851851851</v>
      </c>
      <c r="F126" s="6" t="s">
        <v>17</v>
      </c>
      <c r="G126" s="6" t="s">
        <v>23</v>
      </c>
      <c r="H126" s="6" t="s">
        <v>675</v>
      </c>
      <c r="I126" s="6" t="s">
        <v>16</v>
      </c>
      <c r="J126" s="6" t="s">
        <v>676</v>
      </c>
      <c r="K126" s="6" t="s">
        <v>495</v>
      </c>
      <c r="L126" s="6" t="s">
        <v>495</v>
      </c>
      <c r="M126" s="14">
        <v>45897.645138888889</v>
      </c>
      <c r="N126" s="6" t="s">
        <v>677</v>
      </c>
      <c r="O126" s="6" t="s">
        <v>91</v>
      </c>
      <c r="P126" s="6" t="s">
        <v>276</v>
      </c>
      <c r="Q126" s="6" t="s">
        <v>318</v>
      </c>
      <c r="R126" s="6" t="s">
        <v>318</v>
      </c>
      <c r="S126" s="6" t="s">
        <v>9</v>
      </c>
      <c r="T126" s="6" t="s">
        <v>254</v>
      </c>
      <c r="U126" s="6" t="s">
        <v>116</v>
      </c>
      <c r="V126" s="6" t="s">
        <v>633</v>
      </c>
      <c r="W126" s="6" t="s">
        <v>91</v>
      </c>
      <c r="X126" s="6" t="s">
        <v>91</v>
      </c>
      <c r="Y126" s="6" t="s">
        <v>91</v>
      </c>
      <c r="Z126" s="6" t="s">
        <v>56</v>
      </c>
      <c r="AA126" s="6" t="s">
        <v>91</v>
      </c>
      <c r="AB126" s="6">
        <v>1779.702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288</v>
      </c>
      <c r="AJ126" s="6" t="s">
        <v>257</v>
      </c>
      <c r="AK126" s="6" t="s">
        <v>16</v>
      </c>
      <c r="AL126" s="6" t="s">
        <v>48</v>
      </c>
      <c r="AM126" s="6" t="s">
        <v>258</v>
      </c>
      <c r="AN126" s="6" t="s">
        <v>20</v>
      </c>
      <c r="AO126" s="6" t="s">
        <v>259</v>
      </c>
      <c r="AP126" s="6" t="s">
        <v>260</v>
      </c>
      <c r="AQ126" s="6" t="s">
        <v>31</v>
      </c>
    </row>
    <row r="127" spans="1:43" x14ac:dyDescent="0.25">
      <c r="A127" s="6">
        <v>22848723</v>
      </c>
      <c r="B127" s="6">
        <v>23630302</v>
      </c>
      <c r="C127" s="6" t="s">
        <v>248</v>
      </c>
      <c r="D127" s="14">
        <v>45901.66846064815</v>
      </c>
      <c r="E127" s="14">
        <v>45911.566932870373</v>
      </c>
      <c r="F127" s="6" t="s">
        <v>17</v>
      </c>
      <c r="G127" s="6" t="s">
        <v>23</v>
      </c>
      <c r="H127" s="6" t="s">
        <v>678</v>
      </c>
      <c r="I127" s="6" t="s">
        <v>16</v>
      </c>
      <c r="J127" s="6" t="s">
        <v>679</v>
      </c>
      <c r="K127" s="6" t="s">
        <v>495</v>
      </c>
      <c r="L127" s="6" t="s">
        <v>495</v>
      </c>
      <c r="M127" s="14">
        <v>45901.534722222219</v>
      </c>
      <c r="N127" s="6" t="s">
        <v>680</v>
      </c>
      <c r="O127" s="6" t="s">
        <v>91</v>
      </c>
      <c r="P127" s="6" t="s">
        <v>276</v>
      </c>
      <c r="Q127" s="6" t="s">
        <v>318</v>
      </c>
      <c r="R127" s="6" t="s">
        <v>318</v>
      </c>
      <c r="S127" s="6" t="s">
        <v>9</v>
      </c>
      <c r="T127" s="6" t="s">
        <v>254</v>
      </c>
      <c r="U127" s="6" t="s">
        <v>116</v>
      </c>
      <c r="V127" s="6" t="s">
        <v>633</v>
      </c>
      <c r="W127" s="6" t="s">
        <v>91</v>
      </c>
      <c r="X127" s="6" t="s">
        <v>91</v>
      </c>
      <c r="Y127" s="6" t="s">
        <v>91</v>
      </c>
      <c r="Z127" s="6" t="s">
        <v>56</v>
      </c>
      <c r="AA127" s="6" t="s">
        <v>91</v>
      </c>
      <c r="AB127" s="6">
        <v>895.78340000000003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288</v>
      </c>
      <c r="AJ127" s="6" t="s">
        <v>257</v>
      </c>
      <c r="AK127" s="6" t="s">
        <v>16</v>
      </c>
      <c r="AL127" s="6" t="s">
        <v>48</v>
      </c>
      <c r="AM127" s="6" t="s">
        <v>258</v>
      </c>
      <c r="AN127" s="6" t="s">
        <v>20</v>
      </c>
      <c r="AO127" s="6" t="s">
        <v>259</v>
      </c>
      <c r="AP127" s="6" t="s">
        <v>260</v>
      </c>
      <c r="AQ127" s="6" t="s">
        <v>31</v>
      </c>
    </row>
    <row r="128" spans="1:43" x14ac:dyDescent="0.25">
      <c r="A128" s="6">
        <v>22861747</v>
      </c>
      <c r="B128" s="6">
        <v>23641683</v>
      </c>
      <c r="C128" s="6" t="s">
        <v>248</v>
      </c>
      <c r="D128" s="14">
        <v>45903.6169212963</v>
      </c>
      <c r="E128" s="14">
        <v>45911.566932870373</v>
      </c>
      <c r="F128" s="6" t="s">
        <v>17</v>
      </c>
      <c r="G128" s="6" t="s">
        <v>23</v>
      </c>
      <c r="H128" s="6" t="s">
        <v>681</v>
      </c>
      <c r="I128" s="6" t="s">
        <v>16</v>
      </c>
      <c r="J128" s="6" t="s">
        <v>682</v>
      </c>
      <c r="K128" s="6" t="s">
        <v>495</v>
      </c>
      <c r="L128" s="6" t="s">
        <v>495</v>
      </c>
      <c r="M128" s="14">
        <v>45902.37777777778</v>
      </c>
      <c r="N128" s="6" t="s">
        <v>683</v>
      </c>
      <c r="O128" s="6" t="s">
        <v>684</v>
      </c>
      <c r="P128" s="6" t="s">
        <v>276</v>
      </c>
      <c r="Q128" s="6" t="s">
        <v>268</v>
      </c>
      <c r="R128" s="6" t="s">
        <v>269</v>
      </c>
      <c r="S128" s="6" t="s">
        <v>8</v>
      </c>
      <c r="T128" s="6" t="s">
        <v>254</v>
      </c>
      <c r="U128" s="6" t="s">
        <v>116</v>
      </c>
      <c r="V128" s="6" t="s">
        <v>633</v>
      </c>
      <c r="W128" s="6" t="s">
        <v>91</v>
      </c>
      <c r="X128" s="6" t="s">
        <v>91</v>
      </c>
      <c r="Y128" s="6" t="s">
        <v>91</v>
      </c>
      <c r="Z128" s="6" t="s">
        <v>56</v>
      </c>
      <c r="AA128" s="6" t="s">
        <v>91</v>
      </c>
      <c r="AB128" s="6">
        <v>1196.4000000000001</v>
      </c>
      <c r="AC128" s="6">
        <v>112.15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288</v>
      </c>
      <c r="AJ128" s="6" t="s">
        <v>257</v>
      </c>
      <c r="AK128" s="6" t="s">
        <v>16</v>
      </c>
      <c r="AL128" s="6" t="s">
        <v>48</v>
      </c>
      <c r="AM128" s="6" t="s">
        <v>258</v>
      </c>
      <c r="AN128" s="6" t="s">
        <v>20</v>
      </c>
      <c r="AO128" s="6" t="s">
        <v>272</v>
      </c>
      <c r="AP128" s="6" t="s">
        <v>273</v>
      </c>
      <c r="AQ128" s="6" t="s">
        <v>18</v>
      </c>
    </row>
    <row r="129" spans="1:43" x14ac:dyDescent="0.25">
      <c r="A129" s="6">
        <v>22847036</v>
      </c>
      <c r="B129" s="6">
        <v>23628591</v>
      </c>
      <c r="C129" s="6" t="s">
        <v>248</v>
      </c>
      <c r="D129" s="14">
        <v>45901.49150462963</v>
      </c>
      <c r="E129" s="14">
        <v>45911.56689814815</v>
      </c>
      <c r="F129" s="6" t="s">
        <v>17</v>
      </c>
      <c r="G129" s="6" t="s">
        <v>23</v>
      </c>
      <c r="H129" s="6" t="s">
        <v>685</v>
      </c>
      <c r="I129" s="6" t="s">
        <v>16</v>
      </c>
      <c r="J129" s="6" t="s">
        <v>686</v>
      </c>
      <c r="K129" s="6" t="s">
        <v>495</v>
      </c>
      <c r="L129" s="6" t="s">
        <v>495</v>
      </c>
      <c r="M129" s="14">
        <v>45901.289583333331</v>
      </c>
      <c r="N129" s="6" t="s">
        <v>687</v>
      </c>
      <c r="O129" s="6" t="s">
        <v>91</v>
      </c>
      <c r="P129" s="6" t="s">
        <v>276</v>
      </c>
      <c r="Q129" s="6" t="s">
        <v>318</v>
      </c>
      <c r="R129" s="6" t="s">
        <v>318</v>
      </c>
      <c r="S129" s="6" t="s">
        <v>9</v>
      </c>
      <c r="T129" s="6" t="s">
        <v>254</v>
      </c>
      <c r="U129" s="6" t="s">
        <v>116</v>
      </c>
      <c r="V129" s="6" t="s">
        <v>633</v>
      </c>
      <c r="W129" s="6" t="s">
        <v>91</v>
      </c>
      <c r="X129" s="6" t="s">
        <v>91</v>
      </c>
      <c r="Y129" s="6" t="s">
        <v>91</v>
      </c>
      <c r="Z129" s="6" t="s">
        <v>56</v>
      </c>
      <c r="AA129" s="6" t="s">
        <v>91</v>
      </c>
      <c r="AB129" s="6">
        <v>2707.4189999999999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288</v>
      </c>
      <c r="AJ129" s="6" t="s">
        <v>257</v>
      </c>
      <c r="AK129" s="6" t="s">
        <v>16</v>
      </c>
      <c r="AL129" s="6" t="s">
        <v>48</v>
      </c>
      <c r="AM129" s="6" t="s">
        <v>258</v>
      </c>
      <c r="AN129" s="6" t="s">
        <v>20</v>
      </c>
      <c r="AO129" s="6" t="s">
        <v>259</v>
      </c>
      <c r="AP129" s="6" t="s">
        <v>260</v>
      </c>
      <c r="AQ129" s="6" t="s">
        <v>31</v>
      </c>
    </row>
    <row r="130" spans="1:43" x14ac:dyDescent="0.25">
      <c r="A130" s="6">
        <v>22909268</v>
      </c>
      <c r="B130" s="6">
        <v>23682471</v>
      </c>
      <c r="C130" s="6" t="s">
        <v>637</v>
      </c>
      <c r="D130" s="14">
        <v>45911.62777777778</v>
      </c>
      <c r="E130" s="14">
        <v>45911.63244212963</v>
      </c>
      <c r="F130" s="6" t="s">
        <v>17</v>
      </c>
      <c r="G130" s="6" t="s">
        <v>17</v>
      </c>
      <c r="H130" s="6" t="s">
        <v>688</v>
      </c>
      <c r="I130" s="6" t="s">
        <v>16</v>
      </c>
      <c r="J130" s="6" t="s">
        <v>689</v>
      </c>
      <c r="K130" s="6" t="s">
        <v>690</v>
      </c>
      <c r="L130" s="6" t="s">
        <v>690</v>
      </c>
      <c r="M130" s="14">
        <v>45908.704861111109</v>
      </c>
      <c r="N130" s="6" t="s">
        <v>691</v>
      </c>
      <c r="O130" s="6" t="s">
        <v>91</v>
      </c>
      <c r="P130" s="6" t="s">
        <v>252</v>
      </c>
      <c r="Q130" s="6" t="s">
        <v>318</v>
      </c>
      <c r="R130" s="6" t="s">
        <v>318</v>
      </c>
      <c r="S130" s="6" t="s">
        <v>9</v>
      </c>
      <c r="T130" s="6" t="s">
        <v>254</v>
      </c>
      <c r="U130" s="6" t="s">
        <v>116</v>
      </c>
      <c r="V130" s="6" t="s">
        <v>633</v>
      </c>
      <c r="W130" s="6" t="s">
        <v>91</v>
      </c>
      <c r="X130" s="6" t="s">
        <v>91</v>
      </c>
      <c r="Y130" s="6" t="s">
        <v>91</v>
      </c>
      <c r="Z130" s="6" t="s">
        <v>56</v>
      </c>
      <c r="AA130" s="6" t="s">
        <v>91</v>
      </c>
      <c r="AB130" s="6">
        <v>293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288</v>
      </c>
      <c r="AJ130" s="6" t="s">
        <v>692</v>
      </c>
      <c r="AK130" s="6" t="s">
        <v>16</v>
      </c>
      <c r="AL130" s="6" t="s">
        <v>48</v>
      </c>
      <c r="AM130" s="6" t="s">
        <v>258</v>
      </c>
      <c r="AN130" s="6" t="s">
        <v>20</v>
      </c>
      <c r="AO130" s="6" t="s">
        <v>272</v>
      </c>
      <c r="AP130" s="6" t="s">
        <v>273</v>
      </c>
      <c r="AQ130" s="6" t="s">
        <v>18</v>
      </c>
    </row>
    <row r="131" spans="1:43" x14ac:dyDescent="0.25">
      <c r="A131" s="6">
        <v>22868179</v>
      </c>
      <c r="B131" s="6">
        <v>23647255</v>
      </c>
      <c r="C131" s="6" t="s">
        <v>248</v>
      </c>
      <c r="D131" s="14">
        <v>45904.534421296303</v>
      </c>
      <c r="E131" s="14">
        <v>45911.56695601852</v>
      </c>
      <c r="F131" s="6" t="s">
        <v>17</v>
      </c>
      <c r="G131" s="6" t="s">
        <v>21</v>
      </c>
      <c r="H131" s="6" t="s">
        <v>693</v>
      </c>
      <c r="I131" s="6" t="s">
        <v>16</v>
      </c>
      <c r="J131" s="6" t="s">
        <v>694</v>
      </c>
      <c r="K131" s="6" t="s">
        <v>690</v>
      </c>
      <c r="L131" s="6" t="s">
        <v>690</v>
      </c>
      <c r="M131" s="14">
        <v>45903.583333333343</v>
      </c>
      <c r="N131" s="6" t="s">
        <v>695</v>
      </c>
      <c r="O131" s="6" t="s">
        <v>91</v>
      </c>
      <c r="P131" s="6" t="s">
        <v>252</v>
      </c>
      <c r="Q131" s="6" t="s">
        <v>318</v>
      </c>
      <c r="R131" s="6" t="s">
        <v>318</v>
      </c>
      <c r="S131" s="6" t="s">
        <v>9</v>
      </c>
      <c r="T131" s="6" t="s">
        <v>254</v>
      </c>
      <c r="U131" s="6" t="s">
        <v>116</v>
      </c>
      <c r="V131" s="6" t="s">
        <v>633</v>
      </c>
      <c r="W131" s="6" t="s">
        <v>91</v>
      </c>
      <c r="X131" s="6" t="s">
        <v>91</v>
      </c>
      <c r="Y131" s="6" t="s">
        <v>91</v>
      </c>
      <c r="Z131" s="6" t="s">
        <v>56</v>
      </c>
      <c r="AA131" s="6" t="s">
        <v>91</v>
      </c>
      <c r="AB131" s="6">
        <v>740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288</v>
      </c>
      <c r="AJ131" s="6" t="s">
        <v>257</v>
      </c>
      <c r="AK131" s="6" t="s">
        <v>16</v>
      </c>
      <c r="AL131" s="6" t="s">
        <v>48</v>
      </c>
      <c r="AM131" s="6" t="s">
        <v>258</v>
      </c>
      <c r="AN131" s="6" t="s">
        <v>20</v>
      </c>
      <c r="AO131" s="6" t="s">
        <v>272</v>
      </c>
      <c r="AP131" s="6" t="s">
        <v>273</v>
      </c>
      <c r="AQ131" s="6" t="s">
        <v>18</v>
      </c>
    </row>
    <row r="132" spans="1:43" x14ac:dyDescent="0.25">
      <c r="A132" s="6">
        <v>22867916</v>
      </c>
      <c r="B132" s="6">
        <v>23646993</v>
      </c>
      <c r="C132" s="6" t="s">
        <v>248</v>
      </c>
      <c r="D132" s="14">
        <v>45904.526261574072</v>
      </c>
      <c r="E132" s="14">
        <v>45911.566944444443</v>
      </c>
      <c r="F132" s="6" t="s">
        <v>17</v>
      </c>
      <c r="G132" s="6" t="s">
        <v>21</v>
      </c>
      <c r="H132" s="6" t="s">
        <v>696</v>
      </c>
      <c r="I132" s="6" t="s">
        <v>16</v>
      </c>
      <c r="J132" s="6" t="s">
        <v>689</v>
      </c>
      <c r="K132" s="6" t="s">
        <v>690</v>
      </c>
      <c r="L132" s="6" t="s">
        <v>690</v>
      </c>
      <c r="M132" s="14">
        <v>45877.324999999997</v>
      </c>
      <c r="N132" s="6" t="s">
        <v>697</v>
      </c>
      <c r="O132" s="6" t="s">
        <v>91</v>
      </c>
      <c r="P132" s="6" t="s">
        <v>252</v>
      </c>
      <c r="Q132" s="6" t="s">
        <v>268</v>
      </c>
      <c r="R132" s="6" t="s">
        <v>269</v>
      </c>
      <c r="S132" s="6" t="s">
        <v>9</v>
      </c>
      <c r="T132" s="6" t="s">
        <v>254</v>
      </c>
      <c r="U132" s="6" t="s">
        <v>116</v>
      </c>
      <c r="V132" s="6" t="s">
        <v>633</v>
      </c>
      <c r="W132" s="6" t="s">
        <v>91</v>
      </c>
      <c r="X132" s="6" t="s">
        <v>91</v>
      </c>
      <c r="Y132" s="6" t="s">
        <v>91</v>
      </c>
      <c r="Z132" s="6" t="s">
        <v>56</v>
      </c>
      <c r="AA132" s="6" t="s">
        <v>91</v>
      </c>
      <c r="AB132" s="6">
        <v>824.91300000000001</v>
      </c>
      <c r="AC132" s="6">
        <v>19.63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288</v>
      </c>
      <c r="AJ132" s="6" t="s">
        <v>257</v>
      </c>
      <c r="AK132" s="6" t="s">
        <v>16</v>
      </c>
      <c r="AL132" s="6" t="s">
        <v>48</v>
      </c>
      <c r="AM132" s="6" t="s">
        <v>258</v>
      </c>
      <c r="AN132" s="6" t="s">
        <v>20</v>
      </c>
      <c r="AO132" s="6" t="s">
        <v>272</v>
      </c>
      <c r="AP132" s="6" t="s">
        <v>273</v>
      </c>
      <c r="AQ132" s="6" t="s">
        <v>18</v>
      </c>
    </row>
    <row r="133" spans="1:43" x14ac:dyDescent="0.25">
      <c r="A133" s="6">
        <v>22867916</v>
      </c>
      <c r="B133" s="6">
        <v>23646995</v>
      </c>
      <c r="C133" s="6" t="s">
        <v>637</v>
      </c>
      <c r="D133" s="14">
        <v>45904.526261574072</v>
      </c>
      <c r="E133" s="14">
        <v>45911.566944444443</v>
      </c>
      <c r="F133" s="6" t="s">
        <v>17</v>
      </c>
      <c r="G133" s="6" t="s">
        <v>21</v>
      </c>
      <c r="H133" s="6" t="s">
        <v>696</v>
      </c>
      <c r="I133" s="6" t="s">
        <v>16</v>
      </c>
      <c r="J133" s="6" t="s">
        <v>689</v>
      </c>
      <c r="K133" s="6" t="s">
        <v>690</v>
      </c>
      <c r="L133" s="6" t="s">
        <v>690</v>
      </c>
      <c r="M133" s="14">
        <v>45877.324999999997</v>
      </c>
      <c r="N133" s="6" t="s">
        <v>697</v>
      </c>
      <c r="O133" s="6" t="s">
        <v>91</v>
      </c>
      <c r="P133" s="6" t="s">
        <v>252</v>
      </c>
      <c r="Q133" s="6" t="s">
        <v>268</v>
      </c>
      <c r="R133" s="6" t="s">
        <v>269</v>
      </c>
      <c r="S133" s="6" t="s">
        <v>9</v>
      </c>
      <c r="T133" s="6" t="s">
        <v>254</v>
      </c>
      <c r="U133" s="6" t="s">
        <v>116</v>
      </c>
      <c r="V133" s="6" t="s">
        <v>633</v>
      </c>
      <c r="W133" s="6" t="s">
        <v>91</v>
      </c>
      <c r="X133" s="6" t="s">
        <v>91</v>
      </c>
      <c r="Y133" s="6" t="s">
        <v>91</v>
      </c>
      <c r="Z133" s="6" t="s">
        <v>56</v>
      </c>
      <c r="AA133" s="6" t="s">
        <v>91</v>
      </c>
      <c r="AB133" s="6">
        <v>445.7808</v>
      </c>
      <c r="AC133" s="6">
        <v>10.61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288</v>
      </c>
      <c r="AJ133" s="6" t="s">
        <v>257</v>
      </c>
      <c r="AK133" s="6" t="s">
        <v>16</v>
      </c>
      <c r="AL133" s="6" t="s">
        <v>48</v>
      </c>
      <c r="AM133" s="6" t="s">
        <v>258</v>
      </c>
      <c r="AN133" s="6" t="s">
        <v>20</v>
      </c>
      <c r="AO133" s="6" t="s">
        <v>272</v>
      </c>
      <c r="AP133" s="6" t="s">
        <v>273</v>
      </c>
      <c r="AQ133" s="6" t="s">
        <v>18</v>
      </c>
    </row>
    <row r="134" spans="1:43" x14ac:dyDescent="0.25">
      <c r="A134" s="6">
        <v>22867916</v>
      </c>
      <c r="B134" s="6">
        <v>23646996</v>
      </c>
      <c r="C134" s="6" t="s">
        <v>638</v>
      </c>
      <c r="D134" s="14">
        <v>45904.526261574072</v>
      </c>
      <c r="E134" s="14">
        <v>45911.566944444443</v>
      </c>
      <c r="F134" s="6" t="s">
        <v>17</v>
      </c>
      <c r="G134" s="6" t="s">
        <v>21</v>
      </c>
      <c r="H134" s="6" t="s">
        <v>696</v>
      </c>
      <c r="I134" s="6" t="s">
        <v>16</v>
      </c>
      <c r="J134" s="6" t="s">
        <v>689</v>
      </c>
      <c r="K134" s="6" t="s">
        <v>690</v>
      </c>
      <c r="L134" s="6" t="s">
        <v>690</v>
      </c>
      <c r="M134" s="14">
        <v>45877.324999999997</v>
      </c>
      <c r="N134" s="6" t="s">
        <v>697</v>
      </c>
      <c r="O134" s="6" t="s">
        <v>91</v>
      </c>
      <c r="P134" s="6" t="s">
        <v>252</v>
      </c>
      <c r="Q134" s="6" t="s">
        <v>268</v>
      </c>
      <c r="R134" s="6" t="s">
        <v>269</v>
      </c>
      <c r="S134" s="6" t="s">
        <v>9</v>
      </c>
      <c r="T134" s="6" t="s">
        <v>254</v>
      </c>
      <c r="U134" s="6" t="s">
        <v>116</v>
      </c>
      <c r="V134" s="6" t="s">
        <v>633</v>
      </c>
      <c r="W134" s="6" t="s">
        <v>91</v>
      </c>
      <c r="X134" s="6" t="s">
        <v>91</v>
      </c>
      <c r="Y134" s="6" t="s">
        <v>91</v>
      </c>
      <c r="Z134" s="6" t="s">
        <v>56</v>
      </c>
      <c r="AA134" s="6" t="s">
        <v>91</v>
      </c>
      <c r="AB134" s="6">
        <v>879.54300000000001</v>
      </c>
      <c r="AC134" s="6">
        <v>20.93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288</v>
      </c>
      <c r="AJ134" s="6" t="s">
        <v>257</v>
      </c>
      <c r="AK134" s="6" t="s">
        <v>16</v>
      </c>
      <c r="AL134" s="6" t="s">
        <v>48</v>
      </c>
      <c r="AM134" s="6" t="s">
        <v>258</v>
      </c>
      <c r="AN134" s="6" t="s">
        <v>20</v>
      </c>
      <c r="AO134" s="6" t="s">
        <v>272</v>
      </c>
      <c r="AP134" s="6" t="s">
        <v>273</v>
      </c>
      <c r="AQ134" s="6" t="s">
        <v>18</v>
      </c>
    </row>
    <row r="135" spans="1:43" x14ac:dyDescent="0.25">
      <c r="A135" s="6">
        <v>22848692</v>
      </c>
      <c r="B135" s="6">
        <v>23630272</v>
      </c>
      <c r="C135" s="6" t="s">
        <v>638</v>
      </c>
      <c r="D135" s="14">
        <v>45901.667638888888</v>
      </c>
      <c r="E135" s="14">
        <v>45911.56690972222</v>
      </c>
      <c r="F135" s="6" t="s">
        <v>17</v>
      </c>
      <c r="G135" s="6" t="s">
        <v>23</v>
      </c>
      <c r="H135" s="6" t="s">
        <v>698</v>
      </c>
      <c r="I135" s="6" t="s">
        <v>16</v>
      </c>
      <c r="J135" s="6" t="s">
        <v>699</v>
      </c>
      <c r="K135" s="6" t="s">
        <v>495</v>
      </c>
      <c r="L135" s="6" t="s">
        <v>495</v>
      </c>
      <c r="M135" s="14">
        <v>45901.371527777781</v>
      </c>
      <c r="N135" s="6" t="s">
        <v>700</v>
      </c>
      <c r="O135" s="6" t="s">
        <v>91</v>
      </c>
      <c r="P135" s="6" t="s">
        <v>276</v>
      </c>
      <c r="Q135" s="6" t="s">
        <v>318</v>
      </c>
      <c r="R135" s="6" t="s">
        <v>318</v>
      </c>
      <c r="S135" s="6" t="s">
        <v>9</v>
      </c>
      <c r="T135" s="6" t="s">
        <v>254</v>
      </c>
      <c r="U135" s="6" t="s">
        <v>116</v>
      </c>
      <c r="V135" s="6" t="s">
        <v>633</v>
      </c>
      <c r="W135" s="6" t="s">
        <v>91</v>
      </c>
      <c r="X135" s="6" t="s">
        <v>91</v>
      </c>
      <c r="Y135" s="6" t="s">
        <v>91</v>
      </c>
      <c r="Z135" s="6" t="s">
        <v>56</v>
      </c>
      <c r="AA135" s="6" t="s">
        <v>91</v>
      </c>
      <c r="AB135" s="6">
        <v>759.96559999999999</v>
      </c>
      <c r="AC135" s="6">
        <v>16.809999999999999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288</v>
      </c>
      <c r="AJ135" s="6" t="s">
        <v>701</v>
      </c>
      <c r="AK135" s="6" t="s">
        <v>16</v>
      </c>
      <c r="AL135" s="6" t="s">
        <v>48</v>
      </c>
      <c r="AM135" s="6" t="s">
        <v>258</v>
      </c>
      <c r="AN135" s="6" t="s">
        <v>20</v>
      </c>
      <c r="AO135" s="6" t="s">
        <v>259</v>
      </c>
      <c r="AP135" s="6" t="s">
        <v>260</v>
      </c>
      <c r="AQ135" s="6" t="s">
        <v>31</v>
      </c>
    </row>
    <row r="136" spans="1:43" x14ac:dyDescent="0.25">
      <c r="A136" s="6">
        <v>22909323</v>
      </c>
      <c r="B136" s="6">
        <v>23682527</v>
      </c>
      <c r="C136" s="6" t="s">
        <v>248</v>
      </c>
      <c r="D136" s="14">
        <v>45911.631261574083</v>
      </c>
      <c r="E136" s="14">
        <v>45911.638356481482</v>
      </c>
      <c r="F136" s="6" t="s">
        <v>17</v>
      </c>
      <c r="G136" s="6" t="s">
        <v>17</v>
      </c>
      <c r="H136" s="6" t="s">
        <v>702</v>
      </c>
      <c r="I136" s="6" t="s">
        <v>16</v>
      </c>
      <c r="J136" s="6" t="s">
        <v>703</v>
      </c>
      <c r="K136" s="6" t="s">
        <v>704</v>
      </c>
      <c r="L136" s="6" t="s">
        <v>704</v>
      </c>
      <c r="M136" s="14">
        <v>45910.566666666673</v>
      </c>
      <c r="N136" s="6" t="s">
        <v>705</v>
      </c>
      <c r="O136" s="6" t="s">
        <v>477</v>
      </c>
      <c r="P136" s="6" t="s">
        <v>252</v>
      </c>
      <c r="Q136" s="6" t="s">
        <v>268</v>
      </c>
      <c r="R136" s="6" t="s">
        <v>269</v>
      </c>
      <c r="S136" s="6" t="s">
        <v>8</v>
      </c>
      <c r="T136" s="6" t="s">
        <v>254</v>
      </c>
      <c r="U136" s="6" t="s">
        <v>116</v>
      </c>
      <c r="V136" s="6" t="s">
        <v>633</v>
      </c>
      <c r="W136" s="6" t="s">
        <v>91</v>
      </c>
      <c r="X136" s="6" t="s">
        <v>91</v>
      </c>
      <c r="Y136" s="6" t="s">
        <v>91</v>
      </c>
      <c r="Z136" s="6" t="s">
        <v>56</v>
      </c>
      <c r="AA136" s="6" t="s">
        <v>91</v>
      </c>
      <c r="AB136" s="6">
        <v>116.97</v>
      </c>
      <c r="AC136" s="6">
        <v>107.71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 t="s">
        <v>288</v>
      </c>
      <c r="AJ136" s="6" t="s">
        <v>257</v>
      </c>
      <c r="AK136" s="6" t="s">
        <v>16</v>
      </c>
      <c r="AL136" s="6" t="s">
        <v>48</v>
      </c>
      <c r="AM136" s="6" t="s">
        <v>258</v>
      </c>
      <c r="AN136" s="6" t="s">
        <v>20</v>
      </c>
      <c r="AO136" s="6" t="s">
        <v>272</v>
      </c>
      <c r="AP136" s="6" t="s">
        <v>273</v>
      </c>
      <c r="AQ136" s="6" t="s">
        <v>18</v>
      </c>
    </row>
    <row r="137" spans="1:43" x14ac:dyDescent="0.25">
      <c r="A137" s="6">
        <v>22913636</v>
      </c>
      <c r="B137" s="6">
        <v>23686225</v>
      </c>
      <c r="C137" s="6" t="s">
        <v>248</v>
      </c>
      <c r="D137" s="14">
        <v>45912.282592592594</v>
      </c>
      <c r="E137" s="14">
        <v>45912.283750000002</v>
      </c>
      <c r="F137" s="6" t="s">
        <v>17</v>
      </c>
      <c r="G137" s="6" t="s">
        <v>17</v>
      </c>
      <c r="H137" s="6" t="s">
        <v>706</v>
      </c>
      <c r="I137" s="6" t="s">
        <v>16</v>
      </c>
      <c r="J137" s="6" t="s">
        <v>707</v>
      </c>
      <c r="K137" s="6" t="s">
        <v>690</v>
      </c>
      <c r="L137" s="6" t="s">
        <v>690</v>
      </c>
      <c r="M137" s="14">
        <v>45889.568749999999</v>
      </c>
      <c r="N137" s="6" t="s">
        <v>708</v>
      </c>
      <c r="O137" s="6" t="s">
        <v>91</v>
      </c>
      <c r="P137" s="6" t="s">
        <v>252</v>
      </c>
      <c r="Q137" s="6" t="s">
        <v>268</v>
      </c>
      <c r="R137" s="6" t="s">
        <v>269</v>
      </c>
      <c r="S137" s="6" t="s">
        <v>9</v>
      </c>
      <c r="T137" s="6" t="s">
        <v>254</v>
      </c>
      <c r="U137" s="6" t="s">
        <v>116</v>
      </c>
      <c r="V137" s="6" t="s">
        <v>633</v>
      </c>
      <c r="W137" s="6" t="s">
        <v>91</v>
      </c>
      <c r="X137" s="6" t="s">
        <v>91</v>
      </c>
      <c r="Y137" s="6" t="s">
        <v>91</v>
      </c>
      <c r="Z137" s="6" t="s">
        <v>56</v>
      </c>
      <c r="AA137" s="6" t="s">
        <v>91</v>
      </c>
      <c r="AB137" s="6">
        <v>759.12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>
        <v>0</v>
      </c>
      <c r="AI137" s="6" t="s">
        <v>288</v>
      </c>
      <c r="AJ137" s="6" t="s">
        <v>257</v>
      </c>
      <c r="AK137" s="6" t="s">
        <v>16</v>
      </c>
      <c r="AL137" s="6" t="s">
        <v>48</v>
      </c>
      <c r="AM137" s="6" t="s">
        <v>258</v>
      </c>
      <c r="AN137" s="6" t="s">
        <v>20</v>
      </c>
      <c r="AO137" s="6" t="s">
        <v>272</v>
      </c>
      <c r="AP137" s="6" t="s">
        <v>273</v>
      </c>
      <c r="AQ137" s="6" t="s">
        <v>18</v>
      </c>
    </row>
    <row r="138" spans="1:43" x14ac:dyDescent="0.25">
      <c r="A138" s="6">
        <v>22913636</v>
      </c>
      <c r="B138" s="6">
        <v>23686226</v>
      </c>
      <c r="C138" s="6" t="s">
        <v>637</v>
      </c>
      <c r="D138" s="14">
        <v>45912.282592592594</v>
      </c>
      <c r="E138" s="14">
        <v>45912.283750000002</v>
      </c>
      <c r="F138" s="6" t="s">
        <v>17</v>
      </c>
      <c r="G138" s="6" t="s">
        <v>17</v>
      </c>
      <c r="H138" s="6" t="s">
        <v>706</v>
      </c>
      <c r="I138" s="6" t="s">
        <v>16</v>
      </c>
      <c r="J138" s="6" t="s">
        <v>707</v>
      </c>
      <c r="K138" s="6" t="s">
        <v>690</v>
      </c>
      <c r="L138" s="6" t="s">
        <v>690</v>
      </c>
      <c r="M138" s="14">
        <v>45889.568749999999</v>
      </c>
      <c r="N138" s="6" t="s">
        <v>708</v>
      </c>
      <c r="O138" s="6" t="s">
        <v>91</v>
      </c>
      <c r="P138" s="6" t="s">
        <v>252</v>
      </c>
      <c r="Q138" s="6" t="s">
        <v>268</v>
      </c>
      <c r="R138" s="6" t="s">
        <v>269</v>
      </c>
      <c r="S138" s="6" t="s">
        <v>9</v>
      </c>
      <c r="T138" s="6" t="s">
        <v>254</v>
      </c>
      <c r="U138" s="6" t="s">
        <v>116</v>
      </c>
      <c r="V138" s="6" t="s">
        <v>633</v>
      </c>
      <c r="W138" s="6" t="s">
        <v>91</v>
      </c>
      <c r="X138" s="6" t="s">
        <v>91</v>
      </c>
      <c r="Y138" s="6" t="s">
        <v>91</v>
      </c>
      <c r="Z138" s="6" t="s">
        <v>56</v>
      </c>
      <c r="AA138" s="6" t="s">
        <v>91</v>
      </c>
      <c r="AB138" s="6">
        <v>759.12</v>
      </c>
      <c r="AC138" s="6">
        <v>0</v>
      </c>
      <c r="AD138" s="6">
        <v>0</v>
      </c>
      <c r="AE138" s="6">
        <v>0</v>
      </c>
      <c r="AF138" s="6">
        <v>0</v>
      </c>
      <c r="AG138" s="6">
        <v>0</v>
      </c>
      <c r="AH138" s="6">
        <v>0</v>
      </c>
      <c r="AI138" s="6" t="s">
        <v>288</v>
      </c>
      <c r="AJ138" s="6" t="s">
        <v>257</v>
      </c>
      <c r="AK138" s="6" t="s">
        <v>16</v>
      </c>
      <c r="AL138" s="6" t="s">
        <v>48</v>
      </c>
      <c r="AM138" s="6" t="s">
        <v>258</v>
      </c>
      <c r="AN138" s="6" t="s">
        <v>20</v>
      </c>
      <c r="AO138" s="6" t="s">
        <v>272</v>
      </c>
      <c r="AP138" s="6" t="s">
        <v>273</v>
      </c>
      <c r="AQ138" s="6" t="s">
        <v>18</v>
      </c>
    </row>
    <row r="139" spans="1:43" x14ac:dyDescent="0.25">
      <c r="A139" s="6">
        <v>22913640</v>
      </c>
      <c r="B139" s="6">
        <v>23686230</v>
      </c>
      <c r="C139" s="6" t="s">
        <v>248</v>
      </c>
      <c r="D139" s="14">
        <v>45912.282824074071</v>
      </c>
      <c r="E139" s="14">
        <v>45912.283807870372</v>
      </c>
      <c r="F139" s="6" t="s">
        <v>17</v>
      </c>
      <c r="G139" s="6" t="s">
        <v>17</v>
      </c>
      <c r="H139" s="6" t="s">
        <v>709</v>
      </c>
      <c r="I139" s="6" t="s">
        <v>16</v>
      </c>
      <c r="J139" s="6" t="s">
        <v>710</v>
      </c>
      <c r="K139" s="6" t="s">
        <v>711</v>
      </c>
      <c r="L139" s="6" t="s">
        <v>711</v>
      </c>
      <c r="M139" s="14">
        <v>45909.513888888891</v>
      </c>
      <c r="N139" s="6" t="s">
        <v>712</v>
      </c>
      <c r="O139" s="6" t="s">
        <v>91</v>
      </c>
      <c r="P139" s="6" t="s">
        <v>252</v>
      </c>
      <c r="Q139" s="6" t="s">
        <v>268</v>
      </c>
      <c r="R139" s="6" t="s">
        <v>269</v>
      </c>
      <c r="S139" s="6" t="s">
        <v>9</v>
      </c>
      <c r="T139" s="6" t="s">
        <v>254</v>
      </c>
      <c r="U139" s="6" t="s">
        <v>116</v>
      </c>
      <c r="V139" s="6" t="s">
        <v>633</v>
      </c>
      <c r="W139" s="6" t="s">
        <v>91</v>
      </c>
      <c r="X139" s="6" t="s">
        <v>91</v>
      </c>
      <c r="Y139" s="6" t="s">
        <v>91</v>
      </c>
      <c r="Z139" s="6" t="s">
        <v>56</v>
      </c>
      <c r="AA139" s="6" t="s">
        <v>91</v>
      </c>
      <c r="AB139" s="6">
        <v>1783.3679999999999</v>
      </c>
      <c r="AC139" s="6">
        <v>0</v>
      </c>
      <c r="AD139" s="6">
        <v>0</v>
      </c>
      <c r="AE139" s="6">
        <v>0</v>
      </c>
      <c r="AF139" s="6">
        <v>0</v>
      </c>
      <c r="AG139" s="6">
        <v>0</v>
      </c>
      <c r="AH139" s="6">
        <v>0</v>
      </c>
      <c r="AI139" s="6" t="s">
        <v>288</v>
      </c>
      <c r="AJ139" s="6" t="s">
        <v>257</v>
      </c>
      <c r="AK139" s="6" t="s">
        <v>16</v>
      </c>
      <c r="AL139" s="6" t="s">
        <v>48</v>
      </c>
      <c r="AM139" s="6" t="s">
        <v>258</v>
      </c>
      <c r="AN139" s="6" t="s">
        <v>20</v>
      </c>
      <c r="AO139" s="6" t="s">
        <v>272</v>
      </c>
      <c r="AP139" s="6" t="s">
        <v>273</v>
      </c>
      <c r="AQ139" s="6" t="s">
        <v>18</v>
      </c>
    </row>
    <row r="140" spans="1:43" x14ac:dyDescent="0.25">
      <c r="A140" s="6">
        <v>22913643</v>
      </c>
      <c r="B140" s="6">
        <v>23686233</v>
      </c>
      <c r="C140" s="6" t="s">
        <v>248</v>
      </c>
      <c r="D140" s="14">
        <v>45912.283032407409</v>
      </c>
      <c r="E140" s="14">
        <v>45912.287962962961</v>
      </c>
      <c r="F140" s="6" t="s">
        <v>17</v>
      </c>
      <c r="G140" s="6" t="s">
        <v>17</v>
      </c>
      <c r="H140" s="6" t="s">
        <v>713</v>
      </c>
      <c r="I140" s="6" t="s">
        <v>16</v>
      </c>
      <c r="J140" s="6" t="s">
        <v>714</v>
      </c>
      <c r="K140" s="6" t="s">
        <v>711</v>
      </c>
      <c r="L140" s="6" t="s">
        <v>711</v>
      </c>
      <c r="M140" s="14">
        <v>45910.636111111111</v>
      </c>
      <c r="N140" s="6" t="s">
        <v>715</v>
      </c>
      <c r="O140" s="6" t="s">
        <v>91</v>
      </c>
      <c r="P140" s="6" t="s">
        <v>276</v>
      </c>
      <c r="Q140" s="6" t="s">
        <v>253</v>
      </c>
      <c r="R140" s="6" t="s">
        <v>253</v>
      </c>
      <c r="S140" s="6" t="s">
        <v>9</v>
      </c>
      <c r="T140" s="6" t="s">
        <v>254</v>
      </c>
      <c r="U140" s="6" t="s">
        <v>116</v>
      </c>
      <c r="V140" s="6" t="s">
        <v>633</v>
      </c>
      <c r="W140" s="6" t="s">
        <v>91</v>
      </c>
      <c r="X140" s="6" t="s">
        <v>91</v>
      </c>
      <c r="Y140" s="6" t="s">
        <v>91</v>
      </c>
      <c r="Z140" s="6" t="s">
        <v>56</v>
      </c>
      <c r="AA140" s="6" t="s">
        <v>91</v>
      </c>
      <c r="AB140" s="6">
        <v>1796.34</v>
      </c>
      <c r="AC140" s="6">
        <v>0</v>
      </c>
      <c r="AD140" s="6">
        <v>0</v>
      </c>
      <c r="AE140" s="6">
        <v>0</v>
      </c>
      <c r="AF140" s="6">
        <v>0</v>
      </c>
      <c r="AG140" s="6">
        <v>0</v>
      </c>
      <c r="AH140" s="6">
        <v>0</v>
      </c>
      <c r="AI140" s="6" t="s">
        <v>288</v>
      </c>
      <c r="AJ140" s="6" t="s">
        <v>257</v>
      </c>
      <c r="AK140" s="6" t="s">
        <v>16</v>
      </c>
      <c r="AL140" s="6" t="s">
        <v>48</v>
      </c>
      <c r="AM140" s="6" t="s">
        <v>258</v>
      </c>
      <c r="AN140" s="6" t="s">
        <v>20</v>
      </c>
      <c r="AO140" s="6" t="s">
        <v>272</v>
      </c>
      <c r="AP140" s="6" t="s">
        <v>273</v>
      </c>
      <c r="AQ140" s="6" t="s">
        <v>34</v>
      </c>
    </row>
    <row r="141" spans="1:43" x14ac:dyDescent="0.25">
      <c r="A141" s="6">
        <v>22904971</v>
      </c>
      <c r="B141" s="6">
        <v>23678948</v>
      </c>
      <c r="C141" s="6" t="s">
        <v>248</v>
      </c>
      <c r="D141" s="14">
        <v>45910.876064814824</v>
      </c>
      <c r="E141" s="14">
        <v>45911.567002314812</v>
      </c>
      <c r="F141" s="6" t="s">
        <v>17</v>
      </c>
      <c r="G141" s="6" t="s">
        <v>17</v>
      </c>
      <c r="H141" s="6" t="s">
        <v>716</v>
      </c>
      <c r="I141" s="6" t="s">
        <v>16</v>
      </c>
      <c r="J141" s="6" t="s">
        <v>717</v>
      </c>
      <c r="K141" s="6" t="s">
        <v>661</v>
      </c>
      <c r="L141" s="6" t="s">
        <v>661</v>
      </c>
      <c r="M141" s="14">
        <v>45908.488194444442</v>
      </c>
      <c r="N141" s="6" t="s">
        <v>718</v>
      </c>
      <c r="O141" s="6" t="s">
        <v>719</v>
      </c>
      <c r="P141" s="6" t="s">
        <v>252</v>
      </c>
      <c r="Q141" s="6" t="s">
        <v>268</v>
      </c>
      <c r="R141" s="6" t="s">
        <v>269</v>
      </c>
      <c r="S141" s="6" t="s">
        <v>8</v>
      </c>
      <c r="T141" s="6" t="s">
        <v>254</v>
      </c>
      <c r="U141" s="6" t="s">
        <v>116</v>
      </c>
      <c r="V141" s="6" t="s">
        <v>720</v>
      </c>
      <c r="W141" s="6" t="s">
        <v>91</v>
      </c>
      <c r="X141" s="6" t="s">
        <v>91</v>
      </c>
      <c r="Y141" s="6" t="s">
        <v>91</v>
      </c>
      <c r="Z141" s="6" t="s">
        <v>56</v>
      </c>
      <c r="AA141" s="6" t="s">
        <v>91</v>
      </c>
      <c r="AB141" s="6">
        <v>1110.52</v>
      </c>
      <c r="AC141" s="6">
        <v>1150.43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288</v>
      </c>
      <c r="AJ141" s="6" t="s">
        <v>257</v>
      </c>
      <c r="AK141" s="6" t="s">
        <v>16</v>
      </c>
      <c r="AL141" s="6" t="s">
        <v>48</v>
      </c>
      <c r="AM141" s="6" t="s">
        <v>258</v>
      </c>
      <c r="AN141" s="6" t="s">
        <v>20</v>
      </c>
      <c r="AO141" s="6" t="s">
        <v>272</v>
      </c>
      <c r="AP141" s="6" t="s">
        <v>273</v>
      </c>
      <c r="AQ141" s="6" t="s">
        <v>18</v>
      </c>
    </row>
    <row r="142" spans="1:43" x14ac:dyDescent="0.25">
      <c r="A142" s="6">
        <v>22904988</v>
      </c>
      <c r="B142" s="6">
        <v>23678966</v>
      </c>
      <c r="C142" s="6" t="s">
        <v>248</v>
      </c>
      <c r="D142" s="14">
        <v>45910.877187500002</v>
      </c>
      <c r="E142" s="14">
        <v>45911.57099537037</v>
      </c>
      <c r="F142" s="6" t="s">
        <v>17</v>
      </c>
      <c r="G142" s="6" t="s">
        <v>17</v>
      </c>
      <c r="H142" s="6" t="s">
        <v>721</v>
      </c>
      <c r="I142" s="6" t="s">
        <v>16</v>
      </c>
      <c r="J142" s="6" t="s">
        <v>722</v>
      </c>
      <c r="K142" s="6" t="s">
        <v>661</v>
      </c>
      <c r="L142" s="6" t="s">
        <v>661</v>
      </c>
      <c r="M142" s="14">
        <v>45908.551388888889</v>
      </c>
      <c r="N142" s="6" t="s">
        <v>723</v>
      </c>
      <c r="O142" s="6" t="s">
        <v>91</v>
      </c>
      <c r="P142" s="6" t="s">
        <v>252</v>
      </c>
      <c r="Q142" s="6" t="s">
        <v>318</v>
      </c>
      <c r="R142" s="6" t="s">
        <v>318</v>
      </c>
      <c r="S142" s="6" t="s">
        <v>9</v>
      </c>
      <c r="T142" s="6" t="s">
        <v>254</v>
      </c>
      <c r="U142" s="6" t="s">
        <v>116</v>
      </c>
      <c r="V142" s="6" t="s">
        <v>724</v>
      </c>
      <c r="W142" s="6" t="s">
        <v>91</v>
      </c>
      <c r="X142" s="6" t="s">
        <v>91</v>
      </c>
      <c r="Y142" s="6" t="s">
        <v>91</v>
      </c>
      <c r="Z142" s="6" t="s">
        <v>56</v>
      </c>
      <c r="AA142" s="6" t="s">
        <v>91</v>
      </c>
      <c r="AB142" s="6">
        <v>305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288</v>
      </c>
      <c r="AJ142" s="6" t="s">
        <v>257</v>
      </c>
      <c r="AK142" s="6" t="s">
        <v>16</v>
      </c>
      <c r="AL142" s="6" t="s">
        <v>48</v>
      </c>
      <c r="AM142" s="6" t="s">
        <v>258</v>
      </c>
      <c r="AN142" s="6" t="s">
        <v>20</v>
      </c>
      <c r="AO142" s="6" t="s">
        <v>272</v>
      </c>
      <c r="AP142" s="6" t="s">
        <v>273</v>
      </c>
      <c r="AQ142" s="6" t="s">
        <v>18</v>
      </c>
    </row>
    <row r="143" spans="1:43" x14ac:dyDescent="0.25">
      <c r="A143" s="6">
        <v>22904990</v>
      </c>
      <c r="B143" s="6">
        <v>23678968</v>
      </c>
      <c r="C143" s="6" t="s">
        <v>248</v>
      </c>
      <c r="D143" s="14">
        <v>45910.877256944441</v>
      </c>
      <c r="E143" s="14">
        <v>45911.571030092593</v>
      </c>
      <c r="F143" s="6" t="s">
        <v>17</v>
      </c>
      <c r="G143" s="6" t="s">
        <v>17</v>
      </c>
      <c r="H143" s="6" t="s">
        <v>725</v>
      </c>
      <c r="I143" s="6" t="s">
        <v>16</v>
      </c>
      <c r="J143" s="6" t="s">
        <v>726</v>
      </c>
      <c r="K143" s="6" t="s">
        <v>661</v>
      </c>
      <c r="L143" s="6" t="s">
        <v>661</v>
      </c>
      <c r="M143" s="14">
        <v>45908.554861111108</v>
      </c>
      <c r="N143" s="6" t="s">
        <v>727</v>
      </c>
      <c r="O143" s="6" t="s">
        <v>91</v>
      </c>
      <c r="P143" s="6" t="s">
        <v>252</v>
      </c>
      <c r="Q143" s="6" t="s">
        <v>268</v>
      </c>
      <c r="R143" s="6" t="s">
        <v>269</v>
      </c>
      <c r="S143" s="6" t="s">
        <v>9</v>
      </c>
      <c r="T143" s="6" t="s">
        <v>254</v>
      </c>
      <c r="U143" s="6" t="s">
        <v>116</v>
      </c>
      <c r="V143" s="6" t="s">
        <v>724</v>
      </c>
      <c r="W143" s="6" t="s">
        <v>91</v>
      </c>
      <c r="X143" s="6" t="s">
        <v>91</v>
      </c>
      <c r="Y143" s="6" t="s">
        <v>91</v>
      </c>
      <c r="Z143" s="6" t="s">
        <v>56</v>
      </c>
      <c r="AA143" s="6" t="s">
        <v>91</v>
      </c>
      <c r="AB143" s="6">
        <v>305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 t="s">
        <v>288</v>
      </c>
      <c r="AJ143" s="6" t="s">
        <v>257</v>
      </c>
      <c r="AK143" s="6" t="s">
        <v>16</v>
      </c>
      <c r="AL143" s="6" t="s">
        <v>48</v>
      </c>
      <c r="AM143" s="6" t="s">
        <v>258</v>
      </c>
      <c r="AN143" s="6" t="s">
        <v>20</v>
      </c>
      <c r="AO143" s="6" t="s">
        <v>272</v>
      </c>
      <c r="AP143" s="6" t="s">
        <v>273</v>
      </c>
      <c r="AQ143" s="6" t="s">
        <v>18</v>
      </c>
    </row>
    <row r="144" spans="1:43" x14ac:dyDescent="0.25">
      <c r="A144" s="6">
        <v>22848704</v>
      </c>
      <c r="B144" s="6">
        <v>23630282</v>
      </c>
      <c r="C144" s="6" t="s">
        <v>248</v>
      </c>
      <c r="D144" s="14">
        <v>45901.667986111112</v>
      </c>
      <c r="E144" s="14">
        <v>45911.566921296297</v>
      </c>
      <c r="F144" s="6" t="s">
        <v>17</v>
      </c>
      <c r="G144" s="6" t="s">
        <v>23</v>
      </c>
      <c r="H144" s="6" t="s">
        <v>728</v>
      </c>
      <c r="I144" s="6" t="s">
        <v>16</v>
      </c>
      <c r="J144" s="6" t="s">
        <v>729</v>
      </c>
      <c r="K144" s="6" t="s">
        <v>495</v>
      </c>
      <c r="L144" s="6" t="s">
        <v>495</v>
      </c>
      <c r="M144" s="14">
        <v>45901.525000000001</v>
      </c>
      <c r="N144" s="6" t="s">
        <v>730</v>
      </c>
      <c r="O144" s="6" t="s">
        <v>91</v>
      </c>
      <c r="P144" s="6" t="s">
        <v>276</v>
      </c>
      <c r="Q144" s="6" t="s">
        <v>318</v>
      </c>
      <c r="R144" s="6" t="s">
        <v>318</v>
      </c>
      <c r="S144" s="6" t="s">
        <v>9</v>
      </c>
      <c r="T144" s="6" t="s">
        <v>254</v>
      </c>
      <c r="U144" s="6" t="s">
        <v>116</v>
      </c>
      <c r="V144" s="6" t="s">
        <v>724</v>
      </c>
      <c r="W144" s="6" t="s">
        <v>91</v>
      </c>
      <c r="X144" s="6" t="s">
        <v>91</v>
      </c>
      <c r="Y144" s="6" t="s">
        <v>91</v>
      </c>
      <c r="Z144" s="6" t="s">
        <v>56</v>
      </c>
      <c r="AA144" s="6" t="s">
        <v>91</v>
      </c>
      <c r="AB144" s="6">
        <v>834.74</v>
      </c>
      <c r="AC144" s="6">
        <v>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 t="s">
        <v>288</v>
      </c>
      <c r="AJ144" s="6" t="s">
        <v>257</v>
      </c>
      <c r="AK144" s="6" t="s">
        <v>16</v>
      </c>
      <c r="AL144" s="6" t="s">
        <v>48</v>
      </c>
      <c r="AM144" s="6" t="s">
        <v>258</v>
      </c>
      <c r="AN144" s="6" t="s">
        <v>20</v>
      </c>
      <c r="AO144" s="6" t="s">
        <v>259</v>
      </c>
      <c r="AP144" s="6" t="s">
        <v>260</v>
      </c>
      <c r="AQ144" s="6" t="s">
        <v>31</v>
      </c>
    </row>
    <row r="145" spans="1:43" x14ac:dyDescent="0.25">
      <c r="A145" s="6">
        <v>22848706</v>
      </c>
      <c r="B145" s="6">
        <v>23630285</v>
      </c>
      <c r="C145" s="6" t="s">
        <v>248</v>
      </c>
      <c r="D145" s="14">
        <v>45901.668043981481</v>
      </c>
      <c r="E145" s="14">
        <v>45911.566921296297</v>
      </c>
      <c r="F145" s="6" t="s">
        <v>17</v>
      </c>
      <c r="G145" s="6" t="s">
        <v>23</v>
      </c>
      <c r="H145" s="6" t="s">
        <v>731</v>
      </c>
      <c r="I145" s="6" t="s">
        <v>16</v>
      </c>
      <c r="J145" s="6" t="s">
        <v>732</v>
      </c>
      <c r="K145" s="6" t="s">
        <v>495</v>
      </c>
      <c r="L145" s="6" t="s">
        <v>495</v>
      </c>
      <c r="M145" s="14">
        <v>45901.527083333327</v>
      </c>
      <c r="N145" s="6" t="s">
        <v>733</v>
      </c>
      <c r="O145" s="6" t="s">
        <v>91</v>
      </c>
      <c r="P145" s="6" t="s">
        <v>276</v>
      </c>
      <c r="Q145" s="6" t="s">
        <v>318</v>
      </c>
      <c r="R145" s="6" t="s">
        <v>318</v>
      </c>
      <c r="S145" s="6" t="s">
        <v>9</v>
      </c>
      <c r="T145" s="6" t="s">
        <v>254</v>
      </c>
      <c r="U145" s="6" t="s">
        <v>116</v>
      </c>
      <c r="V145" s="6" t="s">
        <v>724</v>
      </c>
      <c r="W145" s="6" t="s">
        <v>91</v>
      </c>
      <c r="X145" s="6" t="s">
        <v>91</v>
      </c>
      <c r="Y145" s="6" t="s">
        <v>91</v>
      </c>
      <c r="Z145" s="6" t="s">
        <v>56</v>
      </c>
      <c r="AA145" s="6" t="s">
        <v>91</v>
      </c>
      <c r="AB145" s="6">
        <v>834.74</v>
      </c>
      <c r="AC145" s="6">
        <v>0</v>
      </c>
      <c r="AD145" s="6">
        <v>0</v>
      </c>
      <c r="AE145" s="6">
        <v>0</v>
      </c>
      <c r="AF145" s="6">
        <v>0</v>
      </c>
      <c r="AG145" s="6">
        <v>0</v>
      </c>
      <c r="AH145" s="6">
        <v>0</v>
      </c>
      <c r="AI145" s="6" t="s">
        <v>288</v>
      </c>
      <c r="AJ145" s="6" t="s">
        <v>257</v>
      </c>
      <c r="AK145" s="6" t="s">
        <v>16</v>
      </c>
      <c r="AL145" s="6" t="s">
        <v>48</v>
      </c>
      <c r="AM145" s="6" t="s">
        <v>258</v>
      </c>
      <c r="AN145" s="6" t="s">
        <v>20</v>
      </c>
      <c r="AO145" s="6" t="s">
        <v>259</v>
      </c>
      <c r="AP145" s="6" t="s">
        <v>260</v>
      </c>
      <c r="AQ145" s="6" t="s">
        <v>31</v>
      </c>
    </row>
    <row r="146" spans="1:43" x14ac:dyDescent="0.25">
      <c r="A146" s="6">
        <v>22827600</v>
      </c>
      <c r="B146" s="6">
        <v>23612939</v>
      </c>
      <c r="C146" s="6" t="s">
        <v>248</v>
      </c>
      <c r="D146" s="14">
        <v>45897.552881944437</v>
      </c>
      <c r="E146" s="14">
        <v>45911.566840277781</v>
      </c>
      <c r="F146" s="6" t="s">
        <v>17</v>
      </c>
      <c r="G146" s="6" t="s">
        <v>23</v>
      </c>
      <c r="H146" s="6" t="s">
        <v>734</v>
      </c>
      <c r="I146" s="6" t="s">
        <v>16</v>
      </c>
      <c r="J146" s="6" t="s">
        <v>735</v>
      </c>
      <c r="K146" s="6" t="s">
        <v>495</v>
      </c>
      <c r="L146" s="6" t="s">
        <v>495</v>
      </c>
      <c r="M146" s="14">
        <v>45897.347222222219</v>
      </c>
      <c r="N146" s="6" t="s">
        <v>736</v>
      </c>
      <c r="O146" s="6" t="s">
        <v>91</v>
      </c>
      <c r="P146" s="6" t="s">
        <v>276</v>
      </c>
      <c r="Q146" s="6" t="s">
        <v>318</v>
      </c>
      <c r="R146" s="6" t="s">
        <v>318</v>
      </c>
      <c r="S146" s="6" t="s">
        <v>9</v>
      </c>
      <c r="T146" s="6" t="s">
        <v>254</v>
      </c>
      <c r="U146" s="6" t="s">
        <v>116</v>
      </c>
      <c r="V146" s="6" t="s">
        <v>724</v>
      </c>
      <c r="W146" s="6" t="s">
        <v>91</v>
      </c>
      <c r="X146" s="6" t="s">
        <v>91</v>
      </c>
      <c r="Y146" s="6" t="s">
        <v>91</v>
      </c>
      <c r="Z146" s="6" t="s">
        <v>56</v>
      </c>
      <c r="AA146" s="6" t="s">
        <v>91</v>
      </c>
      <c r="AB146" s="6">
        <v>983.22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 t="s">
        <v>288</v>
      </c>
      <c r="AJ146" s="6" t="s">
        <v>257</v>
      </c>
      <c r="AK146" s="6" t="s">
        <v>16</v>
      </c>
      <c r="AL146" s="6" t="s">
        <v>48</v>
      </c>
      <c r="AM146" s="6" t="s">
        <v>258</v>
      </c>
      <c r="AN146" s="6" t="s">
        <v>20</v>
      </c>
      <c r="AO146" s="6" t="s">
        <v>259</v>
      </c>
      <c r="AP146" s="6" t="s">
        <v>260</v>
      </c>
      <c r="AQ146" s="6" t="s">
        <v>31</v>
      </c>
    </row>
    <row r="147" spans="1:43" x14ac:dyDescent="0.25">
      <c r="A147" s="6">
        <v>22827693</v>
      </c>
      <c r="B147" s="6">
        <v>23613029</v>
      </c>
      <c r="C147" s="6" t="s">
        <v>248</v>
      </c>
      <c r="D147" s="14">
        <v>45897.563564814824</v>
      </c>
      <c r="E147" s="14">
        <v>45911.566851851851</v>
      </c>
      <c r="F147" s="6" t="s">
        <v>17</v>
      </c>
      <c r="G147" s="6" t="s">
        <v>23</v>
      </c>
      <c r="H147" s="6" t="s">
        <v>737</v>
      </c>
      <c r="I147" s="6" t="s">
        <v>16</v>
      </c>
      <c r="J147" s="6" t="s">
        <v>738</v>
      </c>
      <c r="K147" s="6" t="s">
        <v>495</v>
      </c>
      <c r="L147" s="6" t="s">
        <v>495</v>
      </c>
      <c r="M147" s="14">
        <v>45897.411805555559</v>
      </c>
      <c r="N147" s="6" t="s">
        <v>739</v>
      </c>
      <c r="O147" s="6" t="s">
        <v>91</v>
      </c>
      <c r="P147" s="6" t="s">
        <v>276</v>
      </c>
      <c r="Q147" s="6" t="s">
        <v>318</v>
      </c>
      <c r="R147" s="6" t="s">
        <v>318</v>
      </c>
      <c r="S147" s="6" t="s">
        <v>9</v>
      </c>
      <c r="T147" s="6" t="s">
        <v>254</v>
      </c>
      <c r="U147" s="6" t="s">
        <v>116</v>
      </c>
      <c r="V147" s="6" t="s">
        <v>724</v>
      </c>
      <c r="W147" s="6" t="s">
        <v>91</v>
      </c>
      <c r="X147" s="6" t="s">
        <v>91</v>
      </c>
      <c r="Y147" s="6" t="s">
        <v>91</v>
      </c>
      <c r="Z147" s="6" t="s">
        <v>56</v>
      </c>
      <c r="AA147" s="6" t="s">
        <v>91</v>
      </c>
      <c r="AB147" s="6">
        <v>273.27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>
        <v>0</v>
      </c>
      <c r="AI147" s="6" t="s">
        <v>288</v>
      </c>
      <c r="AJ147" s="6" t="s">
        <v>257</v>
      </c>
      <c r="AK147" s="6" t="s">
        <v>16</v>
      </c>
      <c r="AL147" s="6" t="s">
        <v>48</v>
      </c>
      <c r="AM147" s="6" t="s">
        <v>258</v>
      </c>
      <c r="AN147" s="6" t="s">
        <v>20</v>
      </c>
      <c r="AO147" s="6" t="s">
        <v>259</v>
      </c>
      <c r="AP147" s="6" t="s">
        <v>260</v>
      </c>
      <c r="AQ147" s="6" t="s">
        <v>31</v>
      </c>
    </row>
    <row r="148" spans="1:43" x14ac:dyDescent="0.25">
      <c r="A148" s="6">
        <v>22909286</v>
      </c>
      <c r="B148" s="6">
        <v>23682492</v>
      </c>
      <c r="C148" s="6" t="s">
        <v>248</v>
      </c>
      <c r="D148" s="14">
        <v>45911.628946759258</v>
      </c>
      <c r="E148" s="14">
        <v>45911.638344907413</v>
      </c>
      <c r="F148" s="6" t="s">
        <v>17</v>
      </c>
      <c r="G148" s="6" t="s">
        <v>17</v>
      </c>
      <c r="H148" s="6" t="s">
        <v>740</v>
      </c>
      <c r="I148" s="6" t="s">
        <v>16</v>
      </c>
      <c r="J148" s="6" t="s">
        <v>741</v>
      </c>
      <c r="K148" s="6" t="s">
        <v>704</v>
      </c>
      <c r="L148" s="6" t="s">
        <v>704</v>
      </c>
      <c r="M148" s="14">
        <v>45909.642361111109</v>
      </c>
      <c r="N148" s="6" t="s">
        <v>742</v>
      </c>
      <c r="O148" s="6" t="s">
        <v>91</v>
      </c>
      <c r="P148" s="6" t="s">
        <v>252</v>
      </c>
      <c r="Q148" s="6" t="s">
        <v>268</v>
      </c>
      <c r="R148" s="6" t="s">
        <v>269</v>
      </c>
      <c r="S148" s="6" t="s">
        <v>9</v>
      </c>
      <c r="T148" s="6" t="s">
        <v>254</v>
      </c>
      <c r="U148" s="6" t="s">
        <v>116</v>
      </c>
      <c r="V148" s="6" t="s">
        <v>724</v>
      </c>
      <c r="W148" s="6" t="s">
        <v>91</v>
      </c>
      <c r="X148" s="6" t="s">
        <v>91</v>
      </c>
      <c r="Y148" s="6" t="s">
        <v>91</v>
      </c>
      <c r="Z148" s="6" t="s">
        <v>56</v>
      </c>
      <c r="AA148" s="6" t="s">
        <v>91</v>
      </c>
      <c r="AB148" s="6">
        <v>1263.1500000000001</v>
      </c>
      <c r="AC148" s="6">
        <v>0</v>
      </c>
      <c r="AD148" s="6">
        <v>0</v>
      </c>
      <c r="AE148" s="6">
        <v>0</v>
      </c>
      <c r="AF148" s="6">
        <v>0</v>
      </c>
      <c r="AG148" s="6">
        <v>0</v>
      </c>
      <c r="AH148" s="6">
        <v>0</v>
      </c>
      <c r="AI148" s="6" t="s">
        <v>288</v>
      </c>
      <c r="AJ148" s="6" t="s">
        <v>257</v>
      </c>
      <c r="AK148" s="6" t="s">
        <v>16</v>
      </c>
      <c r="AL148" s="6" t="s">
        <v>48</v>
      </c>
      <c r="AM148" s="6" t="s">
        <v>258</v>
      </c>
      <c r="AN148" s="6" t="s">
        <v>20</v>
      </c>
      <c r="AO148" s="6" t="s">
        <v>272</v>
      </c>
      <c r="AP148" s="6" t="s">
        <v>273</v>
      </c>
      <c r="AQ148" s="6" t="s">
        <v>18</v>
      </c>
    </row>
    <row r="149" spans="1:43" x14ac:dyDescent="0.25">
      <c r="A149" s="6">
        <v>22859874</v>
      </c>
      <c r="B149" s="6">
        <v>23639913</v>
      </c>
      <c r="C149" s="6" t="s">
        <v>248</v>
      </c>
      <c r="D149" s="14">
        <v>45903.386192129627</v>
      </c>
      <c r="E149" s="14">
        <v>45903.389386574083</v>
      </c>
      <c r="F149" s="6" t="s">
        <v>23</v>
      </c>
      <c r="G149" s="6" t="s">
        <v>23</v>
      </c>
      <c r="H149" s="6">
        <v>19823673</v>
      </c>
      <c r="I149" s="6" t="s">
        <v>13</v>
      </c>
      <c r="J149" s="6" t="s">
        <v>743</v>
      </c>
      <c r="K149" s="6" t="s">
        <v>275</v>
      </c>
      <c r="L149" s="6" t="s">
        <v>275</v>
      </c>
      <c r="M149" s="14">
        <v>45902.500694444447</v>
      </c>
      <c r="N149" s="6">
        <v>4591443</v>
      </c>
      <c r="O149" s="6" t="s">
        <v>91</v>
      </c>
      <c r="P149" s="6" t="s">
        <v>276</v>
      </c>
      <c r="Q149" s="6" t="s">
        <v>253</v>
      </c>
      <c r="R149" s="6" t="s">
        <v>253</v>
      </c>
      <c r="S149" s="6" t="s">
        <v>9</v>
      </c>
      <c r="T149" s="6" t="s">
        <v>254</v>
      </c>
      <c r="U149" s="6" t="s">
        <v>185</v>
      </c>
      <c r="V149" s="6" t="s">
        <v>744</v>
      </c>
      <c r="W149" s="6" t="s">
        <v>91</v>
      </c>
      <c r="X149" s="6" t="s">
        <v>91</v>
      </c>
      <c r="Y149" s="6" t="s">
        <v>91</v>
      </c>
      <c r="Z149" s="6" t="s">
        <v>74</v>
      </c>
      <c r="AA149" s="6" t="s">
        <v>91</v>
      </c>
      <c r="AB149" s="6">
        <v>1273.28</v>
      </c>
      <c r="AC149" s="6">
        <v>63.68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745</v>
      </c>
      <c r="AJ149" s="6" t="s">
        <v>257</v>
      </c>
      <c r="AK149" s="6" t="s">
        <v>13</v>
      </c>
      <c r="AL149" s="6" t="s">
        <v>48</v>
      </c>
      <c r="AM149" s="6" t="s">
        <v>258</v>
      </c>
      <c r="AN149" s="6" t="s">
        <v>20</v>
      </c>
      <c r="AO149" s="6" t="s">
        <v>259</v>
      </c>
      <c r="AP149" s="6" t="s">
        <v>260</v>
      </c>
      <c r="AQ149" s="6" t="s">
        <v>31</v>
      </c>
    </row>
    <row r="150" spans="1:43" x14ac:dyDescent="0.25">
      <c r="A150" s="6">
        <v>22905429</v>
      </c>
      <c r="B150" s="6">
        <v>23679366</v>
      </c>
      <c r="C150" s="6" t="s">
        <v>248</v>
      </c>
      <c r="D150" s="14">
        <v>45910.933877314812</v>
      </c>
      <c r="E150" s="14">
        <v>45910.935173611113</v>
      </c>
      <c r="F150" s="6" t="s">
        <v>17</v>
      </c>
      <c r="G150" s="6" t="s">
        <v>17</v>
      </c>
      <c r="H150" s="6" t="s">
        <v>746</v>
      </c>
      <c r="I150" s="6" t="s">
        <v>16</v>
      </c>
      <c r="J150" s="6" t="s">
        <v>747</v>
      </c>
      <c r="K150" s="6" t="s">
        <v>369</v>
      </c>
      <c r="L150" s="6" t="s">
        <v>369</v>
      </c>
      <c r="M150" s="14">
        <v>45909.311111111107</v>
      </c>
      <c r="N150" s="6" t="s">
        <v>91</v>
      </c>
      <c r="O150" s="6" t="s">
        <v>91</v>
      </c>
      <c r="P150" s="6" t="s">
        <v>276</v>
      </c>
      <c r="Q150" s="6" t="s">
        <v>253</v>
      </c>
      <c r="R150" s="6" t="s">
        <v>253</v>
      </c>
      <c r="S150" s="6" t="s">
        <v>9</v>
      </c>
      <c r="T150" s="6" t="s">
        <v>254</v>
      </c>
      <c r="U150" s="6" t="s">
        <v>173</v>
      </c>
      <c r="V150" s="6" t="s">
        <v>748</v>
      </c>
      <c r="W150" s="6" t="s">
        <v>91</v>
      </c>
      <c r="X150" s="6" t="s">
        <v>91</v>
      </c>
      <c r="Y150" s="6" t="s">
        <v>91</v>
      </c>
      <c r="Z150" s="6" t="s">
        <v>103</v>
      </c>
      <c r="AA150" s="6" t="s">
        <v>91</v>
      </c>
      <c r="AB150" s="6">
        <v>3408.636</v>
      </c>
      <c r="AC150" s="6">
        <v>8.4499999999999993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288</v>
      </c>
      <c r="AJ150" s="6" t="s">
        <v>257</v>
      </c>
      <c r="AK150" s="6" t="s">
        <v>16</v>
      </c>
      <c r="AL150" s="6" t="s">
        <v>48</v>
      </c>
      <c r="AM150" s="6" t="s">
        <v>258</v>
      </c>
      <c r="AN150" s="6" t="s">
        <v>20</v>
      </c>
      <c r="AO150" s="6" t="s">
        <v>259</v>
      </c>
      <c r="AP150" s="6" t="s">
        <v>260</v>
      </c>
      <c r="AQ150" s="6" t="s">
        <v>31</v>
      </c>
    </row>
    <row r="151" spans="1:43" x14ac:dyDescent="0.25">
      <c r="A151" s="6">
        <v>22901417</v>
      </c>
      <c r="B151" s="6">
        <v>23675579</v>
      </c>
      <c r="C151" s="6" t="s">
        <v>248</v>
      </c>
      <c r="D151" s="14">
        <v>45910.502488425933</v>
      </c>
      <c r="E151" s="14">
        <v>45910.505671296298</v>
      </c>
      <c r="F151" s="6" t="s">
        <v>17</v>
      </c>
      <c r="G151" s="6" t="s">
        <v>17</v>
      </c>
      <c r="H151" s="6" t="s">
        <v>749</v>
      </c>
      <c r="I151" s="6" t="s">
        <v>14</v>
      </c>
      <c r="J151" s="6" t="s">
        <v>750</v>
      </c>
      <c r="K151" s="6" t="s">
        <v>751</v>
      </c>
      <c r="L151" s="6" t="s">
        <v>751</v>
      </c>
      <c r="M151" s="14">
        <v>45909</v>
      </c>
      <c r="N151" s="6">
        <v>17497766</v>
      </c>
      <c r="O151" s="6" t="s">
        <v>91</v>
      </c>
      <c r="P151" s="6" t="s">
        <v>276</v>
      </c>
      <c r="Q151" s="6" t="s">
        <v>253</v>
      </c>
      <c r="R151" s="6" t="s">
        <v>253</v>
      </c>
      <c r="S151" s="6" t="s">
        <v>9</v>
      </c>
      <c r="T151" s="6" t="s">
        <v>254</v>
      </c>
      <c r="U151" s="6" t="s">
        <v>124</v>
      </c>
      <c r="V151" s="6" t="s">
        <v>752</v>
      </c>
      <c r="W151" s="6" t="s">
        <v>91</v>
      </c>
      <c r="X151" s="6" t="s">
        <v>91</v>
      </c>
      <c r="Y151" s="6" t="s">
        <v>91</v>
      </c>
      <c r="Z151" s="6" t="s">
        <v>66</v>
      </c>
      <c r="AA151" s="6" t="s">
        <v>91</v>
      </c>
      <c r="AB151" s="6">
        <v>408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753</v>
      </c>
      <c r="AJ151" s="6" t="s">
        <v>257</v>
      </c>
      <c r="AK151" s="6" t="s">
        <v>14</v>
      </c>
      <c r="AL151" s="6" t="s">
        <v>48</v>
      </c>
      <c r="AM151" s="6" t="s">
        <v>258</v>
      </c>
      <c r="AN151" s="6" t="s">
        <v>20</v>
      </c>
      <c r="AO151" s="6" t="s">
        <v>272</v>
      </c>
      <c r="AP151" s="6" t="s">
        <v>273</v>
      </c>
      <c r="AQ151" s="6" t="s">
        <v>18</v>
      </c>
    </row>
    <row r="152" spans="1:43" x14ac:dyDescent="0.25">
      <c r="A152" s="6">
        <v>22895866</v>
      </c>
      <c r="B152" s="6">
        <v>23670829</v>
      </c>
      <c r="C152" s="6" t="s">
        <v>248</v>
      </c>
      <c r="D152" s="14">
        <v>45909.585277777784</v>
      </c>
      <c r="E152" s="14">
        <v>45909.588553240741</v>
      </c>
      <c r="F152" s="6" t="s">
        <v>19</v>
      </c>
      <c r="G152" s="6" t="s">
        <v>19</v>
      </c>
      <c r="H152" s="6" t="s">
        <v>754</v>
      </c>
      <c r="I152" s="6" t="s">
        <v>14</v>
      </c>
      <c r="J152" s="6" t="s">
        <v>755</v>
      </c>
      <c r="K152" s="6" t="s">
        <v>751</v>
      </c>
      <c r="L152" s="6" t="s">
        <v>751</v>
      </c>
      <c r="M152" s="14">
        <v>45909</v>
      </c>
      <c r="N152" s="6">
        <v>17496736</v>
      </c>
      <c r="O152" s="6" t="s">
        <v>91</v>
      </c>
      <c r="P152" s="6" t="s">
        <v>276</v>
      </c>
      <c r="Q152" s="6" t="s">
        <v>253</v>
      </c>
      <c r="R152" s="6" t="s">
        <v>253</v>
      </c>
      <c r="S152" s="6" t="s">
        <v>9</v>
      </c>
      <c r="T152" s="6" t="s">
        <v>254</v>
      </c>
      <c r="U152" s="6" t="s">
        <v>124</v>
      </c>
      <c r="V152" s="6" t="s">
        <v>752</v>
      </c>
      <c r="W152" s="6" t="s">
        <v>91</v>
      </c>
      <c r="X152" s="6" t="s">
        <v>91</v>
      </c>
      <c r="Y152" s="6" t="s">
        <v>91</v>
      </c>
      <c r="Z152" s="6" t="s">
        <v>66</v>
      </c>
      <c r="AA152" s="6" t="s">
        <v>91</v>
      </c>
      <c r="AB152" s="6">
        <v>386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756</v>
      </c>
      <c r="AJ152" s="6" t="s">
        <v>257</v>
      </c>
      <c r="AK152" s="6" t="s">
        <v>14</v>
      </c>
      <c r="AL152" s="6" t="s">
        <v>48</v>
      </c>
      <c r="AM152" s="6" t="s">
        <v>258</v>
      </c>
      <c r="AN152" s="6" t="s">
        <v>20</v>
      </c>
      <c r="AO152" s="6" t="s">
        <v>272</v>
      </c>
      <c r="AP152" s="6" t="s">
        <v>273</v>
      </c>
      <c r="AQ152" s="6" t="s">
        <v>18</v>
      </c>
    </row>
    <row r="153" spans="1:43" x14ac:dyDescent="0.25">
      <c r="A153" s="6">
        <v>22889444</v>
      </c>
      <c r="B153" s="6">
        <v>23664935</v>
      </c>
      <c r="C153" s="6" t="s">
        <v>248</v>
      </c>
      <c r="D153" s="14">
        <v>45908.58494212963</v>
      </c>
      <c r="E153" s="14">
        <v>45908.588090277779</v>
      </c>
      <c r="F153" s="6" t="s">
        <v>19</v>
      </c>
      <c r="G153" s="6" t="s">
        <v>19</v>
      </c>
      <c r="H153" s="6" t="s">
        <v>757</v>
      </c>
      <c r="I153" s="6" t="s">
        <v>14</v>
      </c>
      <c r="J153" s="6" t="s">
        <v>758</v>
      </c>
      <c r="K153" s="6" t="s">
        <v>751</v>
      </c>
      <c r="L153" s="6" t="s">
        <v>751</v>
      </c>
      <c r="M153" s="14">
        <v>45908</v>
      </c>
      <c r="N153" s="6">
        <v>17484878</v>
      </c>
      <c r="O153" s="6" t="s">
        <v>91</v>
      </c>
      <c r="P153" s="6" t="s">
        <v>276</v>
      </c>
      <c r="Q153" s="6" t="s">
        <v>253</v>
      </c>
      <c r="R153" s="6" t="s">
        <v>253</v>
      </c>
      <c r="S153" s="6" t="s">
        <v>9</v>
      </c>
      <c r="T153" s="6" t="s">
        <v>254</v>
      </c>
      <c r="U153" s="6" t="s">
        <v>124</v>
      </c>
      <c r="V153" s="6" t="s">
        <v>752</v>
      </c>
      <c r="W153" s="6" t="s">
        <v>91</v>
      </c>
      <c r="X153" s="6" t="s">
        <v>91</v>
      </c>
      <c r="Y153" s="6" t="s">
        <v>91</v>
      </c>
      <c r="Z153" s="6" t="s">
        <v>66</v>
      </c>
      <c r="AA153" s="6" t="s">
        <v>91</v>
      </c>
      <c r="AB153" s="6">
        <v>436.96</v>
      </c>
      <c r="AC153" s="6">
        <v>0</v>
      </c>
      <c r="AD153" s="6">
        <v>0</v>
      </c>
      <c r="AE153" s="6">
        <v>0</v>
      </c>
      <c r="AF153" s="6">
        <v>0</v>
      </c>
      <c r="AG153" s="6">
        <v>21.85</v>
      </c>
      <c r="AH153" s="6">
        <v>0</v>
      </c>
      <c r="AI153" s="6" t="s">
        <v>759</v>
      </c>
      <c r="AJ153" s="6" t="s">
        <v>257</v>
      </c>
      <c r="AK153" s="6" t="s">
        <v>14</v>
      </c>
      <c r="AL153" s="6" t="s">
        <v>48</v>
      </c>
      <c r="AM153" s="6" t="s">
        <v>258</v>
      </c>
      <c r="AN153" s="6" t="s">
        <v>20</v>
      </c>
      <c r="AO153" s="6" t="s">
        <v>272</v>
      </c>
      <c r="AP153" s="6" t="s">
        <v>273</v>
      </c>
      <c r="AQ153" s="6" t="s">
        <v>18</v>
      </c>
    </row>
    <row r="154" spans="1:43" x14ac:dyDescent="0.25">
      <c r="A154" s="6">
        <v>22897842</v>
      </c>
      <c r="B154" s="6">
        <v>23672730</v>
      </c>
      <c r="C154" s="6" t="s">
        <v>248</v>
      </c>
      <c r="D154" s="14">
        <v>45909.792627314811</v>
      </c>
      <c r="E154" s="14">
        <v>45909.796689814822</v>
      </c>
      <c r="F154" s="6" t="s">
        <v>19</v>
      </c>
      <c r="G154" s="6" t="s">
        <v>19</v>
      </c>
      <c r="H154" s="6" t="s">
        <v>760</v>
      </c>
      <c r="I154" s="6" t="s">
        <v>14</v>
      </c>
      <c r="J154" s="6" t="s">
        <v>761</v>
      </c>
      <c r="K154" s="6" t="s">
        <v>751</v>
      </c>
      <c r="L154" s="6" t="s">
        <v>751</v>
      </c>
      <c r="M154" s="14">
        <v>45905</v>
      </c>
      <c r="N154" s="6">
        <v>17476838</v>
      </c>
      <c r="O154" s="6" t="s">
        <v>91</v>
      </c>
      <c r="P154" s="6" t="s">
        <v>276</v>
      </c>
      <c r="Q154" s="6" t="s">
        <v>253</v>
      </c>
      <c r="R154" s="6" t="s">
        <v>253</v>
      </c>
      <c r="S154" s="6" t="s">
        <v>9</v>
      </c>
      <c r="T154" s="6" t="s">
        <v>254</v>
      </c>
      <c r="U154" s="6" t="s">
        <v>124</v>
      </c>
      <c r="V154" s="6" t="s">
        <v>752</v>
      </c>
      <c r="W154" s="6" t="s">
        <v>91</v>
      </c>
      <c r="X154" s="6" t="s">
        <v>91</v>
      </c>
      <c r="Y154" s="6" t="s">
        <v>91</v>
      </c>
      <c r="Z154" s="6" t="s">
        <v>66</v>
      </c>
      <c r="AA154" s="6" t="s">
        <v>91</v>
      </c>
      <c r="AB154" s="6">
        <v>310.98</v>
      </c>
      <c r="AC154" s="6">
        <v>0</v>
      </c>
      <c r="AD154" s="6">
        <v>0</v>
      </c>
      <c r="AE154" s="6">
        <v>0</v>
      </c>
      <c r="AF154" s="6">
        <v>0</v>
      </c>
      <c r="AG154" s="6">
        <v>0</v>
      </c>
      <c r="AH154" s="6">
        <v>0</v>
      </c>
      <c r="AI154" s="6" t="s">
        <v>762</v>
      </c>
      <c r="AJ154" s="6" t="s">
        <v>257</v>
      </c>
      <c r="AK154" s="6" t="s">
        <v>14</v>
      </c>
      <c r="AL154" s="6" t="s">
        <v>48</v>
      </c>
      <c r="AM154" s="6" t="s">
        <v>258</v>
      </c>
      <c r="AN154" s="6" t="s">
        <v>20</v>
      </c>
      <c r="AO154" s="6" t="s">
        <v>272</v>
      </c>
      <c r="AP154" s="6" t="s">
        <v>273</v>
      </c>
      <c r="AQ154" s="6" t="s">
        <v>18</v>
      </c>
    </row>
    <row r="155" spans="1:43" x14ac:dyDescent="0.25">
      <c r="A155" s="6">
        <v>22889051</v>
      </c>
      <c r="B155" s="6">
        <v>23664542</v>
      </c>
      <c r="C155" s="6" t="s">
        <v>248</v>
      </c>
      <c r="D155" s="14">
        <v>45908.543055555558</v>
      </c>
      <c r="E155" s="14">
        <v>45908.551412037043</v>
      </c>
      <c r="F155" s="6" t="s">
        <v>19</v>
      </c>
      <c r="G155" s="6" t="s">
        <v>19</v>
      </c>
      <c r="H155" s="6" t="s">
        <v>763</v>
      </c>
      <c r="I155" s="6" t="s">
        <v>14</v>
      </c>
      <c r="J155" s="6" t="s">
        <v>764</v>
      </c>
      <c r="K155" s="6" t="s">
        <v>751</v>
      </c>
      <c r="L155" s="6" t="s">
        <v>751</v>
      </c>
      <c r="M155" s="14">
        <v>45908</v>
      </c>
      <c r="N155" s="6">
        <v>17484254</v>
      </c>
      <c r="O155" s="6" t="s">
        <v>91</v>
      </c>
      <c r="P155" s="6" t="s">
        <v>276</v>
      </c>
      <c r="Q155" s="6" t="s">
        <v>253</v>
      </c>
      <c r="R155" s="6" t="s">
        <v>253</v>
      </c>
      <c r="S155" s="6" t="s">
        <v>9</v>
      </c>
      <c r="T155" s="6" t="s">
        <v>254</v>
      </c>
      <c r="U155" s="6" t="s">
        <v>124</v>
      </c>
      <c r="V155" s="6" t="s">
        <v>752</v>
      </c>
      <c r="W155" s="6" t="s">
        <v>91</v>
      </c>
      <c r="X155" s="6" t="s">
        <v>91</v>
      </c>
      <c r="Y155" s="6" t="s">
        <v>91</v>
      </c>
      <c r="Z155" s="6" t="s">
        <v>66</v>
      </c>
      <c r="AA155" s="6" t="s">
        <v>91</v>
      </c>
      <c r="AB155" s="6">
        <v>2480</v>
      </c>
      <c r="AC155" s="6">
        <v>0</v>
      </c>
      <c r="AD155" s="6">
        <v>0</v>
      </c>
      <c r="AE155" s="6">
        <v>0</v>
      </c>
      <c r="AF155" s="6">
        <v>0</v>
      </c>
      <c r="AG155" s="6">
        <v>372</v>
      </c>
      <c r="AH155" s="6">
        <v>0</v>
      </c>
      <c r="AI155" s="6" t="s">
        <v>765</v>
      </c>
      <c r="AJ155" s="6" t="s">
        <v>257</v>
      </c>
      <c r="AK155" s="6" t="s">
        <v>14</v>
      </c>
      <c r="AL155" s="6" t="s">
        <v>48</v>
      </c>
      <c r="AM155" s="6" t="s">
        <v>258</v>
      </c>
      <c r="AN155" s="6" t="s">
        <v>20</v>
      </c>
      <c r="AO155" s="6" t="s">
        <v>272</v>
      </c>
      <c r="AP155" s="6" t="s">
        <v>273</v>
      </c>
      <c r="AQ155" s="6" t="s">
        <v>18</v>
      </c>
    </row>
    <row r="156" spans="1:43" x14ac:dyDescent="0.25">
      <c r="A156" s="6">
        <v>22889052</v>
      </c>
      <c r="B156" s="6">
        <v>23664544</v>
      </c>
      <c r="C156" s="6" t="s">
        <v>248</v>
      </c>
      <c r="D156" s="14">
        <v>45908.543078703697</v>
      </c>
      <c r="E156" s="14">
        <v>45908.551423611112</v>
      </c>
      <c r="F156" s="6" t="s">
        <v>19</v>
      </c>
      <c r="G156" s="6" t="s">
        <v>19</v>
      </c>
      <c r="H156" s="6" t="s">
        <v>766</v>
      </c>
      <c r="I156" s="6" t="s">
        <v>14</v>
      </c>
      <c r="J156" s="6" t="s">
        <v>767</v>
      </c>
      <c r="K156" s="6" t="s">
        <v>751</v>
      </c>
      <c r="L156" s="6" t="s">
        <v>751</v>
      </c>
      <c r="M156" s="14">
        <v>45908</v>
      </c>
      <c r="N156" s="6">
        <v>17484280</v>
      </c>
      <c r="O156" s="6" t="s">
        <v>91</v>
      </c>
      <c r="P156" s="6" t="s">
        <v>276</v>
      </c>
      <c r="Q156" s="6" t="s">
        <v>253</v>
      </c>
      <c r="R156" s="6" t="s">
        <v>253</v>
      </c>
      <c r="S156" s="6" t="s">
        <v>9</v>
      </c>
      <c r="T156" s="6" t="s">
        <v>254</v>
      </c>
      <c r="U156" s="6" t="s">
        <v>124</v>
      </c>
      <c r="V156" s="6" t="s">
        <v>752</v>
      </c>
      <c r="W156" s="6" t="s">
        <v>91</v>
      </c>
      <c r="X156" s="6" t="s">
        <v>91</v>
      </c>
      <c r="Y156" s="6" t="s">
        <v>91</v>
      </c>
      <c r="Z156" s="6" t="s">
        <v>66</v>
      </c>
      <c r="AA156" s="6" t="s">
        <v>91</v>
      </c>
      <c r="AB156" s="6">
        <v>5040</v>
      </c>
      <c r="AC156" s="6">
        <v>0</v>
      </c>
      <c r="AD156" s="6">
        <v>0</v>
      </c>
      <c r="AE156" s="6">
        <v>0</v>
      </c>
      <c r="AF156" s="6">
        <v>0</v>
      </c>
      <c r="AG156" s="6">
        <v>756</v>
      </c>
      <c r="AH156" s="6">
        <v>0</v>
      </c>
      <c r="AI156" s="6" t="s">
        <v>768</v>
      </c>
      <c r="AJ156" s="6" t="s">
        <v>257</v>
      </c>
      <c r="AK156" s="6" t="s">
        <v>14</v>
      </c>
      <c r="AL156" s="6" t="s">
        <v>48</v>
      </c>
      <c r="AM156" s="6" t="s">
        <v>258</v>
      </c>
      <c r="AN156" s="6" t="s">
        <v>20</v>
      </c>
      <c r="AO156" s="6" t="s">
        <v>272</v>
      </c>
      <c r="AP156" s="6" t="s">
        <v>273</v>
      </c>
      <c r="AQ156" s="6" t="s">
        <v>18</v>
      </c>
    </row>
    <row r="157" spans="1:43" x14ac:dyDescent="0.25">
      <c r="A157" s="6">
        <v>22889056</v>
      </c>
      <c r="B157" s="6">
        <v>23664548</v>
      </c>
      <c r="C157" s="6" t="s">
        <v>248</v>
      </c>
      <c r="D157" s="14">
        <v>45908.543206018519</v>
      </c>
      <c r="E157" s="14">
        <v>45908.551516203697</v>
      </c>
      <c r="F157" s="6" t="s">
        <v>19</v>
      </c>
      <c r="G157" s="6" t="s">
        <v>19</v>
      </c>
      <c r="H157" s="6" t="s">
        <v>769</v>
      </c>
      <c r="I157" s="6" t="s">
        <v>14</v>
      </c>
      <c r="J157" s="6" t="s">
        <v>770</v>
      </c>
      <c r="K157" s="6" t="s">
        <v>751</v>
      </c>
      <c r="L157" s="6" t="s">
        <v>751</v>
      </c>
      <c r="M157" s="14">
        <v>45908</v>
      </c>
      <c r="N157" s="6">
        <v>17484483</v>
      </c>
      <c r="O157" s="6" t="s">
        <v>91</v>
      </c>
      <c r="P157" s="6" t="s">
        <v>276</v>
      </c>
      <c r="Q157" s="6" t="s">
        <v>253</v>
      </c>
      <c r="R157" s="6" t="s">
        <v>253</v>
      </c>
      <c r="S157" s="6" t="s">
        <v>9</v>
      </c>
      <c r="T157" s="6" t="s">
        <v>254</v>
      </c>
      <c r="U157" s="6" t="s">
        <v>124</v>
      </c>
      <c r="V157" s="6" t="s">
        <v>752</v>
      </c>
      <c r="W157" s="6" t="s">
        <v>91</v>
      </c>
      <c r="X157" s="6" t="s">
        <v>91</v>
      </c>
      <c r="Y157" s="6" t="s">
        <v>91</v>
      </c>
      <c r="Z157" s="6" t="s">
        <v>66</v>
      </c>
      <c r="AA157" s="6" t="s">
        <v>91</v>
      </c>
      <c r="AB157" s="6">
        <v>2170</v>
      </c>
      <c r="AC157" s="6">
        <v>0</v>
      </c>
      <c r="AD157" s="6">
        <v>0</v>
      </c>
      <c r="AE157" s="6">
        <v>0</v>
      </c>
      <c r="AF157" s="6">
        <v>0</v>
      </c>
      <c r="AG157" s="6">
        <v>325.5</v>
      </c>
      <c r="AH157" s="6">
        <v>0</v>
      </c>
      <c r="AI157" s="6" t="s">
        <v>771</v>
      </c>
      <c r="AJ157" s="6" t="s">
        <v>257</v>
      </c>
      <c r="AK157" s="6" t="s">
        <v>14</v>
      </c>
      <c r="AL157" s="6" t="s">
        <v>48</v>
      </c>
      <c r="AM157" s="6" t="s">
        <v>258</v>
      </c>
      <c r="AN157" s="6" t="s">
        <v>20</v>
      </c>
      <c r="AO157" s="6" t="s">
        <v>272</v>
      </c>
      <c r="AP157" s="6" t="s">
        <v>273</v>
      </c>
      <c r="AQ157" s="6" t="s">
        <v>18</v>
      </c>
    </row>
    <row r="158" spans="1:43" x14ac:dyDescent="0.25">
      <c r="A158" s="6">
        <v>22850867</v>
      </c>
      <c r="B158" s="6">
        <v>23632278</v>
      </c>
      <c r="C158" s="6" t="s">
        <v>248</v>
      </c>
      <c r="D158" s="14">
        <v>45901.893379629633</v>
      </c>
      <c r="E158" s="14">
        <v>45901.93550925926</v>
      </c>
      <c r="F158" s="6" t="s">
        <v>23</v>
      </c>
      <c r="G158" s="6" t="s">
        <v>23</v>
      </c>
      <c r="H158" s="6" t="s">
        <v>772</v>
      </c>
      <c r="I158" s="6" t="s">
        <v>14</v>
      </c>
      <c r="J158" s="6" t="s">
        <v>773</v>
      </c>
      <c r="K158" s="6" t="s">
        <v>751</v>
      </c>
      <c r="L158" s="6" t="s">
        <v>751</v>
      </c>
      <c r="M158" s="14">
        <v>45899</v>
      </c>
      <c r="N158" s="6">
        <v>17419331</v>
      </c>
      <c r="O158" s="6" t="s">
        <v>91</v>
      </c>
      <c r="P158" s="6" t="s">
        <v>276</v>
      </c>
      <c r="Q158" s="6" t="s">
        <v>253</v>
      </c>
      <c r="R158" s="6" t="s">
        <v>253</v>
      </c>
      <c r="S158" s="6" t="s">
        <v>9</v>
      </c>
      <c r="T158" s="6" t="s">
        <v>254</v>
      </c>
      <c r="U158" s="6" t="s">
        <v>124</v>
      </c>
      <c r="V158" s="6" t="s">
        <v>752</v>
      </c>
      <c r="W158" s="6" t="s">
        <v>91</v>
      </c>
      <c r="X158" s="6" t="s">
        <v>91</v>
      </c>
      <c r="Y158" s="6" t="s">
        <v>91</v>
      </c>
      <c r="Z158" s="6" t="s">
        <v>66</v>
      </c>
      <c r="AA158" s="6" t="s">
        <v>91</v>
      </c>
      <c r="AB158" s="6">
        <v>5640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774</v>
      </c>
      <c r="AJ158" s="6" t="s">
        <v>257</v>
      </c>
      <c r="AK158" s="6" t="s">
        <v>14</v>
      </c>
      <c r="AL158" s="6" t="s">
        <v>48</v>
      </c>
      <c r="AM158" s="6" t="s">
        <v>258</v>
      </c>
      <c r="AN158" s="6" t="s">
        <v>20</v>
      </c>
      <c r="AO158" s="6" t="s">
        <v>272</v>
      </c>
      <c r="AP158" s="6" t="s">
        <v>273</v>
      </c>
      <c r="AQ158" s="6" t="s">
        <v>18</v>
      </c>
    </row>
    <row r="159" spans="1:43" x14ac:dyDescent="0.25">
      <c r="A159" s="6">
        <v>22869870</v>
      </c>
      <c r="B159" s="6">
        <v>23649153</v>
      </c>
      <c r="C159" s="6" t="s">
        <v>248</v>
      </c>
      <c r="D159" s="14">
        <v>45904.754386574074</v>
      </c>
      <c r="E159" s="14">
        <v>45904.7575462963</v>
      </c>
      <c r="F159" s="6" t="s">
        <v>21</v>
      </c>
      <c r="G159" s="6" t="s">
        <v>21</v>
      </c>
      <c r="H159" s="6" t="s">
        <v>775</v>
      </c>
      <c r="I159" s="6" t="s">
        <v>14</v>
      </c>
      <c r="J159" s="6" t="s">
        <v>776</v>
      </c>
      <c r="K159" s="6" t="s">
        <v>751</v>
      </c>
      <c r="L159" s="6" t="s">
        <v>751</v>
      </c>
      <c r="M159" s="14">
        <v>45904</v>
      </c>
      <c r="N159" s="6">
        <v>17464422</v>
      </c>
      <c r="O159" s="6" t="s">
        <v>91</v>
      </c>
      <c r="P159" s="6" t="s">
        <v>276</v>
      </c>
      <c r="Q159" s="6" t="s">
        <v>253</v>
      </c>
      <c r="R159" s="6" t="s">
        <v>253</v>
      </c>
      <c r="S159" s="6" t="s">
        <v>9</v>
      </c>
      <c r="T159" s="6" t="s">
        <v>254</v>
      </c>
      <c r="U159" s="6" t="s">
        <v>124</v>
      </c>
      <c r="V159" s="6" t="s">
        <v>752</v>
      </c>
      <c r="W159" s="6" t="s">
        <v>91</v>
      </c>
      <c r="X159" s="6" t="s">
        <v>91</v>
      </c>
      <c r="Y159" s="6" t="s">
        <v>91</v>
      </c>
      <c r="Z159" s="6" t="s">
        <v>66</v>
      </c>
      <c r="AA159" s="6" t="s">
        <v>91</v>
      </c>
      <c r="AB159" s="6">
        <v>847.83</v>
      </c>
      <c r="AC159" s="6">
        <v>0</v>
      </c>
      <c r="AD159" s="6">
        <v>0</v>
      </c>
      <c r="AE159" s="6">
        <v>0</v>
      </c>
      <c r="AF159" s="6">
        <v>0</v>
      </c>
      <c r="AG159" s="6">
        <v>42.39</v>
      </c>
      <c r="AH159" s="6">
        <v>0</v>
      </c>
      <c r="AI159" s="6" t="s">
        <v>777</v>
      </c>
      <c r="AJ159" s="6" t="s">
        <v>257</v>
      </c>
      <c r="AK159" s="6" t="s">
        <v>14</v>
      </c>
      <c r="AL159" s="6" t="s">
        <v>48</v>
      </c>
      <c r="AM159" s="6" t="s">
        <v>258</v>
      </c>
      <c r="AN159" s="6" t="s">
        <v>20</v>
      </c>
      <c r="AO159" s="6" t="s">
        <v>272</v>
      </c>
      <c r="AP159" s="6" t="s">
        <v>273</v>
      </c>
      <c r="AQ159" s="6" t="s">
        <v>18</v>
      </c>
    </row>
    <row r="160" spans="1:43" x14ac:dyDescent="0.25">
      <c r="A160" s="6">
        <v>22896921</v>
      </c>
      <c r="B160" s="6">
        <v>23671814</v>
      </c>
      <c r="C160" s="6" t="s">
        <v>248</v>
      </c>
      <c r="D160" s="14">
        <v>45909.750439814823</v>
      </c>
      <c r="E160" s="14">
        <v>45909.750555555547</v>
      </c>
      <c r="F160" s="6" t="s">
        <v>19</v>
      </c>
      <c r="G160" s="6" t="s">
        <v>19</v>
      </c>
      <c r="H160" s="6" t="s">
        <v>778</v>
      </c>
      <c r="I160" s="6" t="s">
        <v>14</v>
      </c>
      <c r="J160" s="6" t="s">
        <v>779</v>
      </c>
      <c r="K160" s="6" t="s">
        <v>780</v>
      </c>
      <c r="L160" s="6" t="s">
        <v>780</v>
      </c>
      <c r="M160" s="14">
        <v>45903.417361111111</v>
      </c>
      <c r="N160" s="6">
        <v>17442113</v>
      </c>
      <c r="O160" s="6" t="s">
        <v>91</v>
      </c>
      <c r="P160" s="6" t="s">
        <v>252</v>
      </c>
      <c r="Q160" s="6" t="s">
        <v>253</v>
      </c>
      <c r="R160" s="6" t="s">
        <v>253</v>
      </c>
      <c r="S160" s="6" t="s">
        <v>3</v>
      </c>
      <c r="T160" s="6" t="s">
        <v>254</v>
      </c>
      <c r="U160" s="6" t="s">
        <v>124</v>
      </c>
      <c r="V160" s="6" t="s">
        <v>752</v>
      </c>
      <c r="W160" s="6" t="s">
        <v>91</v>
      </c>
      <c r="X160" s="6" t="s">
        <v>91</v>
      </c>
      <c r="Y160" s="6" t="s">
        <v>91</v>
      </c>
      <c r="Z160" s="6" t="s">
        <v>66</v>
      </c>
      <c r="AA160" s="6" t="s">
        <v>91</v>
      </c>
      <c r="AB160" s="6">
        <v>270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 t="s">
        <v>781</v>
      </c>
      <c r="AJ160" s="6" t="s">
        <v>257</v>
      </c>
      <c r="AK160" s="6" t="s">
        <v>14</v>
      </c>
      <c r="AL160" s="6" t="s">
        <v>48</v>
      </c>
      <c r="AM160" s="6" t="s">
        <v>258</v>
      </c>
      <c r="AN160" s="6" t="s">
        <v>20</v>
      </c>
      <c r="AO160" s="6" t="s">
        <v>272</v>
      </c>
      <c r="AP160" s="6" t="s">
        <v>273</v>
      </c>
      <c r="AQ160" s="6" t="s">
        <v>18</v>
      </c>
    </row>
    <row r="161" spans="1:43" x14ac:dyDescent="0.25">
      <c r="A161" s="6">
        <v>22866664</v>
      </c>
      <c r="B161" s="6">
        <v>23645789</v>
      </c>
      <c r="C161" s="6" t="s">
        <v>248</v>
      </c>
      <c r="D161" s="14">
        <v>45904.358495370368</v>
      </c>
      <c r="E161" s="14">
        <v>45904.379594907397</v>
      </c>
      <c r="F161" s="6" t="s">
        <v>21</v>
      </c>
      <c r="G161" s="6" t="s">
        <v>21</v>
      </c>
      <c r="H161" s="6" t="s">
        <v>782</v>
      </c>
      <c r="I161" s="6" t="s">
        <v>14</v>
      </c>
      <c r="J161" s="6" t="s">
        <v>783</v>
      </c>
      <c r="K161" s="6" t="s">
        <v>780</v>
      </c>
      <c r="L161" s="6" t="s">
        <v>780</v>
      </c>
      <c r="M161" s="14">
        <v>45902</v>
      </c>
      <c r="N161" s="6">
        <v>17437366</v>
      </c>
      <c r="O161" s="6" t="s">
        <v>91</v>
      </c>
      <c r="P161" s="6" t="s">
        <v>276</v>
      </c>
      <c r="Q161" s="6" t="s">
        <v>268</v>
      </c>
      <c r="R161" s="6" t="s">
        <v>269</v>
      </c>
      <c r="S161" s="6" t="s">
        <v>9</v>
      </c>
      <c r="T161" s="6" t="s">
        <v>254</v>
      </c>
      <c r="U161" s="6" t="s">
        <v>124</v>
      </c>
      <c r="V161" s="6" t="s">
        <v>752</v>
      </c>
      <c r="W161" s="6" t="s">
        <v>91</v>
      </c>
      <c r="X161" s="6" t="s">
        <v>91</v>
      </c>
      <c r="Y161" s="6" t="s">
        <v>91</v>
      </c>
      <c r="Z161" s="6" t="s">
        <v>66</v>
      </c>
      <c r="AA161" s="6" t="s">
        <v>91</v>
      </c>
      <c r="AB161" s="6">
        <v>1982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 t="s">
        <v>784</v>
      </c>
      <c r="AJ161" s="6" t="s">
        <v>257</v>
      </c>
      <c r="AK161" s="6" t="s">
        <v>14</v>
      </c>
      <c r="AL161" s="6" t="s">
        <v>48</v>
      </c>
      <c r="AM161" s="6" t="s">
        <v>258</v>
      </c>
      <c r="AN161" s="6" t="s">
        <v>20</v>
      </c>
      <c r="AO161" s="6" t="s">
        <v>272</v>
      </c>
      <c r="AP161" s="6" t="s">
        <v>273</v>
      </c>
      <c r="AQ161" s="6" t="s">
        <v>18</v>
      </c>
    </row>
    <row r="162" spans="1:43" x14ac:dyDescent="0.25">
      <c r="A162" s="6">
        <v>22866665</v>
      </c>
      <c r="B162" s="6">
        <v>23645790</v>
      </c>
      <c r="C162" s="6" t="s">
        <v>248</v>
      </c>
      <c r="D162" s="14">
        <v>45904.358506944453</v>
      </c>
      <c r="E162" s="14">
        <v>45904.379606481481</v>
      </c>
      <c r="F162" s="6" t="s">
        <v>21</v>
      </c>
      <c r="G162" s="6" t="s">
        <v>21</v>
      </c>
      <c r="H162" s="6" t="s">
        <v>785</v>
      </c>
      <c r="I162" s="6" t="s">
        <v>14</v>
      </c>
      <c r="J162" s="6" t="s">
        <v>783</v>
      </c>
      <c r="K162" s="6" t="s">
        <v>780</v>
      </c>
      <c r="L162" s="6" t="s">
        <v>780</v>
      </c>
      <c r="M162" s="14">
        <v>45902</v>
      </c>
      <c r="N162" s="6">
        <v>17437366</v>
      </c>
      <c r="O162" s="6" t="s">
        <v>91</v>
      </c>
      <c r="P162" s="6" t="s">
        <v>276</v>
      </c>
      <c r="Q162" s="6" t="s">
        <v>268</v>
      </c>
      <c r="R162" s="6" t="s">
        <v>269</v>
      </c>
      <c r="S162" s="6" t="s">
        <v>9</v>
      </c>
      <c r="T162" s="6" t="s">
        <v>254</v>
      </c>
      <c r="U162" s="6" t="s">
        <v>124</v>
      </c>
      <c r="V162" s="6" t="s">
        <v>752</v>
      </c>
      <c r="W162" s="6" t="s">
        <v>91</v>
      </c>
      <c r="X162" s="6" t="s">
        <v>91</v>
      </c>
      <c r="Y162" s="6" t="s">
        <v>91</v>
      </c>
      <c r="Z162" s="6" t="s">
        <v>66</v>
      </c>
      <c r="AA162" s="6" t="s">
        <v>91</v>
      </c>
      <c r="AB162" s="6">
        <v>5298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 t="s">
        <v>784</v>
      </c>
      <c r="AJ162" s="6" t="s">
        <v>257</v>
      </c>
      <c r="AK162" s="6" t="s">
        <v>14</v>
      </c>
      <c r="AL162" s="6" t="s">
        <v>48</v>
      </c>
      <c r="AM162" s="6" t="s">
        <v>258</v>
      </c>
      <c r="AN162" s="6" t="s">
        <v>20</v>
      </c>
      <c r="AO162" s="6" t="s">
        <v>272</v>
      </c>
      <c r="AP162" s="6" t="s">
        <v>273</v>
      </c>
      <c r="AQ162" s="6" t="s">
        <v>18</v>
      </c>
    </row>
    <row r="163" spans="1:43" x14ac:dyDescent="0.25">
      <c r="A163" s="6">
        <v>22887716</v>
      </c>
      <c r="B163" s="6">
        <v>23663137</v>
      </c>
      <c r="C163" s="6" t="s">
        <v>248</v>
      </c>
      <c r="D163" s="14">
        <v>45908.417164351849</v>
      </c>
      <c r="E163" s="14">
        <v>45908.417719907397</v>
      </c>
      <c r="F163" s="6" t="s">
        <v>19</v>
      </c>
      <c r="G163" s="6" t="s">
        <v>19</v>
      </c>
      <c r="H163" s="6" t="s">
        <v>786</v>
      </c>
      <c r="I163" s="6" t="s">
        <v>14</v>
      </c>
      <c r="J163" s="6" t="s">
        <v>787</v>
      </c>
      <c r="K163" s="6" t="s">
        <v>780</v>
      </c>
      <c r="L163" s="6" t="s">
        <v>780</v>
      </c>
      <c r="M163" s="14">
        <v>45904.380555555559</v>
      </c>
      <c r="N163" s="6">
        <v>17456889</v>
      </c>
      <c r="O163" s="6" t="s">
        <v>91</v>
      </c>
      <c r="P163" s="6" t="s">
        <v>252</v>
      </c>
      <c r="Q163" s="6" t="s">
        <v>253</v>
      </c>
      <c r="R163" s="6" t="s">
        <v>253</v>
      </c>
      <c r="S163" s="6" t="s">
        <v>3</v>
      </c>
      <c r="T163" s="6" t="s">
        <v>254</v>
      </c>
      <c r="U163" s="6" t="s">
        <v>124</v>
      </c>
      <c r="V163" s="6" t="s">
        <v>752</v>
      </c>
      <c r="W163" s="6" t="s">
        <v>91</v>
      </c>
      <c r="X163" s="6" t="s">
        <v>91</v>
      </c>
      <c r="Y163" s="6" t="s">
        <v>91</v>
      </c>
      <c r="Z163" s="6" t="s">
        <v>66</v>
      </c>
      <c r="AA163" s="6" t="s">
        <v>91</v>
      </c>
      <c r="AB163" s="6">
        <v>130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  <c r="AI163" s="6" t="s">
        <v>788</v>
      </c>
      <c r="AJ163" s="6" t="s">
        <v>257</v>
      </c>
      <c r="AK163" s="6" t="s">
        <v>14</v>
      </c>
      <c r="AL163" s="6" t="s">
        <v>48</v>
      </c>
      <c r="AM163" s="6" t="s">
        <v>258</v>
      </c>
      <c r="AN163" s="6" t="s">
        <v>20</v>
      </c>
      <c r="AO163" s="6" t="s">
        <v>272</v>
      </c>
      <c r="AP163" s="6" t="s">
        <v>273</v>
      </c>
      <c r="AQ163" s="6" t="s">
        <v>18</v>
      </c>
    </row>
    <row r="164" spans="1:43" x14ac:dyDescent="0.25">
      <c r="A164" s="6">
        <v>22873318</v>
      </c>
      <c r="B164" s="6">
        <v>23651904</v>
      </c>
      <c r="C164" s="6" t="s">
        <v>248</v>
      </c>
      <c r="D164" s="14">
        <v>45905.335451388892</v>
      </c>
      <c r="E164" s="14">
        <v>45905.337824074071</v>
      </c>
      <c r="F164" s="6" t="s">
        <v>21</v>
      </c>
      <c r="G164" s="6" t="s">
        <v>21</v>
      </c>
      <c r="H164" s="6" t="s">
        <v>789</v>
      </c>
      <c r="I164" s="6" t="s">
        <v>14</v>
      </c>
      <c r="J164" s="6" t="s">
        <v>790</v>
      </c>
      <c r="K164" s="6" t="s">
        <v>780</v>
      </c>
      <c r="L164" s="6" t="s">
        <v>780</v>
      </c>
      <c r="M164" s="14">
        <v>45904.604861111111</v>
      </c>
      <c r="N164" s="6">
        <v>17461433</v>
      </c>
      <c r="O164" s="6" t="s">
        <v>91</v>
      </c>
      <c r="P164" s="6" t="s">
        <v>252</v>
      </c>
      <c r="Q164" s="6" t="s">
        <v>253</v>
      </c>
      <c r="R164" s="6" t="s">
        <v>253</v>
      </c>
      <c r="S164" s="6" t="s">
        <v>3</v>
      </c>
      <c r="T164" s="6" t="s">
        <v>254</v>
      </c>
      <c r="U164" s="6" t="s">
        <v>124</v>
      </c>
      <c r="V164" s="6" t="s">
        <v>752</v>
      </c>
      <c r="W164" s="6" t="s">
        <v>91</v>
      </c>
      <c r="X164" s="6" t="s">
        <v>91</v>
      </c>
      <c r="Y164" s="6" t="s">
        <v>91</v>
      </c>
      <c r="Z164" s="6" t="s">
        <v>66</v>
      </c>
      <c r="AA164" s="6" t="s">
        <v>91</v>
      </c>
      <c r="AB164" s="6">
        <v>8020.16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791</v>
      </c>
      <c r="AJ164" s="6" t="s">
        <v>257</v>
      </c>
      <c r="AK164" s="6" t="s">
        <v>14</v>
      </c>
      <c r="AL164" s="6" t="s">
        <v>48</v>
      </c>
      <c r="AM164" s="6" t="s">
        <v>258</v>
      </c>
      <c r="AN164" s="6" t="s">
        <v>20</v>
      </c>
      <c r="AO164" s="6" t="s">
        <v>272</v>
      </c>
      <c r="AP164" s="6" t="s">
        <v>273</v>
      </c>
      <c r="AQ164" s="6" t="s">
        <v>18</v>
      </c>
    </row>
    <row r="165" spans="1:43" x14ac:dyDescent="0.25">
      <c r="A165" s="6">
        <v>22849448</v>
      </c>
      <c r="B165" s="6">
        <v>23631017</v>
      </c>
      <c r="C165" s="6" t="s">
        <v>248</v>
      </c>
      <c r="D165" s="14">
        <v>45901.750474537039</v>
      </c>
      <c r="E165" s="14">
        <v>45901.750601851847</v>
      </c>
      <c r="F165" s="6" t="s">
        <v>23</v>
      </c>
      <c r="G165" s="6" t="s">
        <v>23</v>
      </c>
      <c r="H165" s="6" t="s">
        <v>792</v>
      </c>
      <c r="I165" s="6" t="s">
        <v>14</v>
      </c>
      <c r="J165" s="6" t="s">
        <v>793</v>
      </c>
      <c r="K165" s="6" t="s">
        <v>780</v>
      </c>
      <c r="L165" s="6" t="s">
        <v>780</v>
      </c>
      <c r="M165" s="14">
        <v>45901</v>
      </c>
      <c r="N165" s="6">
        <v>17412128</v>
      </c>
      <c r="O165" s="6" t="s">
        <v>91</v>
      </c>
      <c r="P165" s="6" t="s">
        <v>276</v>
      </c>
      <c r="Q165" s="6" t="s">
        <v>268</v>
      </c>
      <c r="R165" s="6" t="s">
        <v>269</v>
      </c>
      <c r="S165" s="6" t="s">
        <v>9</v>
      </c>
      <c r="T165" s="6" t="s">
        <v>254</v>
      </c>
      <c r="U165" s="6" t="s">
        <v>124</v>
      </c>
      <c r="V165" s="6" t="s">
        <v>752</v>
      </c>
      <c r="W165" s="6" t="s">
        <v>91</v>
      </c>
      <c r="X165" s="6" t="s">
        <v>91</v>
      </c>
      <c r="Y165" s="6" t="s">
        <v>91</v>
      </c>
      <c r="Z165" s="6" t="s">
        <v>66</v>
      </c>
      <c r="AA165" s="6" t="s">
        <v>91</v>
      </c>
      <c r="AB165" s="6">
        <v>11947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794</v>
      </c>
      <c r="AJ165" s="6" t="s">
        <v>257</v>
      </c>
      <c r="AK165" s="6" t="s">
        <v>14</v>
      </c>
      <c r="AL165" s="6" t="s">
        <v>48</v>
      </c>
      <c r="AM165" s="6" t="s">
        <v>258</v>
      </c>
      <c r="AN165" s="6" t="s">
        <v>20</v>
      </c>
      <c r="AO165" s="6" t="s">
        <v>272</v>
      </c>
      <c r="AP165" s="6" t="s">
        <v>273</v>
      </c>
      <c r="AQ165" s="6" t="s">
        <v>18</v>
      </c>
    </row>
    <row r="166" spans="1:43" x14ac:dyDescent="0.25">
      <c r="A166" s="6">
        <v>22866179</v>
      </c>
      <c r="B166" s="6">
        <v>23645367</v>
      </c>
      <c r="C166" s="6" t="s">
        <v>248</v>
      </c>
      <c r="D166" s="14">
        <v>45904.314942129633</v>
      </c>
      <c r="E166" s="14">
        <v>45904.321423611109</v>
      </c>
      <c r="F166" s="6" t="s">
        <v>21</v>
      </c>
      <c r="G166" s="6" t="s">
        <v>21</v>
      </c>
      <c r="H166" s="6" t="s">
        <v>795</v>
      </c>
      <c r="I166" s="6" t="s">
        <v>14</v>
      </c>
      <c r="J166" s="6" t="s">
        <v>796</v>
      </c>
      <c r="K166" s="6" t="s">
        <v>780</v>
      </c>
      <c r="L166" s="6" t="s">
        <v>780</v>
      </c>
      <c r="M166" s="14">
        <v>45903</v>
      </c>
      <c r="N166" s="6">
        <v>17439326</v>
      </c>
      <c r="O166" s="6" t="s">
        <v>91</v>
      </c>
      <c r="P166" s="6" t="s">
        <v>276</v>
      </c>
      <c r="Q166" s="6" t="s">
        <v>268</v>
      </c>
      <c r="R166" s="6" t="s">
        <v>269</v>
      </c>
      <c r="S166" s="6" t="s">
        <v>9</v>
      </c>
      <c r="T166" s="6" t="s">
        <v>254</v>
      </c>
      <c r="U166" s="6" t="s">
        <v>124</v>
      </c>
      <c r="V166" s="6" t="s">
        <v>752</v>
      </c>
      <c r="W166" s="6" t="s">
        <v>91</v>
      </c>
      <c r="X166" s="6" t="s">
        <v>91</v>
      </c>
      <c r="Y166" s="6" t="s">
        <v>91</v>
      </c>
      <c r="Z166" s="6" t="s">
        <v>66</v>
      </c>
      <c r="AA166" s="6" t="s">
        <v>91</v>
      </c>
      <c r="AB166" s="6">
        <v>1288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797</v>
      </c>
      <c r="AJ166" s="6" t="s">
        <v>257</v>
      </c>
      <c r="AK166" s="6" t="s">
        <v>14</v>
      </c>
      <c r="AL166" s="6" t="s">
        <v>48</v>
      </c>
      <c r="AM166" s="6" t="s">
        <v>258</v>
      </c>
      <c r="AN166" s="6" t="s">
        <v>20</v>
      </c>
      <c r="AO166" s="6" t="s">
        <v>272</v>
      </c>
      <c r="AP166" s="6" t="s">
        <v>273</v>
      </c>
      <c r="AQ166" s="6" t="s">
        <v>18</v>
      </c>
    </row>
    <row r="167" spans="1:43" x14ac:dyDescent="0.25">
      <c r="A167" s="6">
        <v>22866204</v>
      </c>
      <c r="B167" s="6">
        <v>23645392</v>
      </c>
      <c r="C167" s="6" t="s">
        <v>248</v>
      </c>
      <c r="D167" s="14">
        <v>45904.315405092602</v>
      </c>
      <c r="E167" s="14">
        <v>45904.322106481479</v>
      </c>
      <c r="F167" s="6" t="s">
        <v>21</v>
      </c>
      <c r="G167" s="6" t="s">
        <v>21</v>
      </c>
      <c r="H167" s="6" t="s">
        <v>798</v>
      </c>
      <c r="I167" s="6" t="s">
        <v>14</v>
      </c>
      <c r="J167" s="6" t="s">
        <v>799</v>
      </c>
      <c r="K167" s="6" t="s">
        <v>780</v>
      </c>
      <c r="L167" s="6" t="s">
        <v>780</v>
      </c>
      <c r="M167" s="14">
        <v>45903</v>
      </c>
      <c r="N167" s="6">
        <v>17443842</v>
      </c>
      <c r="O167" s="6" t="s">
        <v>91</v>
      </c>
      <c r="P167" s="6" t="s">
        <v>276</v>
      </c>
      <c r="Q167" s="6" t="s">
        <v>268</v>
      </c>
      <c r="R167" s="6" t="s">
        <v>269</v>
      </c>
      <c r="S167" s="6" t="s">
        <v>9</v>
      </c>
      <c r="T167" s="6" t="s">
        <v>254</v>
      </c>
      <c r="U167" s="6" t="s">
        <v>124</v>
      </c>
      <c r="V167" s="6" t="s">
        <v>752</v>
      </c>
      <c r="W167" s="6" t="s">
        <v>91</v>
      </c>
      <c r="X167" s="6" t="s">
        <v>91</v>
      </c>
      <c r="Y167" s="6" t="s">
        <v>91</v>
      </c>
      <c r="Z167" s="6" t="s">
        <v>66</v>
      </c>
      <c r="AA167" s="6" t="s">
        <v>91</v>
      </c>
      <c r="AB167" s="6">
        <v>1283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>
        <v>0</v>
      </c>
      <c r="AI167" s="6" t="s">
        <v>800</v>
      </c>
      <c r="AJ167" s="6" t="s">
        <v>257</v>
      </c>
      <c r="AK167" s="6" t="s">
        <v>14</v>
      </c>
      <c r="AL167" s="6" t="s">
        <v>48</v>
      </c>
      <c r="AM167" s="6" t="s">
        <v>258</v>
      </c>
      <c r="AN167" s="6" t="s">
        <v>20</v>
      </c>
      <c r="AO167" s="6" t="s">
        <v>272</v>
      </c>
      <c r="AP167" s="6" t="s">
        <v>273</v>
      </c>
      <c r="AQ167" s="6" t="s">
        <v>18</v>
      </c>
    </row>
    <row r="168" spans="1:43" x14ac:dyDescent="0.25">
      <c r="A168" s="6">
        <v>22866563</v>
      </c>
      <c r="B168" s="6">
        <v>23645695</v>
      </c>
      <c r="C168" s="6" t="s">
        <v>248</v>
      </c>
      <c r="D168" s="14">
        <v>45904.356157407397</v>
      </c>
      <c r="E168" s="14">
        <v>45904.367407407408</v>
      </c>
      <c r="F168" s="6" t="s">
        <v>21</v>
      </c>
      <c r="G168" s="6" t="s">
        <v>21</v>
      </c>
      <c r="H168" s="6" t="s">
        <v>801</v>
      </c>
      <c r="I168" s="6" t="s">
        <v>14</v>
      </c>
      <c r="J168" s="6" t="s">
        <v>802</v>
      </c>
      <c r="K168" s="6" t="s">
        <v>751</v>
      </c>
      <c r="L168" s="6" t="s">
        <v>751</v>
      </c>
      <c r="M168" s="14">
        <v>45901</v>
      </c>
      <c r="N168" s="6">
        <v>17429431</v>
      </c>
      <c r="O168" s="6" t="s">
        <v>91</v>
      </c>
      <c r="P168" s="6" t="s">
        <v>276</v>
      </c>
      <c r="Q168" s="6" t="s">
        <v>253</v>
      </c>
      <c r="R168" s="6" t="s">
        <v>253</v>
      </c>
      <c r="S168" s="6" t="s">
        <v>9</v>
      </c>
      <c r="T168" s="6" t="s">
        <v>254</v>
      </c>
      <c r="U168" s="6" t="s">
        <v>124</v>
      </c>
      <c r="V168" s="6" t="s">
        <v>803</v>
      </c>
      <c r="W168" s="6" t="s">
        <v>91</v>
      </c>
      <c r="X168" s="6" t="s">
        <v>91</v>
      </c>
      <c r="Y168" s="6" t="s">
        <v>91</v>
      </c>
      <c r="Z168" s="6" t="s">
        <v>66</v>
      </c>
      <c r="AA168" s="6" t="s">
        <v>91</v>
      </c>
      <c r="AB168" s="6">
        <v>3410</v>
      </c>
      <c r="AC168" s="6">
        <v>0</v>
      </c>
      <c r="AD168" s="6">
        <v>0</v>
      </c>
      <c r="AE168" s="6">
        <v>0</v>
      </c>
      <c r="AF168" s="6">
        <v>0</v>
      </c>
      <c r="AG168" s="6">
        <v>511.5</v>
      </c>
      <c r="AH168" s="6">
        <v>0</v>
      </c>
      <c r="AI168" s="6" t="s">
        <v>804</v>
      </c>
      <c r="AJ168" s="6" t="s">
        <v>257</v>
      </c>
      <c r="AK168" s="6" t="s">
        <v>14</v>
      </c>
      <c r="AL168" s="6" t="s">
        <v>48</v>
      </c>
      <c r="AM168" s="6" t="s">
        <v>258</v>
      </c>
      <c r="AN168" s="6" t="s">
        <v>20</v>
      </c>
      <c r="AO168" s="6" t="s">
        <v>272</v>
      </c>
      <c r="AP168" s="6" t="s">
        <v>273</v>
      </c>
      <c r="AQ168" s="6" t="s">
        <v>18</v>
      </c>
    </row>
    <row r="169" spans="1:43" x14ac:dyDescent="0.25">
      <c r="A169" s="6">
        <v>22889709</v>
      </c>
      <c r="B169" s="6">
        <v>23665201</v>
      </c>
      <c r="C169" s="6" t="s">
        <v>248</v>
      </c>
      <c r="D169" s="14">
        <v>45908.627268518518</v>
      </c>
      <c r="E169" s="14">
        <v>45908.630046296297</v>
      </c>
      <c r="F169" s="6" t="s">
        <v>19</v>
      </c>
      <c r="G169" s="6" t="s">
        <v>19</v>
      </c>
      <c r="H169" s="6" t="s">
        <v>805</v>
      </c>
      <c r="I169" s="6" t="s">
        <v>14</v>
      </c>
      <c r="J169" s="6" t="s">
        <v>806</v>
      </c>
      <c r="K169" s="6" t="s">
        <v>751</v>
      </c>
      <c r="L169" s="6" t="s">
        <v>751</v>
      </c>
      <c r="M169" s="14">
        <v>45908</v>
      </c>
      <c r="N169" s="6">
        <v>17480917</v>
      </c>
      <c r="O169" s="6" t="s">
        <v>91</v>
      </c>
      <c r="P169" s="6" t="s">
        <v>276</v>
      </c>
      <c r="Q169" s="6" t="s">
        <v>253</v>
      </c>
      <c r="R169" s="6" t="s">
        <v>253</v>
      </c>
      <c r="S169" s="6" t="s">
        <v>9</v>
      </c>
      <c r="T169" s="6" t="s">
        <v>254</v>
      </c>
      <c r="U169" s="6" t="s">
        <v>124</v>
      </c>
      <c r="V169" s="6" t="s">
        <v>807</v>
      </c>
      <c r="W169" s="6" t="s">
        <v>91</v>
      </c>
      <c r="X169" s="6" t="s">
        <v>91</v>
      </c>
      <c r="Y169" s="6" t="s">
        <v>91</v>
      </c>
      <c r="Z169" s="6" t="s">
        <v>66</v>
      </c>
      <c r="AA169" s="6" t="s">
        <v>91</v>
      </c>
      <c r="AB169" s="6">
        <v>654.92999999999995</v>
      </c>
      <c r="AC169" s="6">
        <v>0</v>
      </c>
      <c r="AD169" s="6">
        <v>0</v>
      </c>
      <c r="AE169" s="6">
        <v>0</v>
      </c>
      <c r="AF169" s="6">
        <v>0</v>
      </c>
      <c r="AG169" s="6">
        <v>32.75</v>
      </c>
      <c r="AH169" s="6">
        <v>0</v>
      </c>
      <c r="AI169" s="6" t="s">
        <v>808</v>
      </c>
      <c r="AJ169" s="6" t="s">
        <v>257</v>
      </c>
      <c r="AK169" s="6" t="s">
        <v>14</v>
      </c>
      <c r="AL169" s="6" t="s">
        <v>48</v>
      </c>
      <c r="AM169" s="6" t="s">
        <v>258</v>
      </c>
      <c r="AN169" s="6" t="s">
        <v>20</v>
      </c>
      <c r="AO169" s="6" t="s">
        <v>272</v>
      </c>
      <c r="AP169" s="6" t="s">
        <v>273</v>
      </c>
      <c r="AQ169" s="6" t="s">
        <v>18</v>
      </c>
    </row>
    <row r="170" spans="1:43" x14ac:dyDescent="0.25">
      <c r="A170" s="6">
        <v>22889710</v>
      </c>
      <c r="B170" s="6">
        <v>23665202</v>
      </c>
      <c r="C170" s="6" t="s">
        <v>248</v>
      </c>
      <c r="D170" s="14">
        <v>45908.627303240741</v>
      </c>
      <c r="E170" s="14">
        <v>45908.630046296297</v>
      </c>
      <c r="F170" s="6" t="s">
        <v>19</v>
      </c>
      <c r="G170" s="6" t="s">
        <v>19</v>
      </c>
      <c r="H170" s="6" t="s">
        <v>809</v>
      </c>
      <c r="I170" s="6" t="s">
        <v>14</v>
      </c>
      <c r="J170" s="6" t="s">
        <v>810</v>
      </c>
      <c r="K170" s="6" t="s">
        <v>751</v>
      </c>
      <c r="L170" s="6" t="s">
        <v>751</v>
      </c>
      <c r="M170" s="14">
        <v>45908</v>
      </c>
      <c r="N170" s="6">
        <v>17480979</v>
      </c>
      <c r="O170" s="6" t="s">
        <v>91</v>
      </c>
      <c r="P170" s="6" t="s">
        <v>276</v>
      </c>
      <c r="Q170" s="6" t="s">
        <v>253</v>
      </c>
      <c r="R170" s="6" t="s">
        <v>253</v>
      </c>
      <c r="S170" s="6" t="s">
        <v>9</v>
      </c>
      <c r="T170" s="6" t="s">
        <v>254</v>
      </c>
      <c r="U170" s="6" t="s">
        <v>124</v>
      </c>
      <c r="V170" s="6" t="s">
        <v>807</v>
      </c>
      <c r="W170" s="6" t="s">
        <v>91</v>
      </c>
      <c r="X170" s="6" t="s">
        <v>91</v>
      </c>
      <c r="Y170" s="6" t="s">
        <v>91</v>
      </c>
      <c r="Z170" s="6" t="s">
        <v>66</v>
      </c>
      <c r="AA170" s="6" t="s">
        <v>91</v>
      </c>
      <c r="AB170" s="6">
        <v>654.92999999999995</v>
      </c>
      <c r="AC170" s="6">
        <v>0</v>
      </c>
      <c r="AD170" s="6">
        <v>0</v>
      </c>
      <c r="AE170" s="6">
        <v>0</v>
      </c>
      <c r="AF170" s="6">
        <v>0</v>
      </c>
      <c r="AG170" s="6">
        <v>32.75</v>
      </c>
      <c r="AH170" s="6">
        <v>0</v>
      </c>
      <c r="AI170" s="6" t="s">
        <v>811</v>
      </c>
      <c r="AJ170" s="6" t="s">
        <v>257</v>
      </c>
      <c r="AK170" s="6" t="s">
        <v>14</v>
      </c>
      <c r="AL170" s="6" t="s">
        <v>48</v>
      </c>
      <c r="AM170" s="6" t="s">
        <v>258</v>
      </c>
      <c r="AN170" s="6" t="s">
        <v>20</v>
      </c>
      <c r="AO170" s="6" t="s">
        <v>272</v>
      </c>
      <c r="AP170" s="6" t="s">
        <v>273</v>
      </c>
      <c r="AQ170" s="6" t="s">
        <v>18</v>
      </c>
    </row>
    <row r="171" spans="1:43" x14ac:dyDescent="0.25">
      <c r="A171" s="6">
        <v>22901422</v>
      </c>
      <c r="B171" s="6">
        <v>23675585</v>
      </c>
      <c r="C171" s="6" t="s">
        <v>248</v>
      </c>
      <c r="D171" s="14">
        <v>45910.50271990741</v>
      </c>
      <c r="E171" s="14">
        <v>45910.505787037036</v>
      </c>
      <c r="F171" s="6" t="s">
        <v>17</v>
      </c>
      <c r="G171" s="6" t="s">
        <v>17</v>
      </c>
      <c r="H171" s="6" t="s">
        <v>812</v>
      </c>
      <c r="I171" s="6" t="s">
        <v>14</v>
      </c>
      <c r="J171" s="6" t="s">
        <v>813</v>
      </c>
      <c r="K171" s="6" t="s">
        <v>751</v>
      </c>
      <c r="L171" s="6" t="s">
        <v>751</v>
      </c>
      <c r="M171" s="14">
        <v>45909</v>
      </c>
      <c r="N171" s="6">
        <v>17502280</v>
      </c>
      <c r="O171" s="6" t="s">
        <v>91</v>
      </c>
      <c r="P171" s="6" t="s">
        <v>276</v>
      </c>
      <c r="Q171" s="6" t="s">
        <v>253</v>
      </c>
      <c r="R171" s="6" t="s">
        <v>253</v>
      </c>
      <c r="S171" s="6" t="s">
        <v>9</v>
      </c>
      <c r="T171" s="6" t="s">
        <v>254</v>
      </c>
      <c r="U171" s="6" t="s">
        <v>124</v>
      </c>
      <c r="V171" s="6" t="s">
        <v>807</v>
      </c>
      <c r="W171" s="6" t="s">
        <v>91</v>
      </c>
      <c r="X171" s="6" t="s">
        <v>91</v>
      </c>
      <c r="Y171" s="6" t="s">
        <v>91</v>
      </c>
      <c r="Z171" s="6" t="s">
        <v>66</v>
      </c>
      <c r="AA171" s="6" t="s">
        <v>91</v>
      </c>
      <c r="AB171" s="6">
        <v>702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814</v>
      </c>
      <c r="AJ171" s="6" t="s">
        <v>257</v>
      </c>
      <c r="AK171" s="6" t="s">
        <v>14</v>
      </c>
      <c r="AL171" s="6" t="s">
        <v>48</v>
      </c>
      <c r="AM171" s="6" t="s">
        <v>258</v>
      </c>
      <c r="AN171" s="6" t="s">
        <v>20</v>
      </c>
      <c r="AO171" s="6" t="s">
        <v>272</v>
      </c>
      <c r="AP171" s="6" t="s">
        <v>273</v>
      </c>
      <c r="AQ171" s="6" t="s">
        <v>18</v>
      </c>
    </row>
    <row r="172" spans="1:43" x14ac:dyDescent="0.25">
      <c r="A172" s="6">
        <v>22898708</v>
      </c>
      <c r="B172" s="6">
        <v>23673494</v>
      </c>
      <c r="C172" s="6" t="s">
        <v>248</v>
      </c>
      <c r="D172" s="14">
        <v>45909.91847222222</v>
      </c>
      <c r="E172" s="14">
        <v>45909.920972222222</v>
      </c>
      <c r="F172" s="6" t="s">
        <v>19</v>
      </c>
      <c r="G172" s="6" t="s">
        <v>19</v>
      </c>
      <c r="H172" s="6" t="s">
        <v>815</v>
      </c>
      <c r="I172" s="6" t="s">
        <v>14</v>
      </c>
      <c r="J172" s="6" t="s">
        <v>816</v>
      </c>
      <c r="K172" s="6" t="s">
        <v>817</v>
      </c>
      <c r="L172" s="6" t="s">
        <v>817</v>
      </c>
      <c r="M172" s="14">
        <v>45909</v>
      </c>
      <c r="N172" s="6">
        <v>17502299</v>
      </c>
      <c r="O172" s="6" t="s">
        <v>91</v>
      </c>
      <c r="P172" s="6" t="s">
        <v>252</v>
      </c>
      <c r="Q172" s="6" t="s">
        <v>253</v>
      </c>
      <c r="R172" s="6" t="s">
        <v>253</v>
      </c>
      <c r="S172" s="6" t="s">
        <v>9</v>
      </c>
      <c r="T172" s="6" t="s">
        <v>254</v>
      </c>
      <c r="U172" s="6" t="s">
        <v>124</v>
      </c>
      <c r="V172" s="6" t="s">
        <v>807</v>
      </c>
      <c r="W172" s="6" t="s">
        <v>91</v>
      </c>
      <c r="X172" s="6" t="s">
        <v>91</v>
      </c>
      <c r="Y172" s="6" t="s">
        <v>91</v>
      </c>
      <c r="Z172" s="6" t="s">
        <v>66</v>
      </c>
      <c r="AA172" s="6" t="s">
        <v>91</v>
      </c>
      <c r="AB172" s="6">
        <v>462</v>
      </c>
      <c r="AC172" s="6">
        <v>0</v>
      </c>
      <c r="AD172" s="6">
        <v>0</v>
      </c>
      <c r="AE172" s="6">
        <v>0</v>
      </c>
      <c r="AF172" s="6">
        <v>0</v>
      </c>
      <c r="AG172" s="6">
        <v>41.58</v>
      </c>
      <c r="AH172" s="6">
        <v>0</v>
      </c>
      <c r="AI172" s="6" t="s">
        <v>818</v>
      </c>
      <c r="AJ172" s="6" t="s">
        <v>257</v>
      </c>
      <c r="AK172" s="6" t="s">
        <v>14</v>
      </c>
      <c r="AL172" s="6" t="s">
        <v>48</v>
      </c>
      <c r="AM172" s="6" t="s">
        <v>258</v>
      </c>
      <c r="AN172" s="6" t="s">
        <v>20</v>
      </c>
      <c r="AO172" s="6" t="s">
        <v>272</v>
      </c>
      <c r="AP172" s="6" t="s">
        <v>273</v>
      </c>
      <c r="AQ172" s="6" t="s">
        <v>18</v>
      </c>
    </row>
    <row r="173" spans="1:43" x14ac:dyDescent="0.25">
      <c r="A173" s="6">
        <v>22905441</v>
      </c>
      <c r="B173" s="6">
        <v>23679378</v>
      </c>
      <c r="C173" s="6" t="s">
        <v>248</v>
      </c>
      <c r="D173" s="14">
        <v>45910.934641203698</v>
      </c>
      <c r="E173" s="14">
        <v>45911.234861111108</v>
      </c>
      <c r="F173" s="6" t="s">
        <v>17</v>
      </c>
      <c r="G173" s="6" t="s">
        <v>17</v>
      </c>
      <c r="H173" s="6" t="s">
        <v>819</v>
      </c>
      <c r="I173" s="6" t="s">
        <v>16</v>
      </c>
      <c r="J173" s="6" t="s">
        <v>820</v>
      </c>
      <c r="K173" s="6" t="s">
        <v>369</v>
      </c>
      <c r="L173" s="6" t="s">
        <v>369</v>
      </c>
      <c r="M173" s="14">
        <v>45910.362500000003</v>
      </c>
      <c r="N173" s="6" t="s">
        <v>821</v>
      </c>
      <c r="O173" s="6" t="s">
        <v>91</v>
      </c>
      <c r="P173" s="6" t="s">
        <v>276</v>
      </c>
      <c r="Q173" s="6" t="s">
        <v>253</v>
      </c>
      <c r="R173" s="6" t="s">
        <v>253</v>
      </c>
      <c r="S173" s="6" t="s">
        <v>9</v>
      </c>
      <c r="T173" s="6" t="s">
        <v>254</v>
      </c>
      <c r="U173" s="6" t="s">
        <v>201</v>
      </c>
      <c r="V173" s="6" t="s">
        <v>822</v>
      </c>
      <c r="W173" s="6" t="s">
        <v>391</v>
      </c>
      <c r="X173" s="6" t="s">
        <v>91</v>
      </c>
      <c r="Y173" s="6" t="s">
        <v>91</v>
      </c>
      <c r="Z173" s="6" t="s">
        <v>123</v>
      </c>
      <c r="AA173" s="6" t="s">
        <v>91</v>
      </c>
      <c r="AB173" s="6">
        <v>3239.9189999999999</v>
      </c>
      <c r="AC173" s="6">
        <v>59.7</v>
      </c>
      <c r="AD173" s="6">
        <v>0</v>
      </c>
      <c r="AE173" s="6">
        <v>0</v>
      </c>
      <c r="AF173" s="6">
        <v>0</v>
      </c>
      <c r="AG173" s="6">
        <v>0</v>
      </c>
      <c r="AH173" s="6">
        <v>27.14</v>
      </c>
      <c r="AI173" s="6" t="s">
        <v>288</v>
      </c>
      <c r="AJ173" s="6" t="s">
        <v>257</v>
      </c>
      <c r="AK173" s="6" t="s">
        <v>16</v>
      </c>
      <c r="AL173" s="6" t="s">
        <v>48</v>
      </c>
      <c r="AM173" s="6" t="s">
        <v>258</v>
      </c>
      <c r="AN173" s="6" t="s">
        <v>20</v>
      </c>
      <c r="AO173" s="6" t="s">
        <v>259</v>
      </c>
      <c r="AP173" s="6" t="s">
        <v>260</v>
      </c>
      <c r="AQ173" s="6" t="s">
        <v>31</v>
      </c>
    </row>
    <row r="174" spans="1:43" x14ac:dyDescent="0.25">
      <c r="A174" s="6">
        <v>22901112</v>
      </c>
      <c r="B174" s="6">
        <v>23675287</v>
      </c>
      <c r="C174" s="6" t="s">
        <v>248</v>
      </c>
      <c r="D174" s="14">
        <v>45910.460439814808</v>
      </c>
      <c r="E174" s="14">
        <v>45910.46297453704</v>
      </c>
      <c r="F174" s="6" t="s">
        <v>17</v>
      </c>
      <c r="G174" s="6" t="s">
        <v>17</v>
      </c>
      <c r="H174" s="6" t="s">
        <v>823</v>
      </c>
      <c r="I174" s="6" t="s">
        <v>14</v>
      </c>
      <c r="J174" s="6" t="s">
        <v>824</v>
      </c>
      <c r="K174" s="6" t="s">
        <v>825</v>
      </c>
      <c r="L174" s="6" t="s">
        <v>825</v>
      </c>
      <c r="M174" s="14">
        <v>45910</v>
      </c>
      <c r="N174" s="6">
        <v>17494943</v>
      </c>
      <c r="O174" s="6" t="s">
        <v>91</v>
      </c>
      <c r="P174" s="6" t="s">
        <v>252</v>
      </c>
      <c r="Q174" s="6" t="s">
        <v>253</v>
      </c>
      <c r="R174" s="6" t="s">
        <v>253</v>
      </c>
      <c r="S174" s="6" t="s">
        <v>9</v>
      </c>
      <c r="T174" s="6" t="s">
        <v>254</v>
      </c>
      <c r="U174" s="6" t="s">
        <v>115</v>
      </c>
      <c r="V174" s="6" t="s">
        <v>826</v>
      </c>
      <c r="W174" s="6" t="s">
        <v>91</v>
      </c>
      <c r="X174" s="6" t="s">
        <v>91</v>
      </c>
      <c r="Y174" s="6" t="s">
        <v>91</v>
      </c>
      <c r="Z174" s="6" t="s">
        <v>52</v>
      </c>
      <c r="AA174" s="6" t="s">
        <v>91</v>
      </c>
      <c r="AB174" s="6">
        <v>290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827</v>
      </c>
      <c r="AJ174" s="6" t="s">
        <v>257</v>
      </c>
      <c r="AK174" s="6" t="s">
        <v>14</v>
      </c>
      <c r="AL174" s="6" t="s">
        <v>48</v>
      </c>
      <c r="AM174" s="6" t="s">
        <v>258</v>
      </c>
      <c r="AN174" s="6" t="s">
        <v>20</v>
      </c>
      <c r="AO174" s="6" t="s">
        <v>272</v>
      </c>
      <c r="AP174" s="6" t="s">
        <v>273</v>
      </c>
      <c r="AQ174" s="6" t="s">
        <v>18</v>
      </c>
    </row>
    <row r="175" spans="1:43" x14ac:dyDescent="0.25">
      <c r="A175" s="6">
        <v>22904371</v>
      </c>
      <c r="B175" s="6">
        <v>23678425</v>
      </c>
      <c r="C175" s="6" t="s">
        <v>248</v>
      </c>
      <c r="D175" s="14">
        <v>45910.794085648151</v>
      </c>
      <c r="E175" s="14">
        <v>45910.796203703707</v>
      </c>
      <c r="F175" s="6" t="s">
        <v>17</v>
      </c>
      <c r="G175" s="6" t="s">
        <v>17</v>
      </c>
      <c r="H175" s="6" t="s">
        <v>828</v>
      </c>
      <c r="I175" s="6" t="s">
        <v>14</v>
      </c>
      <c r="J175" s="6" t="s">
        <v>829</v>
      </c>
      <c r="K175" s="6" t="s">
        <v>825</v>
      </c>
      <c r="L175" s="6" t="s">
        <v>825</v>
      </c>
      <c r="M175" s="14">
        <v>45910</v>
      </c>
      <c r="N175" s="6">
        <v>17501241</v>
      </c>
      <c r="O175" s="6" t="s">
        <v>91</v>
      </c>
      <c r="P175" s="6" t="s">
        <v>252</v>
      </c>
      <c r="Q175" s="6" t="s">
        <v>253</v>
      </c>
      <c r="R175" s="6" t="s">
        <v>253</v>
      </c>
      <c r="S175" s="6" t="s">
        <v>9</v>
      </c>
      <c r="T175" s="6" t="s">
        <v>254</v>
      </c>
      <c r="U175" s="6" t="s">
        <v>115</v>
      </c>
      <c r="V175" s="6" t="s">
        <v>826</v>
      </c>
      <c r="W175" s="6" t="s">
        <v>91</v>
      </c>
      <c r="X175" s="6" t="s">
        <v>91</v>
      </c>
      <c r="Y175" s="6" t="s">
        <v>91</v>
      </c>
      <c r="Z175" s="6" t="s">
        <v>52</v>
      </c>
      <c r="AA175" s="6" t="s">
        <v>91</v>
      </c>
      <c r="AB175" s="6">
        <v>233.85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830</v>
      </c>
      <c r="AJ175" s="6" t="s">
        <v>257</v>
      </c>
      <c r="AK175" s="6" t="s">
        <v>14</v>
      </c>
      <c r="AL175" s="6" t="s">
        <v>48</v>
      </c>
      <c r="AM175" s="6" t="s">
        <v>258</v>
      </c>
      <c r="AN175" s="6" t="s">
        <v>20</v>
      </c>
      <c r="AO175" s="6" t="s">
        <v>272</v>
      </c>
      <c r="AP175" s="6" t="s">
        <v>273</v>
      </c>
      <c r="AQ175" s="6" t="s">
        <v>18</v>
      </c>
    </row>
    <row r="176" spans="1:43" x14ac:dyDescent="0.25">
      <c r="A176" s="6">
        <v>22866308</v>
      </c>
      <c r="B176" s="6">
        <v>23645488</v>
      </c>
      <c r="C176" s="6" t="s">
        <v>248</v>
      </c>
      <c r="D176" s="14">
        <v>45904.31722222222</v>
      </c>
      <c r="E176" s="14">
        <v>45904.334907407407</v>
      </c>
      <c r="F176" s="6" t="s">
        <v>21</v>
      </c>
      <c r="G176" s="6" t="s">
        <v>21</v>
      </c>
      <c r="H176" s="6" t="s">
        <v>831</v>
      </c>
      <c r="I176" s="6" t="s">
        <v>14</v>
      </c>
      <c r="J176" s="6" t="s">
        <v>832</v>
      </c>
      <c r="K176" s="6" t="s">
        <v>825</v>
      </c>
      <c r="L176" s="6" t="s">
        <v>825</v>
      </c>
      <c r="M176" s="14">
        <v>45903.506944444453</v>
      </c>
      <c r="N176" s="6">
        <v>17449596</v>
      </c>
      <c r="O176" s="6" t="s">
        <v>833</v>
      </c>
      <c r="P176" s="6" t="s">
        <v>252</v>
      </c>
      <c r="Q176" s="6" t="s">
        <v>268</v>
      </c>
      <c r="R176" s="6" t="s">
        <v>269</v>
      </c>
      <c r="S176" s="6" t="s">
        <v>8</v>
      </c>
      <c r="T176" s="6" t="s">
        <v>254</v>
      </c>
      <c r="U176" s="6" t="s">
        <v>115</v>
      </c>
      <c r="V176" s="6" t="s">
        <v>826</v>
      </c>
      <c r="W176" s="6" t="s">
        <v>91</v>
      </c>
      <c r="X176" s="6" t="s">
        <v>91</v>
      </c>
      <c r="Y176" s="6" t="s">
        <v>91</v>
      </c>
      <c r="Z176" s="6" t="s">
        <v>52</v>
      </c>
      <c r="AA176" s="6" t="s">
        <v>91</v>
      </c>
      <c r="AB176" s="6">
        <v>219.34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>
        <v>0</v>
      </c>
      <c r="AI176" s="6" t="s">
        <v>834</v>
      </c>
      <c r="AJ176" s="6" t="s">
        <v>257</v>
      </c>
      <c r="AK176" s="6" t="s">
        <v>14</v>
      </c>
      <c r="AL176" s="6" t="s">
        <v>48</v>
      </c>
      <c r="AM176" s="6" t="s">
        <v>258</v>
      </c>
      <c r="AN176" s="6" t="s">
        <v>20</v>
      </c>
      <c r="AO176" s="6" t="s">
        <v>272</v>
      </c>
      <c r="AP176" s="6" t="s">
        <v>273</v>
      </c>
      <c r="AQ176" s="6" t="s">
        <v>18</v>
      </c>
    </row>
    <row r="177" spans="1:43" x14ac:dyDescent="0.25">
      <c r="A177" s="6">
        <v>22862048</v>
      </c>
      <c r="B177" s="6">
        <v>23641957</v>
      </c>
      <c r="C177" s="6" t="s">
        <v>248</v>
      </c>
      <c r="D177" s="14">
        <v>45903.667256944442</v>
      </c>
      <c r="E177" s="14">
        <v>45903.667407407411</v>
      </c>
      <c r="F177" s="6" t="s">
        <v>23</v>
      </c>
      <c r="G177" s="6" t="s">
        <v>23</v>
      </c>
      <c r="H177" s="6" t="s">
        <v>835</v>
      </c>
      <c r="I177" s="6" t="s">
        <v>14</v>
      </c>
      <c r="J177" s="6" t="s">
        <v>836</v>
      </c>
      <c r="K177" s="6" t="s">
        <v>825</v>
      </c>
      <c r="L177" s="6" t="s">
        <v>825</v>
      </c>
      <c r="M177" s="14">
        <v>45897</v>
      </c>
      <c r="N177" s="6">
        <v>17402551</v>
      </c>
      <c r="O177" s="6" t="s">
        <v>91</v>
      </c>
      <c r="P177" s="6" t="s">
        <v>276</v>
      </c>
      <c r="Q177" s="6" t="s">
        <v>253</v>
      </c>
      <c r="R177" s="6" t="s">
        <v>253</v>
      </c>
      <c r="S177" s="6" t="s">
        <v>9</v>
      </c>
      <c r="T177" s="6" t="s">
        <v>254</v>
      </c>
      <c r="U177" s="6" t="s">
        <v>115</v>
      </c>
      <c r="V177" s="6" t="s">
        <v>826</v>
      </c>
      <c r="W177" s="6" t="s">
        <v>91</v>
      </c>
      <c r="X177" s="6" t="s">
        <v>91</v>
      </c>
      <c r="Y177" s="6" t="s">
        <v>91</v>
      </c>
      <c r="Z177" s="6" t="s">
        <v>52</v>
      </c>
      <c r="AA177" s="6" t="s">
        <v>91</v>
      </c>
      <c r="AB177" s="6">
        <v>618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 t="s">
        <v>837</v>
      </c>
      <c r="AJ177" s="6" t="s">
        <v>257</v>
      </c>
      <c r="AK177" s="6" t="s">
        <v>14</v>
      </c>
      <c r="AL177" s="6" t="s">
        <v>48</v>
      </c>
      <c r="AM177" s="6" t="s">
        <v>258</v>
      </c>
      <c r="AN177" s="6" t="s">
        <v>20</v>
      </c>
      <c r="AO177" s="6" t="s">
        <v>272</v>
      </c>
      <c r="AP177" s="6" t="s">
        <v>273</v>
      </c>
      <c r="AQ177" s="6" t="s">
        <v>18</v>
      </c>
    </row>
    <row r="178" spans="1:43" x14ac:dyDescent="0.25">
      <c r="A178" s="6">
        <v>22887470</v>
      </c>
      <c r="B178" s="6">
        <v>23662921</v>
      </c>
      <c r="C178" s="6" t="s">
        <v>248</v>
      </c>
      <c r="D178" s="14">
        <v>45908.375740740739</v>
      </c>
      <c r="E178" s="14">
        <v>45908.380023148151</v>
      </c>
      <c r="F178" s="6" t="s">
        <v>19</v>
      </c>
      <c r="G178" s="6" t="s">
        <v>19</v>
      </c>
      <c r="H178" s="6" t="s">
        <v>838</v>
      </c>
      <c r="I178" s="6" t="s">
        <v>14</v>
      </c>
      <c r="J178" s="6" t="s">
        <v>839</v>
      </c>
      <c r="K178" s="6" t="s">
        <v>840</v>
      </c>
      <c r="L178" s="6" t="s">
        <v>840</v>
      </c>
      <c r="M178" s="14">
        <v>45904.690972222219</v>
      </c>
      <c r="N178" s="6">
        <v>17463997</v>
      </c>
      <c r="O178" s="6" t="s">
        <v>841</v>
      </c>
      <c r="P178" s="6" t="s">
        <v>252</v>
      </c>
      <c r="Q178" s="6" t="s">
        <v>268</v>
      </c>
      <c r="R178" s="6" t="s">
        <v>269</v>
      </c>
      <c r="S178" s="6" t="s">
        <v>8</v>
      </c>
      <c r="T178" s="6" t="s">
        <v>254</v>
      </c>
      <c r="U178" s="6" t="s">
        <v>115</v>
      </c>
      <c r="V178" s="6" t="s">
        <v>826</v>
      </c>
      <c r="W178" s="6" t="s">
        <v>91</v>
      </c>
      <c r="X178" s="6" t="s">
        <v>91</v>
      </c>
      <c r="Y178" s="6" t="s">
        <v>91</v>
      </c>
      <c r="Z178" s="6" t="s">
        <v>52</v>
      </c>
      <c r="AA178" s="6" t="s">
        <v>91</v>
      </c>
      <c r="AB178" s="6">
        <v>609.15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>
        <v>0</v>
      </c>
      <c r="AI178" s="6" t="s">
        <v>842</v>
      </c>
      <c r="AJ178" s="6" t="s">
        <v>257</v>
      </c>
      <c r="AK178" s="6" t="s">
        <v>14</v>
      </c>
      <c r="AL178" s="6" t="s">
        <v>48</v>
      </c>
      <c r="AM178" s="6" t="s">
        <v>258</v>
      </c>
      <c r="AN178" s="6" t="s">
        <v>20</v>
      </c>
      <c r="AO178" s="6" t="s">
        <v>272</v>
      </c>
      <c r="AP178" s="6" t="s">
        <v>273</v>
      </c>
      <c r="AQ178" s="6" t="s">
        <v>18</v>
      </c>
    </row>
    <row r="179" spans="1:43" x14ac:dyDescent="0.25">
      <c r="A179" s="6">
        <v>22896411</v>
      </c>
      <c r="B179" s="6">
        <v>23671363</v>
      </c>
      <c r="C179" s="6" t="s">
        <v>248</v>
      </c>
      <c r="D179" s="14">
        <v>45909.669131944444</v>
      </c>
      <c r="E179" s="14">
        <v>45909.671597222223</v>
      </c>
      <c r="F179" s="6" t="s">
        <v>19</v>
      </c>
      <c r="G179" s="6" t="s">
        <v>19</v>
      </c>
      <c r="H179" s="6" t="s">
        <v>843</v>
      </c>
      <c r="I179" s="6" t="s">
        <v>14</v>
      </c>
      <c r="J179" s="6" t="s">
        <v>844</v>
      </c>
      <c r="K179" s="6" t="s">
        <v>840</v>
      </c>
      <c r="L179" s="6" t="s">
        <v>840</v>
      </c>
      <c r="M179" s="14">
        <v>45909</v>
      </c>
      <c r="N179" s="6">
        <v>17496558</v>
      </c>
      <c r="O179" s="6" t="s">
        <v>91</v>
      </c>
      <c r="P179" s="6" t="s">
        <v>252</v>
      </c>
      <c r="Q179" s="6" t="s">
        <v>253</v>
      </c>
      <c r="R179" s="6" t="s">
        <v>253</v>
      </c>
      <c r="S179" s="6" t="s">
        <v>9</v>
      </c>
      <c r="T179" s="6" t="s">
        <v>254</v>
      </c>
      <c r="U179" s="6" t="s">
        <v>115</v>
      </c>
      <c r="V179" s="6" t="s">
        <v>826</v>
      </c>
      <c r="W179" s="6" t="s">
        <v>91</v>
      </c>
      <c r="X179" s="6" t="s">
        <v>91</v>
      </c>
      <c r="Y179" s="6" t="s">
        <v>91</v>
      </c>
      <c r="Z179" s="6" t="s">
        <v>52</v>
      </c>
      <c r="AA179" s="6" t="s">
        <v>91</v>
      </c>
      <c r="AB179" s="6">
        <v>264.91000000000003</v>
      </c>
      <c r="AC179" s="6">
        <v>0</v>
      </c>
      <c r="AD179" s="6">
        <v>0</v>
      </c>
      <c r="AE179" s="6">
        <v>0</v>
      </c>
      <c r="AF179" s="6">
        <v>0</v>
      </c>
      <c r="AG179" s="6">
        <v>26.49</v>
      </c>
      <c r="AH179" s="6">
        <v>0</v>
      </c>
      <c r="AI179" s="6" t="s">
        <v>845</v>
      </c>
      <c r="AJ179" s="6" t="s">
        <v>257</v>
      </c>
      <c r="AK179" s="6" t="s">
        <v>14</v>
      </c>
      <c r="AL179" s="6" t="s">
        <v>48</v>
      </c>
      <c r="AM179" s="6" t="s">
        <v>258</v>
      </c>
      <c r="AN179" s="6" t="s">
        <v>20</v>
      </c>
      <c r="AO179" s="6" t="s">
        <v>272</v>
      </c>
      <c r="AP179" s="6" t="s">
        <v>273</v>
      </c>
      <c r="AQ179" s="6" t="s">
        <v>18</v>
      </c>
    </row>
    <row r="180" spans="1:43" x14ac:dyDescent="0.25">
      <c r="A180" s="6">
        <v>22896646</v>
      </c>
      <c r="B180" s="6">
        <v>23671564</v>
      </c>
      <c r="C180" s="6" t="s">
        <v>248</v>
      </c>
      <c r="D180" s="14">
        <v>45909.708935185183</v>
      </c>
      <c r="E180" s="14">
        <v>45909.709050925929</v>
      </c>
      <c r="F180" s="6" t="s">
        <v>19</v>
      </c>
      <c r="G180" s="6" t="s">
        <v>19</v>
      </c>
      <c r="H180" s="6" t="s">
        <v>846</v>
      </c>
      <c r="I180" s="6" t="s">
        <v>14</v>
      </c>
      <c r="J180" s="6" t="s">
        <v>847</v>
      </c>
      <c r="K180" s="6" t="s">
        <v>840</v>
      </c>
      <c r="L180" s="6" t="s">
        <v>840</v>
      </c>
      <c r="M180" s="14">
        <v>45894.501388888893</v>
      </c>
      <c r="N180" s="6">
        <v>17362026</v>
      </c>
      <c r="O180" s="6" t="s">
        <v>848</v>
      </c>
      <c r="P180" s="6" t="s">
        <v>252</v>
      </c>
      <c r="Q180" s="6" t="s">
        <v>268</v>
      </c>
      <c r="R180" s="6" t="s">
        <v>269</v>
      </c>
      <c r="S180" s="6" t="s">
        <v>8</v>
      </c>
      <c r="T180" s="6" t="s">
        <v>254</v>
      </c>
      <c r="U180" s="6" t="s">
        <v>115</v>
      </c>
      <c r="V180" s="6" t="s">
        <v>826</v>
      </c>
      <c r="W180" s="6" t="s">
        <v>91</v>
      </c>
      <c r="X180" s="6" t="s">
        <v>91</v>
      </c>
      <c r="Y180" s="6" t="s">
        <v>91</v>
      </c>
      <c r="Z180" s="6" t="s">
        <v>52</v>
      </c>
      <c r="AA180" s="6" t="s">
        <v>91</v>
      </c>
      <c r="AB180" s="6">
        <v>624.39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 t="s">
        <v>849</v>
      </c>
      <c r="AJ180" s="6" t="s">
        <v>257</v>
      </c>
      <c r="AK180" s="6" t="s">
        <v>14</v>
      </c>
      <c r="AL180" s="6" t="s">
        <v>48</v>
      </c>
      <c r="AM180" s="6" t="s">
        <v>258</v>
      </c>
      <c r="AN180" s="6" t="s">
        <v>20</v>
      </c>
      <c r="AO180" s="6" t="s">
        <v>272</v>
      </c>
      <c r="AP180" s="6" t="s">
        <v>273</v>
      </c>
      <c r="AQ180" s="6" t="s">
        <v>18</v>
      </c>
    </row>
    <row r="181" spans="1:43" x14ac:dyDescent="0.25">
      <c r="A181" s="6">
        <v>22896648</v>
      </c>
      <c r="B181" s="6">
        <v>23671566</v>
      </c>
      <c r="C181" s="6" t="s">
        <v>248</v>
      </c>
      <c r="D181" s="14">
        <v>45909.709131944437</v>
      </c>
      <c r="E181" s="14">
        <v>45909.712638888886</v>
      </c>
      <c r="F181" s="6" t="s">
        <v>19</v>
      </c>
      <c r="G181" s="6" t="s">
        <v>19</v>
      </c>
      <c r="H181" s="6" t="s">
        <v>850</v>
      </c>
      <c r="I181" s="6" t="s">
        <v>14</v>
      </c>
      <c r="J181" s="6" t="s">
        <v>847</v>
      </c>
      <c r="K181" s="6" t="s">
        <v>840</v>
      </c>
      <c r="L181" s="6" t="s">
        <v>840</v>
      </c>
      <c r="M181" s="14">
        <v>45902.461805555547</v>
      </c>
      <c r="N181" s="6">
        <v>17435435</v>
      </c>
      <c r="O181" s="6" t="s">
        <v>851</v>
      </c>
      <c r="P181" s="6" t="s">
        <v>252</v>
      </c>
      <c r="Q181" s="6" t="s">
        <v>268</v>
      </c>
      <c r="R181" s="6" t="s">
        <v>269</v>
      </c>
      <c r="S181" s="6" t="s">
        <v>8</v>
      </c>
      <c r="T181" s="6" t="s">
        <v>254</v>
      </c>
      <c r="U181" s="6" t="s">
        <v>115</v>
      </c>
      <c r="V181" s="6" t="s">
        <v>826</v>
      </c>
      <c r="W181" s="6" t="s">
        <v>91</v>
      </c>
      <c r="X181" s="6" t="s">
        <v>91</v>
      </c>
      <c r="Y181" s="6" t="s">
        <v>91</v>
      </c>
      <c r="Z181" s="6" t="s">
        <v>52</v>
      </c>
      <c r="AA181" s="6" t="s">
        <v>91</v>
      </c>
      <c r="AB181" s="6">
        <v>643.08000000000004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 t="s">
        <v>852</v>
      </c>
      <c r="AJ181" s="6" t="s">
        <v>257</v>
      </c>
      <c r="AK181" s="6" t="s">
        <v>14</v>
      </c>
      <c r="AL181" s="6" t="s">
        <v>48</v>
      </c>
      <c r="AM181" s="6" t="s">
        <v>258</v>
      </c>
      <c r="AN181" s="6" t="s">
        <v>20</v>
      </c>
      <c r="AO181" s="6" t="s">
        <v>272</v>
      </c>
      <c r="AP181" s="6" t="s">
        <v>273</v>
      </c>
      <c r="AQ181" s="6" t="s">
        <v>18</v>
      </c>
    </row>
    <row r="182" spans="1:43" x14ac:dyDescent="0.25">
      <c r="A182" s="6">
        <v>22894451</v>
      </c>
      <c r="B182" s="6">
        <v>23669374</v>
      </c>
      <c r="C182" s="6" t="s">
        <v>248</v>
      </c>
      <c r="D182" s="14">
        <v>45909.418680555558</v>
      </c>
      <c r="E182" s="14">
        <v>45909.425810185188</v>
      </c>
      <c r="F182" s="6" t="s">
        <v>19</v>
      </c>
      <c r="G182" s="6" t="s">
        <v>19</v>
      </c>
      <c r="H182" s="6" t="s">
        <v>853</v>
      </c>
      <c r="I182" s="6" t="s">
        <v>14</v>
      </c>
      <c r="J182" s="6" t="s">
        <v>854</v>
      </c>
      <c r="K182" s="6" t="s">
        <v>840</v>
      </c>
      <c r="L182" s="6" t="s">
        <v>840</v>
      </c>
      <c r="M182" s="14">
        <v>45909</v>
      </c>
      <c r="N182" s="6">
        <v>17488068</v>
      </c>
      <c r="O182" s="6" t="s">
        <v>91</v>
      </c>
      <c r="P182" s="6" t="s">
        <v>252</v>
      </c>
      <c r="Q182" s="6" t="s">
        <v>253</v>
      </c>
      <c r="R182" s="6" t="s">
        <v>253</v>
      </c>
      <c r="S182" s="6" t="s">
        <v>9</v>
      </c>
      <c r="T182" s="6" t="s">
        <v>254</v>
      </c>
      <c r="U182" s="6" t="s">
        <v>115</v>
      </c>
      <c r="V182" s="6" t="s">
        <v>826</v>
      </c>
      <c r="W182" s="6" t="s">
        <v>91</v>
      </c>
      <c r="X182" s="6" t="s">
        <v>91</v>
      </c>
      <c r="Y182" s="6" t="s">
        <v>91</v>
      </c>
      <c r="Z182" s="6" t="s">
        <v>52</v>
      </c>
      <c r="AA182" s="6" t="s">
        <v>91</v>
      </c>
      <c r="AB182" s="6">
        <v>661.5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 t="s">
        <v>855</v>
      </c>
      <c r="AJ182" s="6" t="s">
        <v>257</v>
      </c>
      <c r="AK182" s="6" t="s">
        <v>14</v>
      </c>
      <c r="AL182" s="6" t="s">
        <v>48</v>
      </c>
      <c r="AM182" s="6" t="s">
        <v>258</v>
      </c>
      <c r="AN182" s="6" t="s">
        <v>20</v>
      </c>
      <c r="AO182" s="6" t="s">
        <v>272</v>
      </c>
      <c r="AP182" s="6" t="s">
        <v>273</v>
      </c>
      <c r="AQ182" s="6" t="s">
        <v>18</v>
      </c>
    </row>
    <row r="183" spans="1:43" x14ac:dyDescent="0.25">
      <c r="A183" s="6">
        <v>22896104</v>
      </c>
      <c r="B183" s="6">
        <v>23671062</v>
      </c>
      <c r="C183" s="6" t="s">
        <v>248</v>
      </c>
      <c r="D183" s="14">
        <v>45909.625439814823</v>
      </c>
      <c r="E183" s="14">
        <v>45909.625775462962</v>
      </c>
      <c r="F183" s="6" t="s">
        <v>19</v>
      </c>
      <c r="G183" s="6" t="s">
        <v>19</v>
      </c>
      <c r="H183" s="6" t="s">
        <v>856</v>
      </c>
      <c r="I183" s="6" t="s">
        <v>14</v>
      </c>
      <c r="J183" s="6" t="s">
        <v>857</v>
      </c>
      <c r="K183" s="6" t="s">
        <v>840</v>
      </c>
      <c r="L183" s="6" t="s">
        <v>840</v>
      </c>
      <c r="M183" s="14">
        <v>45898</v>
      </c>
      <c r="N183" s="6">
        <v>17411751</v>
      </c>
      <c r="O183" s="6" t="s">
        <v>91</v>
      </c>
      <c r="P183" s="6" t="s">
        <v>276</v>
      </c>
      <c r="Q183" s="6" t="s">
        <v>253</v>
      </c>
      <c r="R183" s="6" t="s">
        <v>253</v>
      </c>
      <c r="S183" s="6" t="s">
        <v>9</v>
      </c>
      <c r="T183" s="6" t="s">
        <v>254</v>
      </c>
      <c r="U183" s="6" t="s">
        <v>115</v>
      </c>
      <c r="V183" s="6" t="s">
        <v>826</v>
      </c>
      <c r="W183" s="6" t="s">
        <v>91</v>
      </c>
      <c r="X183" s="6" t="s">
        <v>91</v>
      </c>
      <c r="Y183" s="6" t="s">
        <v>91</v>
      </c>
      <c r="Z183" s="6" t="s">
        <v>52</v>
      </c>
      <c r="AA183" s="6" t="s">
        <v>91</v>
      </c>
      <c r="AB183" s="6">
        <v>205.19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 t="s">
        <v>858</v>
      </c>
      <c r="AJ183" s="6" t="s">
        <v>257</v>
      </c>
      <c r="AK183" s="6" t="s">
        <v>14</v>
      </c>
      <c r="AL183" s="6" t="s">
        <v>48</v>
      </c>
      <c r="AM183" s="6" t="s">
        <v>258</v>
      </c>
      <c r="AN183" s="6" t="s">
        <v>20</v>
      </c>
      <c r="AO183" s="6" t="s">
        <v>272</v>
      </c>
      <c r="AP183" s="6" t="s">
        <v>273</v>
      </c>
      <c r="AQ183" s="6" t="s">
        <v>18</v>
      </c>
    </row>
    <row r="184" spans="1:43" x14ac:dyDescent="0.25">
      <c r="A184" s="6">
        <v>22890312</v>
      </c>
      <c r="B184" s="6">
        <v>23665858</v>
      </c>
      <c r="C184" s="6" t="s">
        <v>248</v>
      </c>
      <c r="D184" s="14">
        <v>45908.709421296298</v>
      </c>
      <c r="E184" s="14">
        <v>45908.713159722232</v>
      </c>
      <c r="F184" s="6" t="s">
        <v>19</v>
      </c>
      <c r="G184" s="6" t="s">
        <v>19</v>
      </c>
      <c r="H184" s="6" t="s">
        <v>859</v>
      </c>
      <c r="I184" s="6" t="s">
        <v>14</v>
      </c>
      <c r="J184" s="6" t="s">
        <v>860</v>
      </c>
      <c r="K184" s="6" t="s">
        <v>840</v>
      </c>
      <c r="L184" s="6" t="s">
        <v>840</v>
      </c>
      <c r="M184" s="14">
        <v>45908</v>
      </c>
      <c r="N184" s="6">
        <v>17477030</v>
      </c>
      <c r="O184" s="6" t="s">
        <v>91</v>
      </c>
      <c r="P184" s="6" t="s">
        <v>252</v>
      </c>
      <c r="Q184" s="6" t="s">
        <v>253</v>
      </c>
      <c r="R184" s="6" t="s">
        <v>253</v>
      </c>
      <c r="S184" s="6" t="s">
        <v>9</v>
      </c>
      <c r="T184" s="6" t="s">
        <v>254</v>
      </c>
      <c r="U184" s="6" t="s">
        <v>115</v>
      </c>
      <c r="V184" s="6" t="s">
        <v>826</v>
      </c>
      <c r="W184" s="6" t="s">
        <v>91</v>
      </c>
      <c r="X184" s="6" t="s">
        <v>91</v>
      </c>
      <c r="Y184" s="6" t="s">
        <v>91</v>
      </c>
      <c r="Z184" s="6" t="s">
        <v>52</v>
      </c>
      <c r="AA184" s="6" t="s">
        <v>91</v>
      </c>
      <c r="AB184" s="6">
        <v>349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 t="s">
        <v>861</v>
      </c>
      <c r="AJ184" s="6" t="s">
        <v>257</v>
      </c>
      <c r="AK184" s="6" t="s">
        <v>14</v>
      </c>
      <c r="AL184" s="6" t="s">
        <v>48</v>
      </c>
      <c r="AM184" s="6" t="s">
        <v>258</v>
      </c>
      <c r="AN184" s="6" t="s">
        <v>20</v>
      </c>
      <c r="AO184" s="6" t="s">
        <v>272</v>
      </c>
      <c r="AP184" s="6" t="s">
        <v>273</v>
      </c>
      <c r="AQ184" s="6" t="s">
        <v>18</v>
      </c>
    </row>
    <row r="185" spans="1:43" x14ac:dyDescent="0.25">
      <c r="A185" s="6">
        <v>22890318</v>
      </c>
      <c r="B185" s="6">
        <v>23665865</v>
      </c>
      <c r="C185" s="6" t="s">
        <v>248</v>
      </c>
      <c r="D185" s="14">
        <v>45908.709722222222</v>
      </c>
      <c r="E185" s="14">
        <v>45908.713229166657</v>
      </c>
      <c r="F185" s="6" t="s">
        <v>19</v>
      </c>
      <c r="G185" s="6" t="s">
        <v>19</v>
      </c>
      <c r="H185" s="6" t="s">
        <v>862</v>
      </c>
      <c r="I185" s="6" t="s">
        <v>14</v>
      </c>
      <c r="J185" s="6" t="s">
        <v>832</v>
      </c>
      <c r="K185" s="6" t="s">
        <v>840</v>
      </c>
      <c r="L185" s="6" t="s">
        <v>840</v>
      </c>
      <c r="M185" s="14">
        <v>45908</v>
      </c>
      <c r="N185" s="6">
        <v>17481512</v>
      </c>
      <c r="O185" s="6" t="s">
        <v>91</v>
      </c>
      <c r="P185" s="6" t="s">
        <v>252</v>
      </c>
      <c r="Q185" s="6" t="s">
        <v>253</v>
      </c>
      <c r="R185" s="6" t="s">
        <v>253</v>
      </c>
      <c r="S185" s="6" t="s">
        <v>9</v>
      </c>
      <c r="T185" s="6" t="s">
        <v>254</v>
      </c>
      <c r="U185" s="6" t="s">
        <v>115</v>
      </c>
      <c r="V185" s="6" t="s">
        <v>826</v>
      </c>
      <c r="W185" s="6" t="s">
        <v>91</v>
      </c>
      <c r="X185" s="6" t="s">
        <v>91</v>
      </c>
      <c r="Y185" s="6" t="s">
        <v>91</v>
      </c>
      <c r="Z185" s="6" t="s">
        <v>52</v>
      </c>
      <c r="AA185" s="6" t="s">
        <v>91</v>
      </c>
      <c r="AB185" s="6">
        <v>794.73</v>
      </c>
      <c r="AC185" s="6">
        <v>0</v>
      </c>
      <c r="AD185" s="6">
        <v>0</v>
      </c>
      <c r="AE185" s="6">
        <v>0</v>
      </c>
      <c r="AF185" s="6">
        <v>0</v>
      </c>
      <c r="AG185" s="6">
        <v>79.47</v>
      </c>
      <c r="AH185" s="6">
        <v>0</v>
      </c>
      <c r="AI185" s="6" t="s">
        <v>863</v>
      </c>
      <c r="AJ185" s="6" t="s">
        <v>257</v>
      </c>
      <c r="AK185" s="6" t="s">
        <v>14</v>
      </c>
      <c r="AL185" s="6" t="s">
        <v>48</v>
      </c>
      <c r="AM185" s="6" t="s">
        <v>258</v>
      </c>
      <c r="AN185" s="6" t="s">
        <v>20</v>
      </c>
      <c r="AO185" s="6" t="s">
        <v>272</v>
      </c>
      <c r="AP185" s="6" t="s">
        <v>273</v>
      </c>
      <c r="AQ185" s="6" t="s">
        <v>18</v>
      </c>
    </row>
    <row r="186" spans="1:43" x14ac:dyDescent="0.25">
      <c r="A186" s="6">
        <v>22890319</v>
      </c>
      <c r="B186" s="6">
        <v>23665866</v>
      </c>
      <c r="C186" s="6" t="s">
        <v>248</v>
      </c>
      <c r="D186" s="14">
        <v>45908.709768518522</v>
      </c>
      <c r="E186" s="14">
        <v>45908.713229166657</v>
      </c>
      <c r="F186" s="6" t="s">
        <v>19</v>
      </c>
      <c r="G186" s="6" t="s">
        <v>19</v>
      </c>
      <c r="H186" s="6" t="s">
        <v>864</v>
      </c>
      <c r="I186" s="6" t="s">
        <v>14</v>
      </c>
      <c r="J186" s="6" t="s">
        <v>844</v>
      </c>
      <c r="K186" s="6" t="s">
        <v>840</v>
      </c>
      <c r="L186" s="6" t="s">
        <v>840</v>
      </c>
      <c r="M186" s="14">
        <v>45908</v>
      </c>
      <c r="N186" s="6">
        <v>17482128</v>
      </c>
      <c r="O186" s="6" t="s">
        <v>91</v>
      </c>
      <c r="P186" s="6" t="s">
        <v>252</v>
      </c>
      <c r="Q186" s="6" t="s">
        <v>253</v>
      </c>
      <c r="R186" s="6" t="s">
        <v>253</v>
      </c>
      <c r="S186" s="6" t="s">
        <v>9</v>
      </c>
      <c r="T186" s="6" t="s">
        <v>254</v>
      </c>
      <c r="U186" s="6" t="s">
        <v>115</v>
      </c>
      <c r="V186" s="6" t="s">
        <v>826</v>
      </c>
      <c r="W186" s="6" t="s">
        <v>91</v>
      </c>
      <c r="X186" s="6" t="s">
        <v>91</v>
      </c>
      <c r="Y186" s="6" t="s">
        <v>91</v>
      </c>
      <c r="Z186" s="6" t="s">
        <v>52</v>
      </c>
      <c r="AA186" s="6" t="s">
        <v>91</v>
      </c>
      <c r="AB186" s="6">
        <v>264.91000000000003</v>
      </c>
      <c r="AC186" s="6">
        <v>0</v>
      </c>
      <c r="AD186" s="6">
        <v>0</v>
      </c>
      <c r="AE186" s="6">
        <v>0</v>
      </c>
      <c r="AF186" s="6">
        <v>0</v>
      </c>
      <c r="AG186" s="6">
        <v>26.49</v>
      </c>
      <c r="AH186" s="6">
        <v>0</v>
      </c>
      <c r="AI186" s="6" t="s">
        <v>865</v>
      </c>
      <c r="AJ186" s="6" t="s">
        <v>257</v>
      </c>
      <c r="AK186" s="6" t="s">
        <v>14</v>
      </c>
      <c r="AL186" s="6" t="s">
        <v>48</v>
      </c>
      <c r="AM186" s="6" t="s">
        <v>258</v>
      </c>
      <c r="AN186" s="6" t="s">
        <v>20</v>
      </c>
      <c r="AO186" s="6" t="s">
        <v>272</v>
      </c>
      <c r="AP186" s="6" t="s">
        <v>273</v>
      </c>
      <c r="AQ186" s="6" t="s">
        <v>18</v>
      </c>
    </row>
    <row r="187" spans="1:43" x14ac:dyDescent="0.25">
      <c r="A187" s="6">
        <v>22826382</v>
      </c>
      <c r="B187" s="6">
        <v>23611623</v>
      </c>
      <c r="C187" s="6" t="s">
        <v>248</v>
      </c>
      <c r="D187" s="14">
        <v>45897.435937499999</v>
      </c>
      <c r="E187" s="14">
        <v>45902.550162037027</v>
      </c>
      <c r="F187" s="6" t="s">
        <v>23</v>
      </c>
      <c r="G187" s="6" t="s">
        <v>23</v>
      </c>
      <c r="H187" s="6" t="s">
        <v>866</v>
      </c>
      <c r="I187" s="6" t="s">
        <v>14</v>
      </c>
      <c r="J187" s="6" t="s">
        <v>867</v>
      </c>
      <c r="K187" s="6" t="s">
        <v>840</v>
      </c>
      <c r="L187" s="6" t="s">
        <v>840</v>
      </c>
      <c r="M187" s="14">
        <v>45896.627083333333</v>
      </c>
      <c r="N187" s="6">
        <v>17393510</v>
      </c>
      <c r="O187" s="6" t="s">
        <v>868</v>
      </c>
      <c r="P187" s="6" t="s">
        <v>252</v>
      </c>
      <c r="Q187" s="6" t="s">
        <v>268</v>
      </c>
      <c r="R187" s="6" t="s">
        <v>269</v>
      </c>
      <c r="S187" s="6" t="s">
        <v>8</v>
      </c>
      <c r="T187" s="6" t="s">
        <v>254</v>
      </c>
      <c r="U187" s="6" t="s">
        <v>115</v>
      </c>
      <c r="V187" s="6" t="s">
        <v>826</v>
      </c>
      <c r="W187" s="6" t="s">
        <v>91</v>
      </c>
      <c r="X187" s="6" t="s">
        <v>91</v>
      </c>
      <c r="Y187" s="6" t="s">
        <v>91</v>
      </c>
      <c r="Z187" s="6" t="s">
        <v>52</v>
      </c>
      <c r="AA187" s="6" t="s">
        <v>91</v>
      </c>
      <c r="AB187" s="6">
        <v>449.66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 t="s">
        <v>869</v>
      </c>
      <c r="AJ187" s="6" t="s">
        <v>257</v>
      </c>
      <c r="AK187" s="6" t="s">
        <v>14</v>
      </c>
      <c r="AL187" s="6" t="s">
        <v>48</v>
      </c>
      <c r="AM187" s="6" t="s">
        <v>258</v>
      </c>
      <c r="AN187" s="6" t="s">
        <v>20</v>
      </c>
      <c r="AO187" s="6" t="s">
        <v>272</v>
      </c>
      <c r="AP187" s="6" t="s">
        <v>273</v>
      </c>
      <c r="AQ187" s="6" t="s">
        <v>18</v>
      </c>
    </row>
    <row r="188" spans="1:43" x14ac:dyDescent="0.25">
      <c r="A188" s="6">
        <v>22826253</v>
      </c>
      <c r="B188" s="6">
        <v>23611499</v>
      </c>
      <c r="C188" s="6" t="s">
        <v>248</v>
      </c>
      <c r="D188" s="14">
        <v>45897.434004629627</v>
      </c>
      <c r="E188" s="14">
        <v>45897.447060185194</v>
      </c>
      <c r="F188" s="6" t="s">
        <v>23</v>
      </c>
      <c r="G188" s="6" t="s">
        <v>23</v>
      </c>
      <c r="H188" s="6" t="s">
        <v>870</v>
      </c>
      <c r="I188" s="6" t="s">
        <v>14</v>
      </c>
      <c r="J188" s="6" t="s">
        <v>871</v>
      </c>
      <c r="K188" s="6" t="s">
        <v>840</v>
      </c>
      <c r="L188" s="6" t="s">
        <v>840</v>
      </c>
      <c r="M188" s="14">
        <v>45896</v>
      </c>
      <c r="N188" s="6">
        <v>17385092</v>
      </c>
      <c r="O188" s="6" t="s">
        <v>91</v>
      </c>
      <c r="P188" s="6" t="s">
        <v>252</v>
      </c>
      <c r="Q188" s="6" t="s">
        <v>253</v>
      </c>
      <c r="R188" s="6" t="s">
        <v>253</v>
      </c>
      <c r="S188" s="6" t="s">
        <v>9</v>
      </c>
      <c r="T188" s="6" t="s">
        <v>254</v>
      </c>
      <c r="U188" s="6" t="s">
        <v>115</v>
      </c>
      <c r="V188" s="6" t="s">
        <v>826</v>
      </c>
      <c r="W188" s="6" t="s">
        <v>91</v>
      </c>
      <c r="X188" s="6" t="s">
        <v>91</v>
      </c>
      <c r="Y188" s="6" t="s">
        <v>91</v>
      </c>
      <c r="Z188" s="6" t="s">
        <v>52</v>
      </c>
      <c r="AA188" s="6" t="s">
        <v>91</v>
      </c>
      <c r="AB188" s="6">
        <v>2890</v>
      </c>
      <c r="AC188" s="6">
        <v>0</v>
      </c>
      <c r="AD188" s="6">
        <v>0</v>
      </c>
      <c r="AE188" s="6">
        <v>0</v>
      </c>
      <c r="AF188" s="6">
        <v>0</v>
      </c>
      <c r="AG188" s="6">
        <v>144.5</v>
      </c>
      <c r="AH188" s="6">
        <v>0</v>
      </c>
      <c r="AI188" s="6" t="s">
        <v>872</v>
      </c>
      <c r="AJ188" s="6" t="s">
        <v>257</v>
      </c>
      <c r="AK188" s="6" t="s">
        <v>14</v>
      </c>
      <c r="AL188" s="6" t="s">
        <v>48</v>
      </c>
      <c r="AM188" s="6" t="s">
        <v>258</v>
      </c>
      <c r="AN188" s="6" t="s">
        <v>20</v>
      </c>
      <c r="AO188" s="6" t="s">
        <v>272</v>
      </c>
      <c r="AP188" s="6" t="s">
        <v>273</v>
      </c>
      <c r="AQ188" s="6" t="s">
        <v>18</v>
      </c>
    </row>
    <row r="189" spans="1:43" x14ac:dyDescent="0.25">
      <c r="A189" s="6">
        <v>22828572</v>
      </c>
      <c r="B189" s="6">
        <v>23614003</v>
      </c>
      <c r="C189" s="6" t="s">
        <v>248</v>
      </c>
      <c r="D189" s="14">
        <v>45897.715740740743</v>
      </c>
      <c r="E189" s="14">
        <v>45902.550196759257</v>
      </c>
      <c r="F189" s="6" t="s">
        <v>23</v>
      </c>
      <c r="G189" s="6" t="s">
        <v>23</v>
      </c>
      <c r="H189" s="6" t="s">
        <v>873</v>
      </c>
      <c r="I189" s="6" t="s">
        <v>14</v>
      </c>
      <c r="J189" s="6" t="s">
        <v>874</v>
      </c>
      <c r="K189" s="6" t="s">
        <v>840</v>
      </c>
      <c r="L189" s="6" t="s">
        <v>840</v>
      </c>
      <c r="M189" s="14">
        <v>45897.427083333343</v>
      </c>
      <c r="N189" s="6">
        <v>17395669</v>
      </c>
      <c r="O189" s="6" t="s">
        <v>875</v>
      </c>
      <c r="P189" s="6" t="s">
        <v>252</v>
      </c>
      <c r="Q189" s="6" t="s">
        <v>268</v>
      </c>
      <c r="R189" s="6" t="s">
        <v>269</v>
      </c>
      <c r="S189" s="6" t="s">
        <v>8</v>
      </c>
      <c r="T189" s="6" t="s">
        <v>254</v>
      </c>
      <c r="U189" s="6" t="s">
        <v>115</v>
      </c>
      <c r="V189" s="6" t="s">
        <v>826</v>
      </c>
      <c r="W189" s="6" t="s">
        <v>91</v>
      </c>
      <c r="X189" s="6" t="s">
        <v>91</v>
      </c>
      <c r="Y189" s="6" t="s">
        <v>91</v>
      </c>
      <c r="Z189" s="6" t="s">
        <v>52</v>
      </c>
      <c r="AA189" s="6" t="s">
        <v>91</v>
      </c>
      <c r="AB189" s="6">
        <v>416.26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876</v>
      </c>
      <c r="AJ189" s="6" t="s">
        <v>257</v>
      </c>
      <c r="AK189" s="6" t="s">
        <v>14</v>
      </c>
      <c r="AL189" s="6" t="s">
        <v>48</v>
      </c>
      <c r="AM189" s="6" t="s">
        <v>258</v>
      </c>
      <c r="AN189" s="6" t="s">
        <v>20</v>
      </c>
      <c r="AO189" s="6" t="s">
        <v>272</v>
      </c>
      <c r="AP189" s="6" t="s">
        <v>273</v>
      </c>
      <c r="AQ189" s="6" t="s">
        <v>18</v>
      </c>
    </row>
    <row r="190" spans="1:43" x14ac:dyDescent="0.25">
      <c r="A190" s="6">
        <v>22828016</v>
      </c>
      <c r="B190" s="6">
        <v>23613403</v>
      </c>
      <c r="C190" s="6" t="s">
        <v>248</v>
      </c>
      <c r="D190" s="14">
        <v>45897.638055555559</v>
      </c>
      <c r="E190" s="14">
        <v>45902.550173611111</v>
      </c>
      <c r="F190" s="6" t="s">
        <v>23</v>
      </c>
      <c r="G190" s="6" t="s">
        <v>23</v>
      </c>
      <c r="H190" s="6" t="s">
        <v>877</v>
      </c>
      <c r="I190" s="6" t="s">
        <v>14</v>
      </c>
      <c r="J190" s="6" t="s">
        <v>836</v>
      </c>
      <c r="K190" s="6" t="s">
        <v>840</v>
      </c>
      <c r="L190" s="6" t="s">
        <v>840</v>
      </c>
      <c r="M190" s="14">
        <v>45897.597222222219</v>
      </c>
      <c r="N190" s="6">
        <v>17402673</v>
      </c>
      <c r="O190" s="6" t="s">
        <v>878</v>
      </c>
      <c r="P190" s="6" t="s">
        <v>252</v>
      </c>
      <c r="Q190" s="6" t="s">
        <v>268</v>
      </c>
      <c r="R190" s="6" t="s">
        <v>269</v>
      </c>
      <c r="S190" s="6" t="s">
        <v>8</v>
      </c>
      <c r="T190" s="6" t="s">
        <v>254</v>
      </c>
      <c r="U190" s="6" t="s">
        <v>115</v>
      </c>
      <c r="V190" s="6" t="s">
        <v>826</v>
      </c>
      <c r="W190" s="6" t="s">
        <v>91</v>
      </c>
      <c r="X190" s="6" t="s">
        <v>91</v>
      </c>
      <c r="Y190" s="6" t="s">
        <v>91</v>
      </c>
      <c r="Z190" s="6" t="s">
        <v>52</v>
      </c>
      <c r="AA190" s="6" t="s">
        <v>91</v>
      </c>
      <c r="AB190" s="6">
        <v>624.39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879</v>
      </c>
      <c r="AJ190" s="6" t="s">
        <v>257</v>
      </c>
      <c r="AK190" s="6" t="s">
        <v>14</v>
      </c>
      <c r="AL190" s="6" t="s">
        <v>48</v>
      </c>
      <c r="AM190" s="6" t="s">
        <v>258</v>
      </c>
      <c r="AN190" s="6" t="s">
        <v>20</v>
      </c>
      <c r="AO190" s="6" t="s">
        <v>272</v>
      </c>
      <c r="AP190" s="6" t="s">
        <v>273</v>
      </c>
      <c r="AQ190" s="6" t="s">
        <v>18</v>
      </c>
    </row>
    <row r="191" spans="1:43" x14ac:dyDescent="0.25">
      <c r="A191" s="6">
        <v>22848185</v>
      </c>
      <c r="B191" s="6">
        <v>23629746</v>
      </c>
      <c r="C191" s="6" t="s">
        <v>248</v>
      </c>
      <c r="D191" s="14">
        <v>45901.584606481483</v>
      </c>
      <c r="E191" s="14">
        <v>45902.550416666672</v>
      </c>
      <c r="F191" s="6" t="s">
        <v>23</v>
      </c>
      <c r="G191" s="6" t="s">
        <v>23</v>
      </c>
      <c r="H191" s="6" t="s">
        <v>880</v>
      </c>
      <c r="I191" s="6" t="s">
        <v>14</v>
      </c>
      <c r="J191" s="6" t="s">
        <v>881</v>
      </c>
      <c r="K191" s="6" t="s">
        <v>840</v>
      </c>
      <c r="L191" s="6" t="s">
        <v>840</v>
      </c>
      <c r="M191" s="14">
        <v>45901.488194444442</v>
      </c>
      <c r="N191" s="6">
        <v>17424258</v>
      </c>
      <c r="O191" s="6" t="s">
        <v>882</v>
      </c>
      <c r="P191" s="6" t="s">
        <v>252</v>
      </c>
      <c r="Q191" s="6" t="s">
        <v>268</v>
      </c>
      <c r="R191" s="6" t="s">
        <v>269</v>
      </c>
      <c r="S191" s="6" t="s">
        <v>8</v>
      </c>
      <c r="T191" s="6" t="s">
        <v>254</v>
      </c>
      <c r="U191" s="6" t="s">
        <v>115</v>
      </c>
      <c r="V191" s="6" t="s">
        <v>826</v>
      </c>
      <c r="W191" s="6" t="s">
        <v>91</v>
      </c>
      <c r="X191" s="6" t="s">
        <v>91</v>
      </c>
      <c r="Y191" s="6" t="s">
        <v>91</v>
      </c>
      <c r="Z191" s="6" t="s">
        <v>52</v>
      </c>
      <c r="AA191" s="6" t="s">
        <v>91</v>
      </c>
      <c r="AB191" s="6">
        <v>236.66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883</v>
      </c>
      <c r="AJ191" s="6" t="s">
        <v>257</v>
      </c>
      <c r="AK191" s="6" t="s">
        <v>14</v>
      </c>
      <c r="AL191" s="6" t="s">
        <v>48</v>
      </c>
      <c r="AM191" s="6" t="s">
        <v>258</v>
      </c>
      <c r="AN191" s="6" t="s">
        <v>20</v>
      </c>
      <c r="AO191" s="6" t="s">
        <v>272</v>
      </c>
      <c r="AP191" s="6" t="s">
        <v>273</v>
      </c>
      <c r="AQ191" s="6" t="s">
        <v>18</v>
      </c>
    </row>
    <row r="192" spans="1:43" x14ac:dyDescent="0.25">
      <c r="A192" s="6">
        <v>22848428</v>
      </c>
      <c r="B192" s="6">
        <v>23629992</v>
      </c>
      <c r="C192" s="6" t="s">
        <v>248</v>
      </c>
      <c r="D192" s="14">
        <v>45901.625509259262</v>
      </c>
      <c r="E192" s="14">
        <v>45901.625844907408</v>
      </c>
      <c r="F192" s="6" t="s">
        <v>23</v>
      </c>
      <c r="G192" s="6" t="s">
        <v>23</v>
      </c>
      <c r="H192" s="6" t="s">
        <v>884</v>
      </c>
      <c r="I192" s="6" t="s">
        <v>14</v>
      </c>
      <c r="J192" s="6" t="s">
        <v>885</v>
      </c>
      <c r="K192" s="6" t="s">
        <v>840</v>
      </c>
      <c r="L192" s="6" t="s">
        <v>840</v>
      </c>
      <c r="M192" s="14">
        <v>45895.440972222219</v>
      </c>
      <c r="N192" s="6">
        <v>17378772</v>
      </c>
      <c r="O192" s="6" t="s">
        <v>91</v>
      </c>
      <c r="P192" s="6" t="s">
        <v>252</v>
      </c>
      <c r="Q192" s="6" t="s">
        <v>268</v>
      </c>
      <c r="R192" s="6" t="s">
        <v>269</v>
      </c>
      <c r="S192" s="6" t="s">
        <v>3</v>
      </c>
      <c r="T192" s="6" t="s">
        <v>254</v>
      </c>
      <c r="U192" s="6" t="s">
        <v>115</v>
      </c>
      <c r="V192" s="6" t="s">
        <v>826</v>
      </c>
      <c r="W192" s="6" t="s">
        <v>91</v>
      </c>
      <c r="X192" s="6" t="s">
        <v>91</v>
      </c>
      <c r="Y192" s="6" t="s">
        <v>91</v>
      </c>
      <c r="Z192" s="6" t="s">
        <v>52</v>
      </c>
      <c r="AA192" s="6" t="s">
        <v>91</v>
      </c>
      <c r="AB192" s="6">
        <v>1716.1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 t="s">
        <v>886</v>
      </c>
      <c r="AJ192" s="6" t="s">
        <v>257</v>
      </c>
      <c r="AK192" s="6" t="s">
        <v>14</v>
      </c>
      <c r="AL192" s="6" t="s">
        <v>48</v>
      </c>
      <c r="AM192" s="6" t="s">
        <v>258</v>
      </c>
      <c r="AN192" s="6" t="s">
        <v>20</v>
      </c>
      <c r="AO192" s="6" t="s">
        <v>272</v>
      </c>
      <c r="AP192" s="6" t="s">
        <v>273</v>
      </c>
      <c r="AQ192" s="6" t="s">
        <v>18</v>
      </c>
    </row>
    <row r="193" spans="1:43" x14ac:dyDescent="0.25">
      <c r="A193" s="6">
        <v>22847121</v>
      </c>
      <c r="B193" s="6">
        <v>23628672</v>
      </c>
      <c r="C193" s="6" t="s">
        <v>248</v>
      </c>
      <c r="D193" s="14">
        <v>45901.500914351847</v>
      </c>
      <c r="E193" s="14">
        <v>45901.504861111112</v>
      </c>
      <c r="F193" s="6" t="s">
        <v>23</v>
      </c>
      <c r="G193" s="6" t="s">
        <v>23</v>
      </c>
      <c r="H193" s="6" t="s">
        <v>887</v>
      </c>
      <c r="I193" s="6" t="s">
        <v>14</v>
      </c>
      <c r="J193" s="6" t="s">
        <v>888</v>
      </c>
      <c r="K193" s="6" t="s">
        <v>840</v>
      </c>
      <c r="L193" s="6" t="s">
        <v>840</v>
      </c>
      <c r="M193" s="14">
        <v>45901</v>
      </c>
      <c r="N193" s="6">
        <v>17411641</v>
      </c>
      <c r="O193" s="6" t="s">
        <v>91</v>
      </c>
      <c r="P193" s="6" t="s">
        <v>252</v>
      </c>
      <c r="Q193" s="6" t="s">
        <v>253</v>
      </c>
      <c r="R193" s="6" t="s">
        <v>253</v>
      </c>
      <c r="S193" s="6" t="s">
        <v>9</v>
      </c>
      <c r="T193" s="6" t="s">
        <v>254</v>
      </c>
      <c r="U193" s="6" t="s">
        <v>115</v>
      </c>
      <c r="V193" s="6" t="s">
        <v>826</v>
      </c>
      <c r="W193" s="6" t="s">
        <v>91</v>
      </c>
      <c r="X193" s="6" t="s">
        <v>91</v>
      </c>
      <c r="Y193" s="6" t="s">
        <v>91</v>
      </c>
      <c r="Z193" s="6" t="s">
        <v>52</v>
      </c>
      <c r="AA193" s="6" t="s">
        <v>91</v>
      </c>
      <c r="AB193" s="6">
        <v>675.32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 t="s">
        <v>889</v>
      </c>
      <c r="AJ193" s="6" t="s">
        <v>257</v>
      </c>
      <c r="AK193" s="6" t="s">
        <v>14</v>
      </c>
      <c r="AL193" s="6" t="s">
        <v>48</v>
      </c>
      <c r="AM193" s="6" t="s">
        <v>258</v>
      </c>
      <c r="AN193" s="6" t="s">
        <v>20</v>
      </c>
      <c r="AO193" s="6" t="s">
        <v>272</v>
      </c>
      <c r="AP193" s="6" t="s">
        <v>273</v>
      </c>
      <c r="AQ193" s="6" t="s">
        <v>18</v>
      </c>
    </row>
    <row r="194" spans="1:43" x14ac:dyDescent="0.25">
      <c r="A194" s="6">
        <v>22866545</v>
      </c>
      <c r="B194" s="6">
        <v>23645679</v>
      </c>
      <c r="C194" s="6" t="s">
        <v>248</v>
      </c>
      <c r="D194" s="14">
        <v>45904.355752314812</v>
      </c>
      <c r="E194" s="14">
        <v>45904.363634259258</v>
      </c>
      <c r="F194" s="6" t="s">
        <v>21</v>
      </c>
      <c r="G194" s="6" t="s">
        <v>21</v>
      </c>
      <c r="H194" s="6" t="s">
        <v>890</v>
      </c>
      <c r="I194" s="6" t="s">
        <v>14</v>
      </c>
      <c r="J194" s="6" t="s">
        <v>891</v>
      </c>
      <c r="K194" s="6" t="s">
        <v>840</v>
      </c>
      <c r="L194" s="6" t="s">
        <v>840</v>
      </c>
      <c r="M194" s="14">
        <v>45902</v>
      </c>
      <c r="N194" s="6">
        <v>17428580</v>
      </c>
      <c r="O194" s="6" t="s">
        <v>91</v>
      </c>
      <c r="P194" s="6" t="s">
        <v>252</v>
      </c>
      <c r="Q194" s="6" t="s">
        <v>253</v>
      </c>
      <c r="R194" s="6" t="s">
        <v>253</v>
      </c>
      <c r="S194" s="6" t="s">
        <v>9</v>
      </c>
      <c r="T194" s="6" t="s">
        <v>254</v>
      </c>
      <c r="U194" s="6" t="s">
        <v>115</v>
      </c>
      <c r="V194" s="6" t="s">
        <v>826</v>
      </c>
      <c r="W194" s="6" t="s">
        <v>91</v>
      </c>
      <c r="X194" s="6" t="s">
        <v>91</v>
      </c>
      <c r="Y194" s="6" t="s">
        <v>91</v>
      </c>
      <c r="Z194" s="6" t="s">
        <v>52</v>
      </c>
      <c r="AA194" s="6" t="s">
        <v>91</v>
      </c>
      <c r="AB194" s="6">
        <v>245</v>
      </c>
      <c r="AC194" s="6">
        <v>0</v>
      </c>
      <c r="AD194" s="6">
        <v>0</v>
      </c>
      <c r="AE194" s="6">
        <v>0</v>
      </c>
      <c r="AF194" s="6">
        <v>0</v>
      </c>
      <c r="AG194" s="6">
        <v>2.89</v>
      </c>
      <c r="AH194" s="6">
        <v>0</v>
      </c>
      <c r="AI194" s="6" t="s">
        <v>892</v>
      </c>
      <c r="AJ194" s="6" t="s">
        <v>257</v>
      </c>
      <c r="AK194" s="6" t="s">
        <v>14</v>
      </c>
      <c r="AL194" s="6" t="s">
        <v>48</v>
      </c>
      <c r="AM194" s="6" t="s">
        <v>258</v>
      </c>
      <c r="AN194" s="6" t="s">
        <v>20</v>
      </c>
      <c r="AO194" s="6" t="s">
        <v>272</v>
      </c>
      <c r="AP194" s="6" t="s">
        <v>273</v>
      </c>
      <c r="AQ194" s="6" t="s">
        <v>18</v>
      </c>
    </row>
    <row r="195" spans="1:43" x14ac:dyDescent="0.25">
      <c r="A195" s="6">
        <v>22866550</v>
      </c>
      <c r="B195" s="6">
        <v>23645682</v>
      </c>
      <c r="C195" s="6" t="s">
        <v>248</v>
      </c>
      <c r="D195" s="14">
        <v>45904.355821759258</v>
      </c>
      <c r="E195" s="14">
        <v>45904.363738425927</v>
      </c>
      <c r="F195" s="6" t="s">
        <v>21</v>
      </c>
      <c r="G195" s="6" t="s">
        <v>21</v>
      </c>
      <c r="H195" s="6" t="s">
        <v>893</v>
      </c>
      <c r="I195" s="6" t="s">
        <v>14</v>
      </c>
      <c r="J195" s="6" t="s">
        <v>891</v>
      </c>
      <c r="K195" s="6" t="s">
        <v>840</v>
      </c>
      <c r="L195" s="6" t="s">
        <v>840</v>
      </c>
      <c r="M195" s="14">
        <v>45902</v>
      </c>
      <c r="N195" s="6">
        <v>17428649</v>
      </c>
      <c r="O195" s="6" t="s">
        <v>91</v>
      </c>
      <c r="P195" s="6" t="s">
        <v>252</v>
      </c>
      <c r="Q195" s="6" t="s">
        <v>253</v>
      </c>
      <c r="R195" s="6" t="s">
        <v>253</v>
      </c>
      <c r="S195" s="6" t="s">
        <v>9</v>
      </c>
      <c r="T195" s="6" t="s">
        <v>254</v>
      </c>
      <c r="U195" s="6" t="s">
        <v>115</v>
      </c>
      <c r="V195" s="6" t="s">
        <v>826</v>
      </c>
      <c r="W195" s="6" t="s">
        <v>91</v>
      </c>
      <c r="X195" s="6" t="s">
        <v>91</v>
      </c>
      <c r="Y195" s="6" t="s">
        <v>91</v>
      </c>
      <c r="Z195" s="6" t="s">
        <v>52</v>
      </c>
      <c r="AA195" s="6" t="s">
        <v>91</v>
      </c>
      <c r="AB195" s="6">
        <v>247</v>
      </c>
      <c r="AC195" s="6">
        <v>0</v>
      </c>
      <c r="AD195" s="6">
        <v>0</v>
      </c>
      <c r="AE195" s="6">
        <v>0</v>
      </c>
      <c r="AF195" s="6">
        <v>0</v>
      </c>
      <c r="AG195" s="6">
        <v>2.89</v>
      </c>
      <c r="AH195" s="6">
        <v>0</v>
      </c>
      <c r="AI195" s="6" t="s">
        <v>894</v>
      </c>
      <c r="AJ195" s="6" t="s">
        <v>257</v>
      </c>
      <c r="AK195" s="6" t="s">
        <v>14</v>
      </c>
      <c r="AL195" s="6" t="s">
        <v>48</v>
      </c>
      <c r="AM195" s="6" t="s">
        <v>258</v>
      </c>
      <c r="AN195" s="6" t="s">
        <v>20</v>
      </c>
      <c r="AO195" s="6" t="s">
        <v>272</v>
      </c>
      <c r="AP195" s="6" t="s">
        <v>273</v>
      </c>
      <c r="AQ195" s="6" t="s">
        <v>18</v>
      </c>
    </row>
    <row r="196" spans="1:43" x14ac:dyDescent="0.25">
      <c r="A196" s="6">
        <v>22853464</v>
      </c>
      <c r="B196" s="6">
        <v>23634301</v>
      </c>
      <c r="C196" s="6" t="s">
        <v>248</v>
      </c>
      <c r="D196" s="14">
        <v>45902.458518518521</v>
      </c>
      <c r="E196" s="14">
        <v>45902.458819444437</v>
      </c>
      <c r="F196" s="6" t="s">
        <v>23</v>
      </c>
      <c r="G196" s="6" t="s">
        <v>23</v>
      </c>
      <c r="H196" s="6" t="s">
        <v>895</v>
      </c>
      <c r="I196" s="6" t="s">
        <v>14</v>
      </c>
      <c r="J196" s="6" t="s">
        <v>896</v>
      </c>
      <c r="K196" s="6" t="s">
        <v>840</v>
      </c>
      <c r="L196" s="6" t="s">
        <v>840</v>
      </c>
      <c r="M196" s="14">
        <v>45902</v>
      </c>
      <c r="N196" s="6">
        <v>17369760</v>
      </c>
      <c r="O196" s="6" t="s">
        <v>91</v>
      </c>
      <c r="P196" s="6" t="s">
        <v>252</v>
      </c>
      <c r="Q196" s="6" t="s">
        <v>253</v>
      </c>
      <c r="R196" s="6" t="s">
        <v>253</v>
      </c>
      <c r="S196" s="6" t="s">
        <v>9</v>
      </c>
      <c r="T196" s="6" t="s">
        <v>254</v>
      </c>
      <c r="U196" s="6" t="s">
        <v>115</v>
      </c>
      <c r="V196" s="6" t="s">
        <v>826</v>
      </c>
      <c r="W196" s="6" t="s">
        <v>91</v>
      </c>
      <c r="X196" s="6" t="s">
        <v>91</v>
      </c>
      <c r="Y196" s="6" t="s">
        <v>91</v>
      </c>
      <c r="Z196" s="6" t="s">
        <v>52</v>
      </c>
      <c r="AA196" s="6" t="s">
        <v>91</v>
      </c>
      <c r="AB196" s="6">
        <v>1529</v>
      </c>
      <c r="AC196" s="6">
        <v>0</v>
      </c>
      <c r="AD196" s="6">
        <v>0</v>
      </c>
      <c r="AE196" s="6">
        <v>0</v>
      </c>
      <c r="AF196" s="6">
        <v>0</v>
      </c>
      <c r="AG196" s="6">
        <v>76.45</v>
      </c>
      <c r="AH196" s="6">
        <v>0</v>
      </c>
      <c r="AI196" s="6" t="s">
        <v>897</v>
      </c>
      <c r="AJ196" s="6" t="s">
        <v>257</v>
      </c>
      <c r="AK196" s="6" t="s">
        <v>14</v>
      </c>
      <c r="AL196" s="6" t="s">
        <v>48</v>
      </c>
      <c r="AM196" s="6" t="s">
        <v>258</v>
      </c>
      <c r="AN196" s="6" t="s">
        <v>20</v>
      </c>
      <c r="AO196" s="6" t="s">
        <v>272</v>
      </c>
      <c r="AP196" s="6" t="s">
        <v>273</v>
      </c>
      <c r="AQ196" s="6" t="s">
        <v>18</v>
      </c>
    </row>
    <row r="197" spans="1:43" x14ac:dyDescent="0.25">
      <c r="A197" s="6">
        <v>22854730</v>
      </c>
      <c r="B197" s="6">
        <v>23635512</v>
      </c>
      <c r="C197" s="6" t="s">
        <v>248</v>
      </c>
      <c r="D197" s="14">
        <v>45902.583854166667</v>
      </c>
      <c r="E197" s="14">
        <v>45902.584166666667</v>
      </c>
      <c r="F197" s="6" t="s">
        <v>23</v>
      </c>
      <c r="G197" s="6" t="s">
        <v>23</v>
      </c>
      <c r="H197" s="6" t="s">
        <v>898</v>
      </c>
      <c r="I197" s="6" t="s">
        <v>14</v>
      </c>
      <c r="J197" s="6" t="s">
        <v>899</v>
      </c>
      <c r="K197" s="6" t="s">
        <v>840</v>
      </c>
      <c r="L197" s="6" t="s">
        <v>840</v>
      </c>
      <c r="M197" s="14">
        <v>45902</v>
      </c>
      <c r="N197" s="6">
        <v>17409000</v>
      </c>
      <c r="O197" s="6" t="s">
        <v>91</v>
      </c>
      <c r="P197" s="6" t="s">
        <v>252</v>
      </c>
      <c r="Q197" s="6" t="s">
        <v>253</v>
      </c>
      <c r="R197" s="6" t="s">
        <v>253</v>
      </c>
      <c r="S197" s="6" t="s">
        <v>9</v>
      </c>
      <c r="T197" s="6" t="s">
        <v>254</v>
      </c>
      <c r="U197" s="6" t="s">
        <v>115</v>
      </c>
      <c r="V197" s="6" t="s">
        <v>826</v>
      </c>
      <c r="W197" s="6" t="s">
        <v>91</v>
      </c>
      <c r="X197" s="6" t="s">
        <v>91</v>
      </c>
      <c r="Y197" s="6" t="s">
        <v>91</v>
      </c>
      <c r="Z197" s="6" t="s">
        <v>52</v>
      </c>
      <c r="AA197" s="6" t="s">
        <v>91</v>
      </c>
      <c r="AB197" s="6">
        <v>256.7</v>
      </c>
      <c r="AC197" s="6">
        <v>0</v>
      </c>
      <c r="AD197" s="6">
        <v>0</v>
      </c>
      <c r="AE197" s="6">
        <v>0</v>
      </c>
      <c r="AF197" s="6">
        <v>0</v>
      </c>
      <c r="AG197" s="6">
        <v>7.7</v>
      </c>
      <c r="AH197" s="6">
        <v>0</v>
      </c>
      <c r="AI197" s="6" t="s">
        <v>900</v>
      </c>
      <c r="AJ197" s="6" t="s">
        <v>257</v>
      </c>
      <c r="AK197" s="6" t="s">
        <v>14</v>
      </c>
      <c r="AL197" s="6" t="s">
        <v>48</v>
      </c>
      <c r="AM197" s="6" t="s">
        <v>258</v>
      </c>
      <c r="AN197" s="6" t="s">
        <v>20</v>
      </c>
      <c r="AO197" s="6" t="s">
        <v>272</v>
      </c>
      <c r="AP197" s="6" t="s">
        <v>273</v>
      </c>
      <c r="AQ197" s="6" t="s">
        <v>18</v>
      </c>
    </row>
    <row r="198" spans="1:43" x14ac:dyDescent="0.25">
      <c r="A198" s="6">
        <v>22902383</v>
      </c>
      <c r="B198" s="6">
        <v>23676482</v>
      </c>
      <c r="C198" s="6" t="s">
        <v>248</v>
      </c>
      <c r="D198" s="14">
        <v>45910.585439814808</v>
      </c>
      <c r="E198" s="14">
        <v>45910.588229166657</v>
      </c>
      <c r="F198" s="6" t="s">
        <v>17</v>
      </c>
      <c r="G198" s="6" t="s">
        <v>17</v>
      </c>
      <c r="H198" s="6" t="s">
        <v>901</v>
      </c>
      <c r="I198" s="6" t="s">
        <v>14</v>
      </c>
      <c r="J198" s="6" t="s">
        <v>902</v>
      </c>
      <c r="K198" s="6" t="s">
        <v>840</v>
      </c>
      <c r="L198" s="6" t="s">
        <v>840</v>
      </c>
      <c r="M198" s="14">
        <v>45910.425694444442</v>
      </c>
      <c r="N198" s="6">
        <v>17503390</v>
      </c>
      <c r="O198" s="6" t="s">
        <v>903</v>
      </c>
      <c r="P198" s="6" t="s">
        <v>252</v>
      </c>
      <c r="Q198" s="6" t="s">
        <v>268</v>
      </c>
      <c r="R198" s="6" t="s">
        <v>269</v>
      </c>
      <c r="S198" s="6" t="s">
        <v>8</v>
      </c>
      <c r="T198" s="6" t="s">
        <v>254</v>
      </c>
      <c r="U198" s="6" t="s">
        <v>115</v>
      </c>
      <c r="V198" s="6" t="s">
        <v>826</v>
      </c>
      <c r="W198" s="6" t="s">
        <v>91</v>
      </c>
      <c r="X198" s="6" t="s">
        <v>91</v>
      </c>
      <c r="Y198" s="6" t="s">
        <v>91</v>
      </c>
      <c r="Z198" s="6" t="s">
        <v>52</v>
      </c>
      <c r="AA198" s="6" t="s">
        <v>91</v>
      </c>
      <c r="AB198" s="6">
        <v>313.64999999999998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 t="s">
        <v>904</v>
      </c>
      <c r="AJ198" s="6" t="s">
        <v>257</v>
      </c>
      <c r="AK198" s="6" t="s">
        <v>14</v>
      </c>
      <c r="AL198" s="6" t="s">
        <v>48</v>
      </c>
      <c r="AM198" s="6" t="s">
        <v>258</v>
      </c>
      <c r="AN198" s="6" t="s">
        <v>20</v>
      </c>
      <c r="AO198" s="6" t="s">
        <v>272</v>
      </c>
      <c r="AP198" s="6" t="s">
        <v>273</v>
      </c>
      <c r="AQ198" s="6" t="s">
        <v>18</v>
      </c>
    </row>
    <row r="199" spans="1:43" x14ac:dyDescent="0.25">
      <c r="A199" s="6">
        <v>22902918</v>
      </c>
      <c r="B199" s="6">
        <v>23676993</v>
      </c>
      <c r="C199" s="6" t="s">
        <v>248</v>
      </c>
      <c r="D199" s="14">
        <v>45910.667743055557</v>
      </c>
      <c r="E199" s="14">
        <v>45910.671041666668</v>
      </c>
      <c r="F199" s="6" t="s">
        <v>17</v>
      </c>
      <c r="G199" s="6" t="s">
        <v>17</v>
      </c>
      <c r="H199" s="6" t="s">
        <v>905</v>
      </c>
      <c r="I199" s="6" t="s">
        <v>14</v>
      </c>
      <c r="J199" s="6" t="s">
        <v>906</v>
      </c>
      <c r="K199" s="6" t="s">
        <v>840</v>
      </c>
      <c r="L199" s="6" t="s">
        <v>840</v>
      </c>
      <c r="M199" s="14">
        <v>45901.427083333343</v>
      </c>
      <c r="N199" s="6">
        <v>17420318</v>
      </c>
      <c r="O199" s="6" t="s">
        <v>907</v>
      </c>
      <c r="P199" s="6" t="s">
        <v>252</v>
      </c>
      <c r="Q199" s="6" t="s">
        <v>268</v>
      </c>
      <c r="R199" s="6" t="s">
        <v>269</v>
      </c>
      <c r="S199" s="6" t="s">
        <v>8</v>
      </c>
      <c r="T199" s="6" t="s">
        <v>254</v>
      </c>
      <c r="U199" s="6" t="s">
        <v>115</v>
      </c>
      <c r="V199" s="6" t="s">
        <v>826</v>
      </c>
      <c r="W199" s="6" t="s">
        <v>91</v>
      </c>
      <c r="X199" s="6" t="s">
        <v>91</v>
      </c>
      <c r="Y199" s="6" t="s">
        <v>91</v>
      </c>
      <c r="Z199" s="6" t="s">
        <v>52</v>
      </c>
      <c r="AA199" s="6" t="s">
        <v>91</v>
      </c>
      <c r="AB199" s="6">
        <v>891.54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908</v>
      </c>
      <c r="AJ199" s="6" t="s">
        <v>257</v>
      </c>
      <c r="AK199" s="6" t="s">
        <v>14</v>
      </c>
      <c r="AL199" s="6" t="s">
        <v>48</v>
      </c>
      <c r="AM199" s="6" t="s">
        <v>258</v>
      </c>
      <c r="AN199" s="6" t="s">
        <v>20</v>
      </c>
      <c r="AO199" s="6" t="s">
        <v>272</v>
      </c>
      <c r="AP199" s="6" t="s">
        <v>273</v>
      </c>
      <c r="AQ199" s="6" t="s">
        <v>18</v>
      </c>
    </row>
    <row r="200" spans="1:43" x14ac:dyDescent="0.25">
      <c r="A200" s="6">
        <v>22903171</v>
      </c>
      <c r="B200" s="6">
        <v>23677270</v>
      </c>
      <c r="C200" s="6" t="s">
        <v>248</v>
      </c>
      <c r="D200" s="14">
        <v>45910.709965277783</v>
      </c>
      <c r="E200" s="14">
        <v>45910.713159722232</v>
      </c>
      <c r="F200" s="6" t="s">
        <v>17</v>
      </c>
      <c r="G200" s="6" t="s">
        <v>17</v>
      </c>
      <c r="H200" s="6" t="s">
        <v>909</v>
      </c>
      <c r="I200" s="6" t="s">
        <v>14</v>
      </c>
      <c r="J200" s="6" t="s">
        <v>910</v>
      </c>
      <c r="K200" s="6" t="s">
        <v>840</v>
      </c>
      <c r="L200" s="6" t="s">
        <v>840</v>
      </c>
      <c r="M200" s="14">
        <v>45910</v>
      </c>
      <c r="N200" s="6">
        <v>17413933</v>
      </c>
      <c r="O200" s="6" t="s">
        <v>91</v>
      </c>
      <c r="P200" s="6" t="s">
        <v>252</v>
      </c>
      <c r="Q200" s="6" t="s">
        <v>253</v>
      </c>
      <c r="R200" s="6" t="s">
        <v>253</v>
      </c>
      <c r="S200" s="6" t="s">
        <v>9</v>
      </c>
      <c r="T200" s="6" t="s">
        <v>254</v>
      </c>
      <c r="U200" s="6" t="s">
        <v>115</v>
      </c>
      <c r="V200" s="6" t="s">
        <v>826</v>
      </c>
      <c r="W200" s="6" t="s">
        <v>91</v>
      </c>
      <c r="X200" s="6" t="s">
        <v>91</v>
      </c>
      <c r="Y200" s="6" t="s">
        <v>91</v>
      </c>
      <c r="Z200" s="6" t="s">
        <v>52</v>
      </c>
      <c r="AA200" s="6" t="s">
        <v>91</v>
      </c>
      <c r="AB200" s="6">
        <v>1020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911</v>
      </c>
      <c r="AJ200" s="6" t="s">
        <v>257</v>
      </c>
      <c r="AK200" s="6" t="s">
        <v>14</v>
      </c>
      <c r="AL200" s="6" t="s">
        <v>48</v>
      </c>
      <c r="AM200" s="6" t="s">
        <v>258</v>
      </c>
      <c r="AN200" s="6" t="s">
        <v>20</v>
      </c>
      <c r="AO200" s="6" t="s">
        <v>272</v>
      </c>
      <c r="AP200" s="6" t="s">
        <v>273</v>
      </c>
      <c r="AQ200" s="6" t="s">
        <v>18</v>
      </c>
    </row>
    <row r="201" spans="1:43" x14ac:dyDescent="0.25">
      <c r="A201" s="6">
        <v>22866624</v>
      </c>
      <c r="B201" s="6">
        <v>23645752</v>
      </c>
      <c r="C201" s="6" t="s">
        <v>248</v>
      </c>
      <c r="D201" s="14">
        <v>45904.357916666668</v>
      </c>
      <c r="E201" s="14">
        <v>45904.375983796293</v>
      </c>
      <c r="F201" s="6" t="s">
        <v>21</v>
      </c>
      <c r="G201" s="6" t="s">
        <v>21</v>
      </c>
      <c r="H201" s="6" t="s">
        <v>912</v>
      </c>
      <c r="I201" s="6" t="s">
        <v>14</v>
      </c>
      <c r="J201" s="6" t="s">
        <v>913</v>
      </c>
      <c r="K201" s="6" t="s">
        <v>751</v>
      </c>
      <c r="L201" s="6" t="s">
        <v>751</v>
      </c>
      <c r="M201" s="14">
        <v>45902</v>
      </c>
      <c r="N201" s="6">
        <v>17435801</v>
      </c>
      <c r="O201" s="6" t="s">
        <v>91</v>
      </c>
      <c r="P201" s="6" t="s">
        <v>276</v>
      </c>
      <c r="Q201" s="6" t="s">
        <v>253</v>
      </c>
      <c r="R201" s="6" t="s">
        <v>253</v>
      </c>
      <c r="S201" s="6" t="s">
        <v>9</v>
      </c>
      <c r="T201" s="6" t="s">
        <v>254</v>
      </c>
      <c r="U201" s="6" t="s">
        <v>115</v>
      </c>
      <c r="V201" s="6" t="s">
        <v>826</v>
      </c>
      <c r="W201" s="6" t="s">
        <v>91</v>
      </c>
      <c r="X201" s="6" t="s">
        <v>91</v>
      </c>
      <c r="Y201" s="6" t="s">
        <v>91</v>
      </c>
      <c r="Z201" s="6" t="s">
        <v>52</v>
      </c>
      <c r="AA201" s="6" t="s">
        <v>91</v>
      </c>
      <c r="AB201" s="6">
        <v>324.68</v>
      </c>
      <c r="AC201" s="6">
        <v>0</v>
      </c>
      <c r="AD201" s="6">
        <v>0</v>
      </c>
      <c r="AE201" s="6">
        <v>0</v>
      </c>
      <c r="AF201" s="6">
        <v>0</v>
      </c>
      <c r="AG201" s="6">
        <v>0</v>
      </c>
      <c r="AH201" s="6">
        <v>0</v>
      </c>
      <c r="AI201" s="6" t="s">
        <v>914</v>
      </c>
      <c r="AJ201" s="6" t="s">
        <v>257</v>
      </c>
      <c r="AK201" s="6" t="s">
        <v>14</v>
      </c>
      <c r="AL201" s="6" t="s">
        <v>48</v>
      </c>
      <c r="AM201" s="6" t="s">
        <v>258</v>
      </c>
      <c r="AN201" s="6" t="s">
        <v>20</v>
      </c>
      <c r="AO201" s="6" t="s">
        <v>272</v>
      </c>
      <c r="AP201" s="6" t="s">
        <v>273</v>
      </c>
      <c r="AQ201" s="6" t="s">
        <v>18</v>
      </c>
    </row>
    <row r="202" spans="1:43" x14ac:dyDescent="0.25">
      <c r="A202" s="6">
        <v>22890015</v>
      </c>
      <c r="B202" s="6">
        <v>23665544</v>
      </c>
      <c r="C202" s="6" t="s">
        <v>248</v>
      </c>
      <c r="D202" s="14">
        <v>45908.667812500003</v>
      </c>
      <c r="E202" s="14">
        <v>45908.671469907407</v>
      </c>
      <c r="F202" s="6" t="s">
        <v>19</v>
      </c>
      <c r="G202" s="6" t="s">
        <v>19</v>
      </c>
      <c r="H202" s="6" t="s">
        <v>915</v>
      </c>
      <c r="I202" s="6" t="s">
        <v>14</v>
      </c>
      <c r="J202" s="6" t="s">
        <v>916</v>
      </c>
      <c r="K202" s="6" t="s">
        <v>751</v>
      </c>
      <c r="L202" s="6" t="s">
        <v>751</v>
      </c>
      <c r="M202" s="14">
        <v>45905</v>
      </c>
      <c r="N202" s="6">
        <v>17476042</v>
      </c>
      <c r="O202" s="6" t="s">
        <v>91</v>
      </c>
      <c r="P202" s="6" t="s">
        <v>276</v>
      </c>
      <c r="Q202" s="6" t="s">
        <v>253</v>
      </c>
      <c r="R202" s="6" t="s">
        <v>253</v>
      </c>
      <c r="S202" s="6" t="s">
        <v>9</v>
      </c>
      <c r="T202" s="6" t="s">
        <v>254</v>
      </c>
      <c r="U202" s="6" t="s">
        <v>115</v>
      </c>
      <c r="V202" s="6" t="s">
        <v>826</v>
      </c>
      <c r="W202" s="6" t="s">
        <v>91</v>
      </c>
      <c r="X202" s="6" t="s">
        <v>91</v>
      </c>
      <c r="Y202" s="6" t="s">
        <v>91</v>
      </c>
      <c r="Z202" s="6" t="s">
        <v>52</v>
      </c>
      <c r="AA202" s="6" t="s">
        <v>91</v>
      </c>
      <c r="AB202" s="6">
        <v>398</v>
      </c>
      <c r="AC202" s="6">
        <v>0</v>
      </c>
      <c r="AD202" s="6">
        <v>0</v>
      </c>
      <c r="AE202" s="6">
        <v>0</v>
      </c>
      <c r="AF202" s="6">
        <v>0</v>
      </c>
      <c r="AG202" s="6">
        <v>19.899999999999999</v>
      </c>
      <c r="AH202" s="6">
        <v>0</v>
      </c>
      <c r="AI202" s="6" t="s">
        <v>917</v>
      </c>
      <c r="AJ202" s="6" t="s">
        <v>257</v>
      </c>
      <c r="AK202" s="6" t="s">
        <v>14</v>
      </c>
      <c r="AL202" s="6" t="s">
        <v>48</v>
      </c>
      <c r="AM202" s="6" t="s">
        <v>258</v>
      </c>
      <c r="AN202" s="6" t="s">
        <v>20</v>
      </c>
      <c r="AO202" s="6" t="s">
        <v>272</v>
      </c>
      <c r="AP202" s="6" t="s">
        <v>273</v>
      </c>
      <c r="AQ202" s="6" t="s">
        <v>18</v>
      </c>
    </row>
    <row r="203" spans="1:43" x14ac:dyDescent="0.25">
      <c r="A203" s="6">
        <v>22890025</v>
      </c>
      <c r="B203" s="6">
        <v>23665555</v>
      </c>
      <c r="C203" s="6" t="s">
        <v>248</v>
      </c>
      <c r="D203" s="14">
        <v>45908.668333333328</v>
      </c>
      <c r="E203" s="14">
        <v>45908.671666666669</v>
      </c>
      <c r="F203" s="6" t="s">
        <v>19</v>
      </c>
      <c r="G203" s="6" t="s">
        <v>19</v>
      </c>
      <c r="H203" s="6" t="s">
        <v>918</v>
      </c>
      <c r="I203" s="6" t="s">
        <v>14</v>
      </c>
      <c r="J203" s="6" t="s">
        <v>919</v>
      </c>
      <c r="K203" s="6" t="s">
        <v>751</v>
      </c>
      <c r="L203" s="6" t="s">
        <v>751</v>
      </c>
      <c r="M203" s="14">
        <v>45908</v>
      </c>
      <c r="N203" s="6">
        <v>17486933</v>
      </c>
      <c r="O203" s="6" t="s">
        <v>91</v>
      </c>
      <c r="P203" s="6" t="s">
        <v>276</v>
      </c>
      <c r="Q203" s="6" t="s">
        <v>253</v>
      </c>
      <c r="R203" s="6" t="s">
        <v>253</v>
      </c>
      <c r="S203" s="6" t="s">
        <v>9</v>
      </c>
      <c r="T203" s="6" t="s">
        <v>254</v>
      </c>
      <c r="U203" s="6" t="s">
        <v>115</v>
      </c>
      <c r="V203" s="6" t="s">
        <v>826</v>
      </c>
      <c r="W203" s="6" t="s">
        <v>91</v>
      </c>
      <c r="X203" s="6" t="s">
        <v>91</v>
      </c>
      <c r="Y203" s="6" t="s">
        <v>91</v>
      </c>
      <c r="Z203" s="6" t="s">
        <v>52</v>
      </c>
      <c r="AA203" s="6" t="s">
        <v>91</v>
      </c>
      <c r="AB203" s="6">
        <v>208.33</v>
      </c>
      <c r="AC203" s="6">
        <v>0</v>
      </c>
      <c r="AD203" s="6">
        <v>0</v>
      </c>
      <c r="AE203" s="6">
        <v>0</v>
      </c>
      <c r="AF203" s="6">
        <v>0</v>
      </c>
      <c r="AG203" s="6">
        <v>4.17</v>
      </c>
      <c r="AH203" s="6">
        <v>0</v>
      </c>
      <c r="AI203" s="6" t="s">
        <v>920</v>
      </c>
      <c r="AJ203" s="6" t="s">
        <v>257</v>
      </c>
      <c r="AK203" s="6" t="s">
        <v>14</v>
      </c>
      <c r="AL203" s="6" t="s">
        <v>48</v>
      </c>
      <c r="AM203" s="6" t="s">
        <v>258</v>
      </c>
      <c r="AN203" s="6" t="s">
        <v>20</v>
      </c>
      <c r="AO203" s="6" t="s">
        <v>272</v>
      </c>
      <c r="AP203" s="6" t="s">
        <v>273</v>
      </c>
      <c r="AQ203" s="6" t="s">
        <v>18</v>
      </c>
    </row>
    <row r="204" spans="1:43" x14ac:dyDescent="0.25">
      <c r="A204" s="6">
        <v>22874190</v>
      </c>
      <c r="B204" s="6">
        <v>23652752</v>
      </c>
      <c r="C204" s="6" t="s">
        <v>248</v>
      </c>
      <c r="D204" s="14">
        <v>45905.462592592587</v>
      </c>
      <c r="E204" s="14">
        <v>45905.463275462957</v>
      </c>
      <c r="F204" s="6" t="s">
        <v>21</v>
      </c>
      <c r="G204" s="6" t="s">
        <v>21</v>
      </c>
      <c r="H204" s="6" t="s">
        <v>921</v>
      </c>
      <c r="I204" s="6" t="s">
        <v>14</v>
      </c>
      <c r="J204" s="6" t="s">
        <v>922</v>
      </c>
      <c r="K204" s="6" t="s">
        <v>751</v>
      </c>
      <c r="L204" s="6" t="s">
        <v>751</v>
      </c>
      <c r="M204" s="14">
        <v>45905</v>
      </c>
      <c r="N204" s="6">
        <v>17469287</v>
      </c>
      <c r="O204" s="6" t="s">
        <v>91</v>
      </c>
      <c r="P204" s="6" t="s">
        <v>276</v>
      </c>
      <c r="Q204" s="6" t="s">
        <v>253</v>
      </c>
      <c r="R204" s="6" t="s">
        <v>253</v>
      </c>
      <c r="S204" s="6" t="s">
        <v>9</v>
      </c>
      <c r="T204" s="6" t="s">
        <v>254</v>
      </c>
      <c r="U204" s="6" t="s">
        <v>115</v>
      </c>
      <c r="V204" s="6" t="s">
        <v>826</v>
      </c>
      <c r="W204" s="6" t="s">
        <v>91</v>
      </c>
      <c r="X204" s="6" t="s">
        <v>91</v>
      </c>
      <c r="Y204" s="6" t="s">
        <v>91</v>
      </c>
      <c r="Z204" s="6" t="s">
        <v>52</v>
      </c>
      <c r="AA204" s="6" t="s">
        <v>91</v>
      </c>
      <c r="AB204" s="6">
        <v>958.5</v>
      </c>
      <c r="AC204" s="6">
        <v>0</v>
      </c>
      <c r="AD204" s="6">
        <v>0</v>
      </c>
      <c r="AE204" s="6">
        <v>0</v>
      </c>
      <c r="AF204" s="6">
        <v>0</v>
      </c>
      <c r="AG204" s="6">
        <v>124.6</v>
      </c>
      <c r="AH204" s="6">
        <v>0</v>
      </c>
      <c r="AI204" s="6" t="s">
        <v>923</v>
      </c>
      <c r="AJ204" s="6" t="s">
        <v>257</v>
      </c>
      <c r="AK204" s="6" t="s">
        <v>14</v>
      </c>
      <c r="AL204" s="6" t="s">
        <v>48</v>
      </c>
      <c r="AM204" s="6" t="s">
        <v>258</v>
      </c>
      <c r="AN204" s="6" t="s">
        <v>20</v>
      </c>
      <c r="AO204" s="6" t="s">
        <v>272</v>
      </c>
      <c r="AP204" s="6" t="s">
        <v>273</v>
      </c>
      <c r="AQ204" s="6" t="s">
        <v>18</v>
      </c>
    </row>
    <row r="205" spans="1:43" x14ac:dyDescent="0.25">
      <c r="A205" s="6">
        <v>22874529</v>
      </c>
      <c r="B205" s="6">
        <v>23653116</v>
      </c>
      <c r="C205" s="6" t="s">
        <v>248</v>
      </c>
      <c r="D205" s="14">
        <v>45905.503611111111</v>
      </c>
      <c r="E205" s="14">
        <v>45905.505752314813</v>
      </c>
      <c r="F205" s="6" t="s">
        <v>21</v>
      </c>
      <c r="G205" s="6" t="s">
        <v>21</v>
      </c>
      <c r="H205" s="6" t="s">
        <v>924</v>
      </c>
      <c r="I205" s="6" t="s">
        <v>14</v>
      </c>
      <c r="J205" s="6" t="s">
        <v>925</v>
      </c>
      <c r="K205" s="6" t="s">
        <v>751</v>
      </c>
      <c r="L205" s="6" t="s">
        <v>751</v>
      </c>
      <c r="M205" s="14">
        <v>45905</v>
      </c>
      <c r="N205" s="6">
        <v>17470558</v>
      </c>
      <c r="O205" s="6" t="s">
        <v>91</v>
      </c>
      <c r="P205" s="6" t="s">
        <v>276</v>
      </c>
      <c r="Q205" s="6" t="s">
        <v>253</v>
      </c>
      <c r="R205" s="6" t="s">
        <v>253</v>
      </c>
      <c r="S205" s="6" t="s">
        <v>9</v>
      </c>
      <c r="T205" s="6" t="s">
        <v>254</v>
      </c>
      <c r="U205" s="6" t="s">
        <v>115</v>
      </c>
      <c r="V205" s="6" t="s">
        <v>826</v>
      </c>
      <c r="W205" s="6" t="s">
        <v>91</v>
      </c>
      <c r="X205" s="6" t="s">
        <v>91</v>
      </c>
      <c r="Y205" s="6" t="s">
        <v>91</v>
      </c>
      <c r="Z205" s="6" t="s">
        <v>52</v>
      </c>
      <c r="AA205" s="6" t="s">
        <v>91</v>
      </c>
      <c r="AB205" s="6">
        <v>236.15</v>
      </c>
      <c r="AC205" s="6">
        <v>0</v>
      </c>
      <c r="AD205" s="6">
        <v>0</v>
      </c>
      <c r="AE205" s="6">
        <v>0</v>
      </c>
      <c r="AF205" s="6">
        <v>0</v>
      </c>
      <c r="AG205" s="6">
        <v>7.08</v>
      </c>
      <c r="AH205" s="6">
        <v>0</v>
      </c>
      <c r="AI205" s="6" t="s">
        <v>926</v>
      </c>
      <c r="AJ205" s="6" t="s">
        <v>257</v>
      </c>
      <c r="AK205" s="6" t="s">
        <v>14</v>
      </c>
      <c r="AL205" s="6" t="s">
        <v>48</v>
      </c>
      <c r="AM205" s="6" t="s">
        <v>258</v>
      </c>
      <c r="AN205" s="6" t="s">
        <v>20</v>
      </c>
      <c r="AO205" s="6" t="s">
        <v>272</v>
      </c>
      <c r="AP205" s="6" t="s">
        <v>273</v>
      </c>
      <c r="AQ205" s="6" t="s">
        <v>18</v>
      </c>
    </row>
    <row r="206" spans="1:43" x14ac:dyDescent="0.25">
      <c r="A206" s="6">
        <v>22875433</v>
      </c>
      <c r="B206" s="6">
        <v>23654017</v>
      </c>
      <c r="C206" s="6" t="s">
        <v>248</v>
      </c>
      <c r="D206" s="14">
        <v>45905.588645833333</v>
      </c>
      <c r="E206" s="14">
        <v>45905.591979166667</v>
      </c>
      <c r="F206" s="6" t="s">
        <v>21</v>
      </c>
      <c r="G206" s="6" t="s">
        <v>21</v>
      </c>
      <c r="H206" s="6" t="s">
        <v>927</v>
      </c>
      <c r="I206" s="6" t="s">
        <v>14</v>
      </c>
      <c r="J206" s="6" t="s">
        <v>928</v>
      </c>
      <c r="K206" s="6" t="s">
        <v>751</v>
      </c>
      <c r="L206" s="6" t="s">
        <v>751</v>
      </c>
      <c r="M206" s="14">
        <v>45905</v>
      </c>
      <c r="N206" s="6">
        <v>17466869</v>
      </c>
      <c r="O206" s="6" t="s">
        <v>91</v>
      </c>
      <c r="P206" s="6" t="s">
        <v>276</v>
      </c>
      <c r="Q206" s="6" t="s">
        <v>253</v>
      </c>
      <c r="R206" s="6" t="s">
        <v>253</v>
      </c>
      <c r="S206" s="6" t="s">
        <v>9</v>
      </c>
      <c r="T206" s="6" t="s">
        <v>254</v>
      </c>
      <c r="U206" s="6" t="s">
        <v>115</v>
      </c>
      <c r="V206" s="6" t="s">
        <v>826</v>
      </c>
      <c r="W206" s="6" t="s">
        <v>91</v>
      </c>
      <c r="X206" s="6" t="s">
        <v>91</v>
      </c>
      <c r="Y206" s="6" t="s">
        <v>91</v>
      </c>
      <c r="Z206" s="6" t="s">
        <v>52</v>
      </c>
      <c r="AA206" s="6" t="s">
        <v>91</v>
      </c>
      <c r="AB206" s="6">
        <v>780.18</v>
      </c>
      <c r="AC206" s="6">
        <v>0</v>
      </c>
      <c r="AD206" s="6">
        <v>0</v>
      </c>
      <c r="AE206" s="6">
        <v>0</v>
      </c>
      <c r="AF206" s="6">
        <v>0</v>
      </c>
      <c r="AG206" s="6">
        <v>39.01</v>
      </c>
      <c r="AH206" s="6">
        <v>0</v>
      </c>
      <c r="AI206" s="6" t="s">
        <v>929</v>
      </c>
      <c r="AJ206" s="6" t="s">
        <v>257</v>
      </c>
      <c r="AK206" s="6" t="s">
        <v>14</v>
      </c>
      <c r="AL206" s="6" t="s">
        <v>48</v>
      </c>
      <c r="AM206" s="6" t="s">
        <v>258</v>
      </c>
      <c r="AN206" s="6" t="s">
        <v>20</v>
      </c>
      <c r="AO206" s="6" t="s">
        <v>272</v>
      </c>
      <c r="AP206" s="6" t="s">
        <v>273</v>
      </c>
      <c r="AQ206" s="6" t="s">
        <v>18</v>
      </c>
    </row>
    <row r="207" spans="1:43" x14ac:dyDescent="0.25">
      <c r="A207" s="6">
        <v>22868841</v>
      </c>
      <c r="B207" s="6">
        <v>23647971</v>
      </c>
      <c r="C207" s="6" t="s">
        <v>248</v>
      </c>
      <c r="D207" s="14">
        <v>45904.62771990741</v>
      </c>
      <c r="E207" s="14">
        <v>45904.634826388887</v>
      </c>
      <c r="F207" s="6" t="s">
        <v>21</v>
      </c>
      <c r="G207" s="6" t="s">
        <v>21</v>
      </c>
      <c r="H207" s="6" t="s">
        <v>930</v>
      </c>
      <c r="I207" s="6" t="s">
        <v>14</v>
      </c>
      <c r="J207" s="6" t="s">
        <v>931</v>
      </c>
      <c r="K207" s="6" t="s">
        <v>751</v>
      </c>
      <c r="L207" s="6" t="s">
        <v>751</v>
      </c>
      <c r="M207" s="14">
        <v>45901</v>
      </c>
      <c r="N207" s="6">
        <v>17425947</v>
      </c>
      <c r="O207" s="6" t="s">
        <v>91</v>
      </c>
      <c r="P207" s="6" t="s">
        <v>276</v>
      </c>
      <c r="Q207" s="6" t="s">
        <v>253</v>
      </c>
      <c r="R207" s="6" t="s">
        <v>253</v>
      </c>
      <c r="S207" s="6" t="s">
        <v>9</v>
      </c>
      <c r="T207" s="6" t="s">
        <v>254</v>
      </c>
      <c r="U207" s="6" t="s">
        <v>115</v>
      </c>
      <c r="V207" s="6" t="s">
        <v>826</v>
      </c>
      <c r="W207" s="6" t="s">
        <v>91</v>
      </c>
      <c r="X207" s="6" t="s">
        <v>91</v>
      </c>
      <c r="Y207" s="6" t="s">
        <v>91</v>
      </c>
      <c r="Z207" s="6" t="s">
        <v>52</v>
      </c>
      <c r="AA207" s="6" t="s">
        <v>91</v>
      </c>
      <c r="AB207" s="6">
        <v>215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932</v>
      </c>
      <c r="AJ207" s="6" t="s">
        <v>257</v>
      </c>
      <c r="AK207" s="6" t="s">
        <v>14</v>
      </c>
      <c r="AL207" s="6" t="s">
        <v>48</v>
      </c>
      <c r="AM207" s="6" t="s">
        <v>258</v>
      </c>
      <c r="AN207" s="6" t="s">
        <v>20</v>
      </c>
      <c r="AO207" s="6" t="s">
        <v>272</v>
      </c>
      <c r="AP207" s="6" t="s">
        <v>273</v>
      </c>
      <c r="AQ207" s="6" t="s">
        <v>18</v>
      </c>
    </row>
    <row r="208" spans="1:43" x14ac:dyDescent="0.25">
      <c r="A208" s="6">
        <v>22868860</v>
      </c>
      <c r="B208" s="6">
        <v>23647993</v>
      </c>
      <c r="C208" s="6" t="s">
        <v>248</v>
      </c>
      <c r="D208" s="14">
        <v>45904.628321759257</v>
      </c>
      <c r="E208" s="14">
        <v>45904.638645833344</v>
      </c>
      <c r="F208" s="6" t="s">
        <v>21</v>
      </c>
      <c r="G208" s="6" t="s">
        <v>21</v>
      </c>
      <c r="H208" s="6" t="s">
        <v>933</v>
      </c>
      <c r="I208" s="6" t="s">
        <v>14</v>
      </c>
      <c r="J208" s="6" t="s">
        <v>934</v>
      </c>
      <c r="K208" s="6" t="s">
        <v>751</v>
      </c>
      <c r="L208" s="6" t="s">
        <v>751</v>
      </c>
      <c r="M208" s="14">
        <v>45901</v>
      </c>
      <c r="N208" s="6">
        <v>17429164</v>
      </c>
      <c r="O208" s="6" t="s">
        <v>91</v>
      </c>
      <c r="P208" s="6" t="s">
        <v>276</v>
      </c>
      <c r="Q208" s="6" t="s">
        <v>253</v>
      </c>
      <c r="R208" s="6" t="s">
        <v>253</v>
      </c>
      <c r="S208" s="6" t="s">
        <v>9</v>
      </c>
      <c r="T208" s="6" t="s">
        <v>254</v>
      </c>
      <c r="U208" s="6" t="s">
        <v>115</v>
      </c>
      <c r="V208" s="6" t="s">
        <v>826</v>
      </c>
      <c r="W208" s="6" t="s">
        <v>91</v>
      </c>
      <c r="X208" s="6" t="s">
        <v>91</v>
      </c>
      <c r="Y208" s="6" t="s">
        <v>91</v>
      </c>
      <c r="Z208" s="6" t="s">
        <v>52</v>
      </c>
      <c r="AA208" s="6" t="s">
        <v>91</v>
      </c>
      <c r="AB208" s="6">
        <v>196.27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 t="s">
        <v>935</v>
      </c>
      <c r="AJ208" s="6" t="s">
        <v>257</v>
      </c>
      <c r="AK208" s="6" t="s">
        <v>14</v>
      </c>
      <c r="AL208" s="6" t="s">
        <v>48</v>
      </c>
      <c r="AM208" s="6" t="s">
        <v>258</v>
      </c>
      <c r="AN208" s="6" t="s">
        <v>20</v>
      </c>
      <c r="AO208" s="6" t="s">
        <v>272</v>
      </c>
      <c r="AP208" s="6" t="s">
        <v>273</v>
      </c>
      <c r="AQ208" s="6" t="s">
        <v>18</v>
      </c>
    </row>
    <row r="209" spans="1:43" x14ac:dyDescent="0.25">
      <c r="A209" s="6">
        <v>22869037</v>
      </c>
      <c r="B209" s="6">
        <v>23648194</v>
      </c>
      <c r="C209" s="6" t="s">
        <v>248</v>
      </c>
      <c r="D209" s="14">
        <v>45904.637187499997</v>
      </c>
      <c r="E209" s="14">
        <v>45904.659641203703</v>
      </c>
      <c r="F209" s="6" t="s">
        <v>21</v>
      </c>
      <c r="G209" s="6" t="s">
        <v>21</v>
      </c>
      <c r="H209" s="6" t="s">
        <v>936</v>
      </c>
      <c r="I209" s="6" t="s">
        <v>14</v>
      </c>
      <c r="J209" s="6" t="s">
        <v>937</v>
      </c>
      <c r="K209" s="6" t="s">
        <v>751</v>
      </c>
      <c r="L209" s="6" t="s">
        <v>751</v>
      </c>
      <c r="M209" s="14">
        <v>45904</v>
      </c>
      <c r="N209" s="6">
        <v>17459866</v>
      </c>
      <c r="O209" s="6" t="s">
        <v>91</v>
      </c>
      <c r="P209" s="6" t="s">
        <v>276</v>
      </c>
      <c r="Q209" s="6" t="s">
        <v>253</v>
      </c>
      <c r="R209" s="6" t="s">
        <v>253</v>
      </c>
      <c r="S209" s="6" t="s">
        <v>9</v>
      </c>
      <c r="T209" s="6" t="s">
        <v>254</v>
      </c>
      <c r="U209" s="6" t="s">
        <v>115</v>
      </c>
      <c r="V209" s="6" t="s">
        <v>826</v>
      </c>
      <c r="W209" s="6" t="s">
        <v>91</v>
      </c>
      <c r="X209" s="6" t="s">
        <v>91</v>
      </c>
      <c r="Y209" s="6" t="s">
        <v>91</v>
      </c>
      <c r="Z209" s="6" t="s">
        <v>52</v>
      </c>
      <c r="AA209" s="6" t="s">
        <v>91</v>
      </c>
      <c r="AB209" s="6">
        <v>210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938</v>
      </c>
      <c r="AJ209" s="6" t="s">
        <v>257</v>
      </c>
      <c r="AK209" s="6" t="s">
        <v>14</v>
      </c>
      <c r="AL209" s="6" t="s">
        <v>48</v>
      </c>
      <c r="AM209" s="6" t="s">
        <v>258</v>
      </c>
      <c r="AN209" s="6" t="s">
        <v>20</v>
      </c>
      <c r="AO209" s="6" t="s">
        <v>272</v>
      </c>
      <c r="AP209" s="6" t="s">
        <v>273</v>
      </c>
      <c r="AQ209" s="6" t="s">
        <v>18</v>
      </c>
    </row>
    <row r="210" spans="1:43" x14ac:dyDescent="0.25">
      <c r="A210" s="6">
        <v>22835534</v>
      </c>
      <c r="B210" s="6">
        <v>23620221</v>
      </c>
      <c r="C210" s="6" t="s">
        <v>248</v>
      </c>
      <c r="D210" s="14">
        <v>45898.751597222217</v>
      </c>
      <c r="E210" s="14">
        <v>45898.754548611112</v>
      </c>
      <c r="F210" s="6" t="s">
        <v>23</v>
      </c>
      <c r="G210" s="6" t="s">
        <v>23</v>
      </c>
      <c r="H210" s="6" t="s">
        <v>939</v>
      </c>
      <c r="I210" s="6" t="s">
        <v>14</v>
      </c>
      <c r="J210" s="6" t="s">
        <v>940</v>
      </c>
      <c r="K210" s="6" t="s">
        <v>751</v>
      </c>
      <c r="L210" s="6" t="s">
        <v>751</v>
      </c>
      <c r="M210" s="14">
        <v>45896</v>
      </c>
      <c r="N210" s="6">
        <v>17388764</v>
      </c>
      <c r="O210" s="6" t="s">
        <v>91</v>
      </c>
      <c r="P210" s="6" t="s">
        <v>276</v>
      </c>
      <c r="Q210" s="6" t="s">
        <v>253</v>
      </c>
      <c r="R210" s="6" t="s">
        <v>253</v>
      </c>
      <c r="S210" s="6" t="s">
        <v>9</v>
      </c>
      <c r="T210" s="6" t="s">
        <v>254</v>
      </c>
      <c r="U210" s="6" t="s">
        <v>115</v>
      </c>
      <c r="V210" s="6" t="s">
        <v>826</v>
      </c>
      <c r="W210" s="6" t="s">
        <v>91</v>
      </c>
      <c r="X210" s="6" t="s">
        <v>91</v>
      </c>
      <c r="Y210" s="6" t="s">
        <v>91</v>
      </c>
      <c r="Z210" s="6" t="s">
        <v>52</v>
      </c>
      <c r="AA210" s="6" t="s">
        <v>91</v>
      </c>
      <c r="AB210" s="6">
        <v>534.79999999999995</v>
      </c>
      <c r="AC210" s="6">
        <v>0</v>
      </c>
      <c r="AD210" s="6">
        <v>0</v>
      </c>
      <c r="AE210" s="6">
        <v>0</v>
      </c>
      <c r="AF210" s="6">
        <v>0</v>
      </c>
      <c r="AG210" s="6">
        <v>120</v>
      </c>
      <c r="AH210" s="6">
        <v>0</v>
      </c>
      <c r="AI210" s="6" t="s">
        <v>941</v>
      </c>
      <c r="AJ210" s="6" t="s">
        <v>257</v>
      </c>
      <c r="AK210" s="6" t="s">
        <v>14</v>
      </c>
      <c r="AL210" s="6" t="s">
        <v>48</v>
      </c>
      <c r="AM210" s="6" t="s">
        <v>258</v>
      </c>
      <c r="AN210" s="6" t="s">
        <v>20</v>
      </c>
      <c r="AO210" s="6" t="s">
        <v>272</v>
      </c>
      <c r="AP210" s="6" t="s">
        <v>273</v>
      </c>
      <c r="AQ210" s="6" t="s">
        <v>18</v>
      </c>
    </row>
    <row r="211" spans="1:43" x14ac:dyDescent="0.25">
      <c r="A211" s="6">
        <v>22832275</v>
      </c>
      <c r="B211" s="6">
        <v>23617064</v>
      </c>
      <c r="C211" s="6" t="s">
        <v>248</v>
      </c>
      <c r="D211" s="14">
        <v>45898.342731481483</v>
      </c>
      <c r="E211" s="14">
        <v>45898.346562500003</v>
      </c>
      <c r="F211" s="6" t="s">
        <v>23</v>
      </c>
      <c r="G211" s="6" t="s">
        <v>23</v>
      </c>
      <c r="H211" s="6" t="s">
        <v>942</v>
      </c>
      <c r="I211" s="6" t="s">
        <v>14</v>
      </c>
      <c r="J211" s="6" t="s">
        <v>943</v>
      </c>
      <c r="K211" s="6" t="s">
        <v>751</v>
      </c>
      <c r="L211" s="6" t="s">
        <v>751</v>
      </c>
      <c r="M211" s="14">
        <v>45897</v>
      </c>
      <c r="N211" s="6">
        <v>17402853</v>
      </c>
      <c r="O211" s="6" t="s">
        <v>91</v>
      </c>
      <c r="P211" s="6" t="s">
        <v>276</v>
      </c>
      <c r="Q211" s="6" t="s">
        <v>253</v>
      </c>
      <c r="R211" s="6" t="s">
        <v>253</v>
      </c>
      <c r="S211" s="6" t="s">
        <v>9</v>
      </c>
      <c r="T211" s="6" t="s">
        <v>254</v>
      </c>
      <c r="U211" s="6" t="s">
        <v>115</v>
      </c>
      <c r="V211" s="6" t="s">
        <v>826</v>
      </c>
      <c r="W211" s="6" t="s">
        <v>91</v>
      </c>
      <c r="X211" s="6" t="s">
        <v>91</v>
      </c>
      <c r="Y211" s="6" t="s">
        <v>91</v>
      </c>
      <c r="Z211" s="6" t="s">
        <v>52</v>
      </c>
      <c r="AA211" s="6" t="s">
        <v>91</v>
      </c>
      <c r="AB211" s="6">
        <v>958.9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 t="s">
        <v>944</v>
      </c>
      <c r="AJ211" s="6" t="s">
        <v>257</v>
      </c>
      <c r="AK211" s="6" t="s">
        <v>14</v>
      </c>
      <c r="AL211" s="6" t="s">
        <v>48</v>
      </c>
      <c r="AM211" s="6" t="s">
        <v>258</v>
      </c>
      <c r="AN211" s="6" t="s">
        <v>20</v>
      </c>
      <c r="AO211" s="6" t="s">
        <v>272</v>
      </c>
      <c r="AP211" s="6" t="s">
        <v>273</v>
      </c>
      <c r="AQ211" s="6" t="s">
        <v>18</v>
      </c>
    </row>
    <row r="212" spans="1:43" x14ac:dyDescent="0.25">
      <c r="A212" s="6">
        <v>22826782</v>
      </c>
      <c r="B212" s="6">
        <v>23612054</v>
      </c>
      <c r="C212" s="6" t="s">
        <v>248</v>
      </c>
      <c r="D212" s="14">
        <v>45897.480833333328</v>
      </c>
      <c r="E212" s="14">
        <v>45897.484791666669</v>
      </c>
      <c r="F212" s="6" t="s">
        <v>23</v>
      </c>
      <c r="G212" s="6" t="s">
        <v>23</v>
      </c>
      <c r="H212" s="6" t="s">
        <v>945</v>
      </c>
      <c r="I212" s="6" t="s">
        <v>14</v>
      </c>
      <c r="J212" s="6" t="s">
        <v>946</v>
      </c>
      <c r="K212" s="6" t="s">
        <v>751</v>
      </c>
      <c r="L212" s="6" t="s">
        <v>751</v>
      </c>
      <c r="M212" s="14">
        <v>45895</v>
      </c>
      <c r="N212" s="6">
        <v>17380261</v>
      </c>
      <c r="O212" s="6" t="s">
        <v>91</v>
      </c>
      <c r="P212" s="6" t="s">
        <v>276</v>
      </c>
      <c r="Q212" s="6" t="s">
        <v>253</v>
      </c>
      <c r="R212" s="6" t="s">
        <v>253</v>
      </c>
      <c r="S212" s="6" t="s">
        <v>9</v>
      </c>
      <c r="T212" s="6" t="s">
        <v>254</v>
      </c>
      <c r="U212" s="6" t="s">
        <v>115</v>
      </c>
      <c r="V212" s="6" t="s">
        <v>826</v>
      </c>
      <c r="W212" s="6" t="s">
        <v>91</v>
      </c>
      <c r="X212" s="6" t="s">
        <v>91</v>
      </c>
      <c r="Y212" s="6" t="s">
        <v>91</v>
      </c>
      <c r="Z212" s="6" t="s">
        <v>52</v>
      </c>
      <c r="AA212" s="6" t="s">
        <v>91</v>
      </c>
      <c r="AB212" s="6">
        <v>222.26</v>
      </c>
      <c r="AC212" s="6">
        <v>0</v>
      </c>
      <c r="AD212" s="6">
        <v>0</v>
      </c>
      <c r="AE212" s="6">
        <v>0</v>
      </c>
      <c r="AF212" s="6">
        <v>0</v>
      </c>
      <c r="AG212" s="6">
        <v>6.67</v>
      </c>
      <c r="AH212" s="6">
        <v>0</v>
      </c>
      <c r="AI212" s="6" t="s">
        <v>947</v>
      </c>
      <c r="AJ212" s="6" t="s">
        <v>257</v>
      </c>
      <c r="AK212" s="6" t="s">
        <v>14</v>
      </c>
      <c r="AL212" s="6" t="s">
        <v>48</v>
      </c>
      <c r="AM212" s="6" t="s">
        <v>258</v>
      </c>
      <c r="AN212" s="6" t="s">
        <v>20</v>
      </c>
      <c r="AO212" s="6" t="s">
        <v>272</v>
      </c>
      <c r="AP212" s="6" t="s">
        <v>273</v>
      </c>
      <c r="AQ212" s="6" t="s">
        <v>18</v>
      </c>
    </row>
    <row r="213" spans="1:43" x14ac:dyDescent="0.25">
      <c r="A213" s="6">
        <v>22813293</v>
      </c>
      <c r="B213" s="6">
        <v>23600119</v>
      </c>
      <c r="C213" s="6" t="s">
        <v>248</v>
      </c>
      <c r="D213" s="14">
        <v>45895.501689814817</v>
      </c>
      <c r="E213" s="14">
        <v>45895.504803240743</v>
      </c>
      <c r="F213" s="46" t="s">
        <v>25</v>
      </c>
      <c r="G213" s="46" t="s">
        <v>25</v>
      </c>
      <c r="H213" s="6" t="s">
        <v>948</v>
      </c>
      <c r="I213" s="6" t="s">
        <v>14</v>
      </c>
      <c r="J213" s="6" t="s">
        <v>949</v>
      </c>
      <c r="K213" s="6" t="s">
        <v>751</v>
      </c>
      <c r="L213" s="6" t="s">
        <v>751</v>
      </c>
      <c r="M213" s="14">
        <v>45895</v>
      </c>
      <c r="N213" s="6">
        <v>17380486</v>
      </c>
      <c r="O213" s="6" t="s">
        <v>91</v>
      </c>
      <c r="P213" s="6" t="s">
        <v>276</v>
      </c>
      <c r="Q213" s="6" t="s">
        <v>253</v>
      </c>
      <c r="R213" s="6" t="s">
        <v>253</v>
      </c>
      <c r="S213" s="6" t="s">
        <v>9</v>
      </c>
      <c r="T213" s="6" t="s">
        <v>254</v>
      </c>
      <c r="U213" s="6" t="s">
        <v>115</v>
      </c>
      <c r="V213" s="6" t="s">
        <v>826</v>
      </c>
      <c r="W213" s="6" t="s">
        <v>91</v>
      </c>
      <c r="X213" s="6" t="s">
        <v>91</v>
      </c>
      <c r="Y213" s="6" t="s">
        <v>91</v>
      </c>
      <c r="Z213" s="6" t="s">
        <v>52</v>
      </c>
      <c r="AA213" s="6" t="s">
        <v>91</v>
      </c>
      <c r="AB213" s="6">
        <v>204.75</v>
      </c>
      <c r="AC213" s="6">
        <v>0</v>
      </c>
      <c r="AD213" s="6">
        <v>0</v>
      </c>
      <c r="AE213" s="6">
        <v>0</v>
      </c>
      <c r="AF213" s="6">
        <v>0</v>
      </c>
      <c r="AG213" s="6">
        <v>10.24</v>
      </c>
      <c r="AH213" s="6">
        <v>0</v>
      </c>
      <c r="AI213" s="6" t="s">
        <v>950</v>
      </c>
      <c r="AJ213" s="6" t="s">
        <v>257</v>
      </c>
      <c r="AK213" s="6" t="s">
        <v>14</v>
      </c>
      <c r="AL213" s="6" t="s">
        <v>48</v>
      </c>
      <c r="AM213" s="6" t="s">
        <v>258</v>
      </c>
      <c r="AN213" s="6" t="s">
        <v>20</v>
      </c>
      <c r="AO213" s="6" t="s">
        <v>272</v>
      </c>
      <c r="AP213" s="6" t="s">
        <v>273</v>
      </c>
      <c r="AQ213" s="6" t="s">
        <v>18</v>
      </c>
    </row>
    <row r="214" spans="1:43" x14ac:dyDescent="0.25">
      <c r="A214" s="6">
        <v>22826148</v>
      </c>
      <c r="B214" s="6">
        <v>23611392</v>
      </c>
      <c r="C214" s="6" t="s">
        <v>248</v>
      </c>
      <c r="D214" s="14">
        <v>45897.429270833331</v>
      </c>
      <c r="E214" s="14">
        <v>45897.433564814812</v>
      </c>
      <c r="F214" s="6" t="s">
        <v>23</v>
      </c>
      <c r="G214" s="6" t="s">
        <v>23</v>
      </c>
      <c r="H214" s="6" t="s">
        <v>951</v>
      </c>
      <c r="I214" s="6" t="s">
        <v>14</v>
      </c>
      <c r="J214" s="6" t="s">
        <v>916</v>
      </c>
      <c r="K214" s="6" t="s">
        <v>751</v>
      </c>
      <c r="L214" s="6" t="s">
        <v>751</v>
      </c>
      <c r="M214" s="14">
        <v>45896</v>
      </c>
      <c r="N214" s="6">
        <v>17396695</v>
      </c>
      <c r="O214" s="6" t="s">
        <v>91</v>
      </c>
      <c r="P214" s="6" t="s">
        <v>276</v>
      </c>
      <c r="Q214" s="6" t="s">
        <v>253</v>
      </c>
      <c r="R214" s="6" t="s">
        <v>253</v>
      </c>
      <c r="S214" s="6" t="s">
        <v>9</v>
      </c>
      <c r="T214" s="6" t="s">
        <v>254</v>
      </c>
      <c r="U214" s="6" t="s">
        <v>115</v>
      </c>
      <c r="V214" s="6" t="s">
        <v>826</v>
      </c>
      <c r="W214" s="6" t="s">
        <v>91</v>
      </c>
      <c r="X214" s="6" t="s">
        <v>91</v>
      </c>
      <c r="Y214" s="6" t="s">
        <v>91</v>
      </c>
      <c r="Z214" s="6" t="s">
        <v>52</v>
      </c>
      <c r="AA214" s="6" t="s">
        <v>91</v>
      </c>
      <c r="AB214" s="6">
        <v>398</v>
      </c>
      <c r="AC214" s="6">
        <v>0</v>
      </c>
      <c r="AD214" s="6">
        <v>0</v>
      </c>
      <c r="AE214" s="6">
        <v>0</v>
      </c>
      <c r="AF214" s="6">
        <v>0</v>
      </c>
      <c r="AG214" s="6">
        <v>19.899999999999999</v>
      </c>
      <c r="AH214" s="6">
        <v>0</v>
      </c>
      <c r="AI214" s="6" t="s">
        <v>952</v>
      </c>
      <c r="AJ214" s="6" t="s">
        <v>257</v>
      </c>
      <c r="AK214" s="6" t="s">
        <v>14</v>
      </c>
      <c r="AL214" s="6" t="s">
        <v>48</v>
      </c>
      <c r="AM214" s="6" t="s">
        <v>258</v>
      </c>
      <c r="AN214" s="6" t="s">
        <v>20</v>
      </c>
      <c r="AO214" s="6" t="s">
        <v>272</v>
      </c>
      <c r="AP214" s="6" t="s">
        <v>273</v>
      </c>
      <c r="AQ214" s="6" t="s">
        <v>18</v>
      </c>
    </row>
    <row r="215" spans="1:43" x14ac:dyDescent="0.25">
      <c r="A215" s="6">
        <v>22826230</v>
      </c>
      <c r="B215" s="6">
        <v>23611476</v>
      </c>
      <c r="C215" s="6" t="s">
        <v>248</v>
      </c>
      <c r="D215" s="14">
        <v>45897.433657407397</v>
      </c>
      <c r="E215" s="14">
        <v>45897.443715277783</v>
      </c>
      <c r="F215" s="6" t="s">
        <v>23</v>
      </c>
      <c r="G215" s="6" t="s">
        <v>23</v>
      </c>
      <c r="H215" s="6" t="s">
        <v>953</v>
      </c>
      <c r="I215" s="6" t="s">
        <v>14</v>
      </c>
      <c r="J215" s="6" t="s">
        <v>954</v>
      </c>
      <c r="K215" s="6" t="s">
        <v>751</v>
      </c>
      <c r="L215" s="6" t="s">
        <v>751</v>
      </c>
      <c r="M215" s="14">
        <v>45895</v>
      </c>
      <c r="N215" s="6">
        <v>17380641</v>
      </c>
      <c r="O215" s="6" t="s">
        <v>91</v>
      </c>
      <c r="P215" s="6" t="s">
        <v>276</v>
      </c>
      <c r="Q215" s="6" t="s">
        <v>253</v>
      </c>
      <c r="R215" s="6" t="s">
        <v>253</v>
      </c>
      <c r="S215" s="6" t="s">
        <v>9</v>
      </c>
      <c r="T215" s="6" t="s">
        <v>254</v>
      </c>
      <c r="U215" s="6" t="s">
        <v>115</v>
      </c>
      <c r="V215" s="6" t="s">
        <v>826</v>
      </c>
      <c r="W215" s="6" t="s">
        <v>91</v>
      </c>
      <c r="X215" s="6" t="s">
        <v>91</v>
      </c>
      <c r="Y215" s="6" t="s">
        <v>91</v>
      </c>
      <c r="Z215" s="6" t="s">
        <v>52</v>
      </c>
      <c r="AA215" s="6" t="s">
        <v>91</v>
      </c>
      <c r="AB215" s="6">
        <v>204.75</v>
      </c>
      <c r="AC215" s="6">
        <v>0</v>
      </c>
      <c r="AD215" s="6">
        <v>0</v>
      </c>
      <c r="AE215" s="6">
        <v>0</v>
      </c>
      <c r="AF215" s="6">
        <v>0</v>
      </c>
      <c r="AG215" s="6">
        <v>10.24</v>
      </c>
      <c r="AH215" s="6">
        <v>0</v>
      </c>
      <c r="AI215" s="6" t="s">
        <v>955</v>
      </c>
      <c r="AJ215" s="6" t="s">
        <v>257</v>
      </c>
      <c r="AK215" s="6" t="s">
        <v>14</v>
      </c>
      <c r="AL215" s="6" t="s">
        <v>48</v>
      </c>
      <c r="AM215" s="6" t="s">
        <v>258</v>
      </c>
      <c r="AN215" s="6" t="s">
        <v>20</v>
      </c>
      <c r="AO215" s="6" t="s">
        <v>272</v>
      </c>
      <c r="AP215" s="6" t="s">
        <v>273</v>
      </c>
      <c r="AQ215" s="6" t="s">
        <v>18</v>
      </c>
    </row>
    <row r="216" spans="1:43" x14ac:dyDescent="0.25">
      <c r="A216" s="6">
        <v>22826316</v>
      </c>
      <c r="B216" s="6">
        <v>23611556</v>
      </c>
      <c r="C216" s="6" t="s">
        <v>248</v>
      </c>
      <c r="D216" s="14">
        <v>45897.434814814813</v>
      </c>
      <c r="E216" s="14">
        <v>45897.45171296296</v>
      </c>
      <c r="F216" s="6" t="s">
        <v>23</v>
      </c>
      <c r="G216" s="6" t="s">
        <v>23</v>
      </c>
      <c r="H216" s="6" t="s">
        <v>956</v>
      </c>
      <c r="I216" s="6" t="s">
        <v>14</v>
      </c>
      <c r="J216" s="6" t="s">
        <v>957</v>
      </c>
      <c r="K216" s="6" t="s">
        <v>751</v>
      </c>
      <c r="L216" s="6" t="s">
        <v>751</v>
      </c>
      <c r="M216" s="14">
        <v>45896</v>
      </c>
      <c r="N216" s="6">
        <v>17389707</v>
      </c>
      <c r="O216" s="6" t="s">
        <v>91</v>
      </c>
      <c r="P216" s="6" t="s">
        <v>276</v>
      </c>
      <c r="Q216" s="6" t="s">
        <v>253</v>
      </c>
      <c r="R216" s="6" t="s">
        <v>253</v>
      </c>
      <c r="S216" s="6" t="s">
        <v>9</v>
      </c>
      <c r="T216" s="6" t="s">
        <v>254</v>
      </c>
      <c r="U216" s="6" t="s">
        <v>115</v>
      </c>
      <c r="V216" s="6" t="s">
        <v>826</v>
      </c>
      <c r="W216" s="6" t="s">
        <v>91</v>
      </c>
      <c r="X216" s="6" t="s">
        <v>91</v>
      </c>
      <c r="Y216" s="6" t="s">
        <v>91</v>
      </c>
      <c r="Z216" s="6" t="s">
        <v>52</v>
      </c>
      <c r="AA216" s="6" t="s">
        <v>91</v>
      </c>
      <c r="AB216" s="6">
        <v>220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 t="s">
        <v>958</v>
      </c>
      <c r="AJ216" s="6" t="s">
        <v>257</v>
      </c>
      <c r="AK216" s="6" t="s">
        <v>14</v>
      </c>
      <c r="AL216" s="6" t="s">
        <v>48</v>
      </c>
      <c r="AM216" s="6" t="s">
        <v>258</v>
      </c>
      <c r="AN216" s="6" t="s">
        <v>20</v>
      </c>
      <c r="AO216" s="6" t="s">
        <v>272</v>
      </c>
      <c r="AP216" s="6" t="s">
        <v>273</v>
      </c>
      <c r="AQ216" s="6" t="s">
        <v>18</v>
      </c>
    </row>
    <row r="217" spans="1:43" x14ac:dyDescent="0.25">
      <c r="A217" s="6">
        <v>22902946</v>
      </c>
      <c r="B217" s="6">
        <v>23677027</v>
      </c>
      <c r="C217" s="6" t="s">
        <v>248</v>
      </c>
      <c r="D217" s="14">
        <v>45910.671759259261</v>
      </c>
      <c r="E217" s="14">
        <v>45910.67591435185</v>
      </c>
      <c r="F217" s="6" t="s">
        <v>17</v>
      </c>
      <c r="G217" s="6" t="s">
        <v>17</v>
      </c>
      <c r="H217" s="6" t="s">
        <v>959</v>
      </c>
      <c r="I217" s="6" t="s">
        <v>14</v>
      </c>
      <c r="J217" s="6" t="s">
        <v>960</v>
      </c>
      <c r="K217" s="6" t="s">
        <v>751</v>
      </c>
      <c r="L217" s="6" t="s">
        <v>751</v>
      </c>
      <c r="M217" s="14">
        <v>45910</v>
      </c>
      <c r="N217" s="6">
        <v>17503057</v>
      </c>
      <c r="O217" s="6" t="s">
        <v>91</v>
      </c>
      <c r="P217" s="6" t="s">
        <v>276</v>
      </c>
      <c r="Q217" s="6" t="s">
        <v>253</v>
      </c>
      <c r="R217" s="6" t="s">
        <v>253</v>
      </c>
      <c r="S217" s="6" t="s">
        <v>9</v>
      </c>
      <c r="T217" s="6" t="s">
        <v>254</v>
      </c>
      <c r="U217" s="6" t="s">
        <v>115</v>
      </c>
      <c r="V217" s="6" t="s">
        <v>826</v>
      </c>
      <c r="W217" s="6" t="s">
        <v>91</v>
      </c>
      <c r="X217" s="6" t="s">
        <v>91</v>
      </c>
      <c r="Y217" s="6" t="s">
        <v>91</v>
      </c>
      <c r="Z217" s="6" t="s">
        <v>52</v>
      </c>
      <c r="AA217" s="6" t="s">
        <v>91</v>
      </c>
      <c r="AB217" s="6">
        <v>496.16</v>
      </c>
      <c r="AC217" s="6">
        <v>0</v>
      </c>
      <c r="AD217" s="6">
        <v>0</v>
      </c>
      <c r="AE217" s="6">
        <v>0</v>
      </c>
      <c r="AF217" s="6">
        <v>0</v>
      </c>
      <c r="AG217" s="6">
        <v>9.92</v>
      </c>
      <c r="AH217" s="6">
        <v>0</v>
      </c>
      <c r="AI217" s="6" t="s">
        <v>961</v>
      </c>
      <c r="AJ217" s="6" t="s">
        <v>257</v>
      </c>
      <c r="AK217" s="6" t="s">
        <v>14</v>
      </c>
      <c r="AL217" s="6" t="s">
        <v>48</v>
      </c>
      <c r="AM217" s="6" t="s">
        <v>258</v>
      </c>
      <c r="AN217" s="6" t="s">
        <v>20</v>
      </c>
      <c r="AO217" s="6" t="s">
        <v>272</v>
      </c>
      <c r="AP217" s="6" t="s">
        <v>273</v>
      </c>
      <c r="AQ217" s="6" t="s">
        <v>18</v>
      </c>
    </row>
    <row r="218" spans="1:43" x14ac:dyDescent="0.25">
      <c r="A218" s="6">
        <v>22903217</v>
      </c>
      <c r="B218" s="6">
        <v>23677311</v>
      </c>
      <c r="C218" s="6" t="s">
        <v>248</v>
      </c>
      <c r="D218" s="14">
        <v>45910.715486111112</v>
      </c>
      <c r="E218" s="14">
        <v>45910.717361111107</v>
      </c>
      <c r="F218" s="6" t="s">
        <v>17</v>
      </c>
      <c r="G218" s="6" t="s">
        <v>17</v>
      </c>
      <c r="H218" s="6" t="s">
        <v>962</v>
      </c>
      <c r="I218" s="6" t="s">
        <v>14</v>
      </c>
      <c r="J218" s="6" t="s">
        <v>949</v>
      </c>
      <c r="K218" s="6" t="s">
        <v>751</v>
      </c>
      <c r="L218" s="6" t="s">
        <v>751</v>
      </c>
      <c r="M218" s="14">
        <v>45910</v>
      </c>
      <c r="N218" s="6">
        <v>17509549</v>
      </c>
      <c r="O218" s="6" t="s">
        <v>91</v>
      </c>
      <c r="P218" s="6" t="s">
        <v>276</v>
      </c>
      <c r="Q218" s="6" t="s">
        <v>253</v>
      </c>
      <c r="R218" s="6" t="s">
        <v>253</v>
      </c>
      <c r="S218" s="6" t="s">
        <v>9</v>
      </c>
      <c r="T218" s="6" t="s">
        <v>254</v>
      </c>
      <c r="U218" s="6" t="s">
        <v>115</v>
      </c>
      <c r="V218" s="6" t="s">
        <v>826</v>
      </c>
      <c r="W218" s="6" t="s">
        <v>91</v>
      </c>
      <c r="X218" s="6" t="s">
        <v>91</v>
      </c>
      <c r="Y218" s="6" t="s">
        <v>91</v>
      </c>
      <c r="Z218" s="6" t="s">
        <v>52</v>
      </c>
      <c r="AA218" s="6" t="s">
        <v>91</v>
      </c>
      <c r="AB218" s="6">
        <v>182</v>
      </c>
      <c r="AC218" s="6">
        <v>0</v>
      </c>
      <c r="AD218" s="6">
        <v>0</v>
      </c>
      <c r="AE218" s="6">
        <v>0</v>
      </c>
      <c r="AF218" s="6">
        <v>0</v>
      </c>
      <c r="AG218" s="6">
        <v>9.1</v>
      </c>
      <c r="AH218" s="6">
        <v>0</v>
      </c>
      <c r="AI218" s="6" t="s">
        <v>963</v>
      </c>
      <c r="AJ218" s="6" t="s">
        <v>257</v>
      </c>
      <c r="AK218" s="6" t="s">
        <v>14</v>
      </c>
      <c r="AL218" s="6" t="s">
        <v>48</v>
      </c>
      <c r="AM218" s="6" t="s">
        <v>258</v>
      </c>
      <c r="AN218" s="6" t="s">
        <v>20</v>
      </c>
      <c r="AO218" s="6" t="s">
        <v>272</v>
      </c>
      <c r="AP218" s="6" t="s">
        <v>273</v>
      </c>
      <c r="AQ218" s="6" t="s">
        <v>18</v>
      </c>
    </row>
    <row r="219" spans="1:43" x14ac:dyDescent="0.25">
      <c r="A219" s="6">
        <v>22904392</v>
      </c>
      <c r="B219" s="6">
        <v>23678447</v>
      </c>
      <c r="C219" s="6" t="s">
        <v>248</v>
      </c>
      <c r="D219" s="14">
        <v>45910.794803240737</v>
      </c>
      <c r="E219" s="14">
        <v>45910.796446759261</v>
      </c>
      <c r="F219" s="6" t="s">
        <v>17</v>
      </c>
      <c r="G219" s="6" t="s">
        <v>17</v>
      </c>
      <c r="H219" s="6" t="s">
        <v>964</v>
      </c>
      <c r="I219" s="6" t="s">
        <v>14</v>
      </c>
      <c r="J219" s="6" t="s">
        <v>965</v>
      </c>
      <c r="K219" s="6" t="s">
        <v>751</v>
      </c>
      <c r="L219" s="6" t="s">
        <v>751</v>
      </c>
      <c r="M219" s="14">
        <v>45910</v>
      </c>
      <c r="N219" s="6">
        <v>17511730</v>
      </c>
      <c r="O219" s="6" t="s">
        <v>91</v>
      </c>
      <c r="P219" s="6" t="s">
        <v>276</v>
      </c>
      <c r="Q219" s="6" t="s">
        <v>253</v>
      </c>
      <c r="R219" s="6" t="s">
        <v>253</v>
      </c>
      <c r="S219" s="6" t="s">
        <v>9</v>
      </c>
      <c r="T219" s="6" t="s">
        <v>254</v>
      </c>
      <c r="U219" s="6" t="s">
        <v>115</v>
      </c>
      <c r="V219" s="6" t="s">
        <v>826</v>
      </c>
      <c r="W219" s="6" t="s">
        <v>91</v>
      </c>
      <c r="X219" s="6" t="s">
        <v>91</v>
      </c>
      <c r="Y219" s="6" t="s">
        <v>91</v>
      </c>
      <c r="Z219" s="6" t="s">
        <v>52</v>
      </c>
      <c r="AA219" s="6" t="s">
        <v>91</v>
      </c>
      <c r="AB219" s="6">
        <v>281.49</v>
      </c>
      <c r="AC219" s="6">
        <v>0</v>
      </c>
      <c r="AD219" s="6">
        <v>0</v>
      </c>
      <c r="AE219" s="6">
        <v>0</v>
      </c>
      <c r="AF219" s="6">
        <v>0</v>
      </c>
      <c r="AG219" s="6">
        <v>0</v>
      </c>
      <c r="AH219" s="6">
        <v>0</v>
      </c>
      <c r="AI219" s="6" t="s">
        <v>966</v>
      </c>
      <c r="AJ219" s="6" t="s">
        <v>257</v>
      </c>
      <c r="AK219" s="6" t="s">
        <v>14</v>
      </c>
      <c r="AL219" s="6" t="s">
        <v>48</v>
      </c>
      <c r="AM219" s="6" t="s">
        <v>258</v>
      </c>
      <c r="AN219" s="6" t="s">
        <v>20</v>
      </c>
      <c r="AO219" s="6" t="s">
        <v>272</v>
      </c>
      <c r="AP219" s="6" t="s">
        <v>273</v>
      </c>
      <c r="AQ219" s="6" t="s">
        <v>18</v>
      </c>
    </row>
    <row r="220" spans="1:43" x14ac:dyDescent="0.25">
      <c r="A220" s="6">
        <v>22904831</v>
      </c>
      <c r="B220" s="6">
        <v>23678842</v>
      </c>
      <c r="C220" s="6" t="s">
        <v>248</v>
      </c>
      <c r="D220" s="14">
        <v>45910.835381944453</v>
      </c>
      <c r="E220" s="14">
        <v>45910.837847222218</v>
      </c>
      <c r="F220" s="6" t="s">
        <v>17</v>
      </c>
      <c r="G220" s="6" t="s">
        <v>17</v>
      </c>
      <c r="H220" s="6" t="s">
        <v>967</v>
      </c>
      <c r="I220" s="6" t="s">
        <v>14</v>
      </c>
      <c r="J220" s="6" t="s">
        <v>968</v>
      </c>
      <c r="K220" s="6" t="s">
        <v>751</v>
      </c>
      <c r="L220" s="6" t="s">
        <v>751</v>
      </c>
      <c r="M220" s="14">
        <v>45910</v>
      </c>
      <c r="N220" s="6">
        <v>17511798</v>
      </c>
      <c r="O220" s="6" t="s">
        <v>91</v>
      </c>
      <c r="P220" s="6" t="s">
        <v>276</v>
      </c>
      <c r="Q220" s="6" t="s">
        <v>253</v>
      </c>
      <c r="R220" s="6" t="s">
        <v>253</v>
      </c>
      <c r="S220" s="6" t="s">
        <v>9</v>
      </c>
      <c r="T220" s="6" t="s">
        <v>254</v>
      </c>
      <c r="U220" s="6" t="s">
        <v>115</v>
      </c>
      <c r="V220" s="6" t="s">
        <v>826</v>
      </c>
      <c r="W220" s="6" t="s">
        <v>91</v>
      </c>
      <c r="X220" s="6" t="s">
        <v>91</v>
      </c>
      <c r="Y220" s="6" t="s">
        <v>91</v>
      </c>
      <c r="Z220" s="6" t="s">
        <v>52</v>
      </c>
      <c r="AA220" s="6" t="s">
        <v>91</v>
      </c>
      <c r="AB220" s="6">
        <v>281.49</v>
      </c>
      <c r="AC220" s="6">
        <v>0</v>
      </c>
      <c r="AD220" s="6">
        <v>0</v>
      </c>
      <c r="AE220" s="6">
        <v>0</v>
      </c>
      <c r="AF220" s="6">
        <v>0</v>
      </c>
      <c r="AG220" s="6">
        <v>0</v>
      </c>
      <c r="AH220" s="6">
        <v>0</v>
      </c>
      <c r="AI220" s="6" t="s">
        <v>969</v>
      </c>
      <c r="AJ220" s="6" t="s">
        <v>257</v>
      </c>
      <c r="AK220" s="6" t="s">
        <v>14</v>
      </c>
      <c r="AL220" s="6" t="s">
        <v>48</v>
      </c>
      <c r="AM220" s="6" t="s">
        <v>258</v>
      </c>
      <c r="AN220" s="6" t="s">
        <v>20</v>
      </c>
      <c r="AO220" s="6" t="s">
        <v>272</v>
      </c>
      <c r="AP220" s="6" t="s">
        <v>273</v>
      </c>
      <c r="AQ220" s="6" t="s">
        <v>18</v>
      </c>
    </row>
    <row r="221" spans="1:43" x14ac:dyDescent="0.25">
      <c r="A221" s="6">
        <v>22900860</v>
      </c>
      <c r="B221" s="6">
        <v>23675048</v>
      </c>
      <c r="C221" s="6" t="s">
        <v>248</v>
      </c>
      <c r="D221" s="14">
        <v>45910.419386574067</v>
      </c>
      <c r="E221" s="14">
        <v>45910.421331018522</v>
      </c>
      <c r="F221" s="6" t="s">
        <v>17</v>
      </c>
      <c r="G221" s="6" t="s">
        <v>17</v>
      </c>
      <c r="H221" s="6" t="s">
        <v>970</v>
      </c>
      <c r="I221" s="6" t="s">
        <v>14</v>
      </c>
      <c r="J221" s="6" t="s">
        <v>971</v>
      </c>
      <c r="K221" s="6" t="s">
        <v>751</v>
      </c>
      <c r="L221" s="6" t="s">
        <v>751</v>
      </c>
      <c r="M221" s="14">
        <v>45910</v>
      </c>
      <c r="N221" s="6">
        <v>17504201</v>
      </c>
      <c r="O221" s="6" t="s">
        <v>91</v>
      </c>
      <c r="P221" s="6" t="s">
        <v>276</v>
      </c>
      <c r="Q221" s="6" t="s">
        <v>253</v>
      </c>
      <c r="R221" s="6" t="s">
        <v>253</v>
      </c>
      <c r="S221" s="6" t="s">
        <v>9</v>
      </c>
      <c r="T221" s="6" t="s">
        <v>254</v>
      </c>
      <c r="U221" s="6" t="s">
        <v>115</v>
      </c>
      <c r="V221" s="6" t="s">
        <v>826</v>
      </c>
      <c r="W221" s="6" t="s">
        <v>91</v>
      </c>
      <c r="X221" s="6" t="s">
        <v>91</v>
      </c>
      <c r="Y221" s="6" t="s">
        <v>91</v>
      </c>
      <c r="Z221" s="6" t="s">
        <v>52</v>
      </c>
      <c r="AA221" s="6" t="s">
        <v>91</v>
      </c>
      <c r="AB221" s="6">
        <v>561.04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 t="s">
        <v>972</v>
      </c>
      <c r="AJ221" s="6" t="s">
        <v>257</v>
      </c>
      <c r="AK221" s="6" t="s">
        <v>14</v>
      </c>
      <c r="AL221" s="6" t="s">
        <v>48</v>
      </c>
      <c r="AM221" s="6" t="s">
        <v>258</v>
      </c>
      <c r="AN221" s="6" t="s">
        <v>20</v>
      </c>
      <c r="AO221" s="6" t="s">
        <v>272</v>
      </c>
      <c r="AP221" s="6" t="s">
        <v>273</v>
      </c>
      <c r="AQ221" s="6" t="s">
        <v>18</v>
      </c>
    </row>
    <row r="222" spans="1:43" x14ac:dyDescent="0.25">
      <c r="A222" s="6">
        <v>22901129</v>
      </c>
      <c r="B222" s="6">
        <v>23675310</v>
      </c>
      <c r="C222" s="6" t="s">
        <v>248</v>
      </c>
      <c r="D222" s="14">
        <v>45910.461284722223</v>
      </c>
      <c r="E222" s="14">
        <v>45910.463935185187</v>
      </c>
      <c r="F222" s="6" t="s">
        <v>17</v>
      </c>
      <c r="G222" s="6" t="s">
        <v>17</v>
      </c>
      <c r="H222" s="6" t="s">
        <v>973</v>
      </c>
      <c r="I222" s="6" t="s">
        <v>14</v>
      </c>
      <c r="J222" s="6" t="s">
        <v>974</v>
      </c>
      <c r="K222" s="6" t="s">
        <v>751</v>
      </c>
      <c r="L222" s="6" t="s">
        <v>751</v>
      </c>
      <c r="M222" s="14">
        <v>45910</v>
      </c>
      <c r="N222" s="6">
        <v>17504382</v>
      </c>
      <c r="O222" s="6" t="s">
        <v>91</v>
      </c>
      <c r="P222" s="6" t="s">
        <v>276</v>
      </c>
      <c r="Q222" s="6" t="s">
        <v>253</v>
      </c>
      <c r="R222" s="6" t="s">
        <v>253</v>
      </c>
      <c r="S222" s="6" t="s">
        <v>9</v>
      </c>
      <c r="T222" s="6" t="s">
        <v>254</v>
      </c>
      <c r="U222" s="6" t="s">
        <v>115</v>
      </c>
      <c r="V222" s="6" t="s">
        <v>826</v>
      </c>
      <c r="W222" s="6" t="s">
        <v>91</v>
      </c>
      <c r="X222" s="6" t="s">
        <v>91</v>
      </c>
      <c r="Y222" s="6" t="s">
        <v>91</v>
      </c>
      <c r="Z222" s="6" t="s">
        <v>52</v>
      </c>
      <c r="AA222" s="6" t="s">
        <v>91</v>
      </c>
      <c r="AB222" s="6">
        <v>192.21</v>
      </c>
      <c r="AC222" s="6">
        <v>0</v>
      </c>
      <c r="AD222" s="6">
        <v>0</v>
      </c>
      <c r="AE222" s="6">
        <v>0</v>
      </c>
      <c r="AF222" s="6">
        <v>0</v>
      </c>
      <c r="AG222" s="6">
        <v>0</v>
      </c>
      <c r="AH222" s="6">
        <v>0</v>
      </c>
      <c r="AI222" s="6" t="s">
        <v>975</v>
      </c>
      <c r="AJ222" s="6" t="s">
        <v>257</v>
      </c>
      <c r="AK222" s="6" t="s">
        <v>14</v>
      </c>
      <c r="AL222" s="6" t="s">
        <v>48</v>
      </c>
      <c r="AM222" s="6" t="s">
        <v>258</v>
      </c>
      <c r="AN222" s="6" t="s">
        <v>20</v>
      </c>
      <c r="AO222" s="6" t="s">
        <v>272</v>
      </c>
      <c r="AP222" s="6" t="s">
        <v>273</v>
      </c>
      <c r="AQ222" s="6" t="s">
        <v>18</v>
      </c>
    </row>
    <row r="223" spans="1:43" x14ac:dyDescent="0.25">
      <c r="A223" s="6">
        <v>22901130</v>
      </c>
      <c r="B223" s="6">
        <v>23675311</v>
      </c>
      <c r="C223" s="6" t="s">
        <v>248</v>
      </c>
      <c r="D223" s="14">
        <v>45910.461296296293</v>
      </c>
      <c r="E223" s="14">
        <v>45910.463958333326</v>
      </c>
      <c r="F223" s="6" t="s">
        <v>17</v>
      </c>
      <c r="G223" s="6" t="s">
        <v>17</v>
      </c>
      <c r="H223" s="6" t="s">
        <v>976</v>
      </c>
      <c r="I223" s="6" t="s">
        <v>14</v>
      </c>
      <c r="J223" s="6" t="s">
        <v>977</v>
      </c>
      <c r="K223" s="6" t="s">
        <v>751</v>
      </c>
      <c r="L223" s="6" t="s">
        <v>751</v>
      </c>
      <c r="M223" s="14">
        <v>45910</v>
      </c>
      <c r="N223" s="6">
        <v>17504402</v>
      </c>
      <c r="O223" s="6" t="s">
        <v>91</v>
      </c>
      <c r="P223" s="6" t="s">
        <v>276</v>
      </c>
      <c r="Q223" s="6" t="s">
        <v>253</v>
      </c>
      <c r="R223" s="6" t="s">
        <v>253</v>
      </c>
      <c r="S223" s="6" t="s">
        <v>9</v>
      </c>
      <c r="T223" s="6" t="s">
        <v>254</v>
      </c>
      <c r="U223" s="6" t="s">
        <v>115</v>
      </c>
      <c r="V223" s="6" t="s">
        <v>826</v>
      </c>
      <c r="W223" s="6" t="s">
        <v>91</v>
      </c>
      <c r="X223" s="6" t="s">
        <v>91</v>
      </c>
      <c r="Y223" s="6" t="s">
        <v>91</v>
      </c>
      <c r="Z223" s="6" t="s">
        <v>52</v>
      </c>
      <c r="AA223" s="6" t="s">
        <v>91</v>
      </c>
      <c r="AB223" s="6">
        <v>698.97</v>
      </c>
      <c r="AC223" s="6">
        <v>0</v>
      </c>
      <c r="AD223" s="6">
        <v>0</v>
      </c>
      <c r="AE223" s="6">
        <v>0</v>
      </c>
      <c r="AF223" s="6">
        <v>0</v>
      </c>
      <c r="AG223" s="6">
        <v>34.950000000000003</v>
      </c>
      <c r="AH223" s="6">
        <v>0</v>
      </c>
      <c r="AI223" s="6" t="s">
        <v>978</v>
      </c>
      <c r="AJ223" s="6" t="s">
        <v>257</v>
      </c>
      <c r="AK223" s="6" t="s">
        <v>14</v>
      </c>
      <c r="AL223" s="6" t="s">
        <v>48</v>
      </c>
      <c r="AM223" s="6" t="s">
        <v>258</v>
      </c>
      <c r="AN223" s="6" t="s">
        <v>20</v>
      </c>
      <c r="AO223" s="6" t="s">
        <v>272</v>
      </c>
      <c r="AP223" s="6" t="s">
        <v>273</v>
      </c>
      <c r="AQ223" s="6" t="s">
        <v>18</v>
      </c>
    </row>
    <row r="224" spans="1:43" x14ac:dyDescent="0.25">
      <c r="A224" s="6">
        <v>22902372</v>
      </c>
      <c r="B224" s="6">
        <v>23676473</v>
      </c>
      <c r="C224" s="6" t="s">
        <v>248</v>
      </c>
      <c r="D224" s="14">
        <v>45910.583993055552</v>
      </c>
      <c r="E224" s="14">
        <v>45910.587870370371</v>
      </c>
      <c r="F224" s="6" t="s">
        <v>17</v>
      </c>
      <c r="G224" s="6" t="s">
        <v>17</v>
      </c>
      <c r="H224" s="6" t="s">
        <v>979</v>
      </c>
      <c r="I224" s="6" t="s">
        <v>14</v>
      </c>
      <c r="J224" s="6" t="s">
        <v>980</v>
      </c>
      <c r="K224" s="6" t="s">
        <v>751</v>
      </c>
      <c r="L224" s="6" t="s">
        <v>751</v>
      </c>
      <c r="M224" s="14">
        <v>45904</v>
      </c>
      <c r="N224" s="6">
        <v>17457256</v>
      </c>
      <c r="O224" s="6" t="s">
        <v>91</v>
      </c>
      <c r="P224" s="6" t="s">
        <v>276</v>
      </c>
      <c r="Q224" s="6" t="s">
        <v>253</v>
      </c>
      <c r="R224" s="6" t="s">
        <v>253</v>
      </c>
      <c r="S224" s="6" t="s">
        <v>9</v>
      </c>
      <c r="T224" s="6" t="s">
        <v>254</v>
      </c>
      <c r="U224" s="6" t="s">
        <v>115</v>
      </c>
      <c r="V224" s="6" t="s">
        <v>826</v>
      </c>
      <c r="W224" s="6" t="s">
        <v>91</v>
      </c>
      <c r="X224" s="6" t="s">
        <v>91</v>
      </c>
      <c r="Y224" s="6" t="s">
        <v>91</v>
      </c>
      <c r="Z224" s="6" t="s">
        <v>52</v>
      </c>
      <c r="AA224" s="6" t="s">
        <v>91</v>
      </c>
      <c r="AB224" s="6">
        <v>406.06</v>
      </c>
      <c r="AC224" s="6">
        <v>0</v>
      </c>
      <c r="AD224" s="6">
        <v>0</v>
      </c>
      <c r="AE224" s="6">
        <v>0</v>
      </c>
      <c r="AF224" s="6">
        <v>0</v>
      </c>
      <c r="AG224" s="6">
        <v>20.3</v>
      </c>
      <c r="AH224" s="6">
        <v>0</v>
      </c>
      <c r="AI224" s="6" t="s">
        <v>981</v>
      </c>
      <c r="AJ224" s="6" t="s">
        <v>257</v>
      </c>
      <c r="AK224" s="6" t="s">
        <v>14</v>
      </c>
      <c r="AL224" s="6" t="s">
        <v>48</v>
      </c>
      <c r="AM224" s="6" t="s">
        <v>258</v>
      </c>
      <c r="AN224" s="6" t="s">
        <v>20</v>
      </c>
      <c r="AO224" s="6" t="s">
        <v>272</v>
      </c>
      <c r="AP224" s="6" t="s">
        <v>273</v>
      </c>
      <c r="AQ224" s="6" t="s">
        <v>18</v>
      </c>
    </row>
    <row r="225" spans="1:43" x14ac:dyDescent="0.25">
      <c r="A225" s="6">
        <v>22902373</v>
      </c>
      <c r="B225" s="6">
        <v>23676474</v>
      </c>
      <c r="C225" s="6" t="s">
        <v>248</v>
      </c>
      <c r="D225" s="14">
        <v>45910.584062499998</v>
      </c>
      <c r="E225" s="14">
        <v>45910.587893518517</v>
      </c>
      <c r="F225" s="6" t="s">
        <v>17</v>
      </c>
      <c r="G225" s="6" t="s">
        <v>17</v>
      </c>
      <c r="H225" s="6" t="s">
        <v>982</v>
      </c>
      <c r="I225" s="6" t="s">
        <v>14</v>
      </c>
      <c r="J225" s="6" t="s">
        <v>980</v>
      </c>
      <c r="K225" s="6" t="s">
        <v>751</v>
      </c>
      <c r="L225" s="6" t="s">
        <v>751</v>
      </c>
      <c r="M225" s="14">
        <v>45904</v>
      </c>
      <c r="N225" s="6">
        <v>17459180</v>
      </c>
      <c r="O225" s="6" t="s">
        <v>91</v>
      </c>
      <c r="P225" s="6" t="s">
        <v>276</v>
      </c>
      <c r="Q225" s="6" t="s">
        <v>253</v>
      </c>
      <c r="R225" s="6" t="s">
        <v>253</v>
      </c>
      <c r="S225" s="6" t="s">
        <v>9</v>
      </c>
      <c r="T225" s="6" t="s">
        <v>254</v>
      </c>
      <c r="U225" s="6" t="s">
        <v>115</v>
      </c>
      <c r="V225" s="6" t="s">
        <v>826</v>
      </c>
      <c r="W225" s="6" t="s">
        <v>91</v>
      </c>
      <c r="X225" s="6" t="s">
        <v>91</v>
      </c>
      <c r="Y225" s="6" t="s">
        <v>91</v>
      </c>
      <c r="Z225" s="6" t="s">
        <v>52</v>
      </c>
      <c r="AA225" s="6" t="s">
        <v>91</v>
      </c>
      <c r="AB225" s="6">
        <v>406.06</v>
      </c>
      <c r="AC225" s="6">
        <v>0</v>
      </c>
      <c r="AD225" s="6">
        <v>0</v>
      </c>
      <c r="AE225" s="6">
        <v>0</v>
      </c>
      <c r="AF225" s="6">
        <v>0</v>
      </c>
      <c r="AG225" s="6">
        <v>20.3</v>
      </c>
      <c r="AH225" s="6">
        <v>0</v>
      </c>
      <c r="AI225" s="6" t="s">
        <v>983</v>
      </c>
      <c r="AJ225" s="6" t="s">
        <v>257</v>
      </c>
      <c r="AK225" s="6" t="s">
        <v>14</v>
      </c>
      <c r="AL225" s="6" t="s">
        <v>48</v>
      </c>
      <c r="AM225" s="6" t="s">
        <v>258</v>
      </c>
      <c r="AN225" s="6" t="s">
        <v>20</v>
      </c>
      <c r="AO225" s="6" t="s">
        <v>272</v>
      </c>
      <c r="AP225" s="6" t="s">
        <v>273</v>
      </c>
      <c r="AQ225" s="6" t="s">
        <v>18</v>
      </c>
    </row>
    <row r="226" spans="1:43" x14ac:dyDescent="0.25">
      <c r="A226" s="6">
        <v>22902374</v>
      </c>
      <c r="B226" s="6">
        <v>23676475</v>
      </c>
      <c r="C226" s="6" t="s">
        <v>248</v>
      </c>
      <c r="D226" s="14">
        <v>45910.584097222221</v>
      </c>
      <c r="E226" s="14">
        <v>45910.587905092587</v>
      </c>
      <c r="F226" s="6" t="s">
        <v>17</v>
      </c>
      <c r="G226" s="6" t="s">
        <v>17</v>
      </c>
      <c r="H226" s="6" t="s">
        <v>984</v>
      </c>
      <c r="I226" s="6" t="s">
        <v>14</v>
      </c>
      <c r="J226" s="6" t="s">
        <v>980</v>
      </c>
      <c r="K226" s="6" t="s">
        <v>751</v>
      </c>
      <c r="L226" s="6" t="s">
        <v>751</v>
      </c>
      <c r="M226" s="14">
        <v>45904</v>
      </c>
      <c r="N226" s="6">
        <v>17459245</v>
      </c>
      <c r="O226" s="6" t="s">
        <v>91</v>
      </c>
      <c r="P226" s="6" t="s">
        <v>276</v>
      </c>
      <c r="Q226" s="6" t="s">
        <v>253</v>
      </c>
      <c r="R226" s="6" t="s">
        <v>253</v>
      </c>
      <c r="S226" s="6" t="s">
        <v>9</v>
      </c>
      <c r="T226" s="6" t="s">
        <v>254</v>
      </c>
      <c r="U226" s="6" t="s">
        <v>115</v>
      </c>
      <c r="V226" s="6" t="s">
        <v>826</v>
      </c>
      <c r="W226" s="6" t="s">
        <v>91</v>
      </c>
      <c r="X226" s="6" t="s">
        <v>91</v>
      </c>
      <c r="Y226" s="6" t="s">
        <v>91</v>
      </c>
      <c r="Z226" s="6" t="s">
        <v>52</v>
      </c>
      <c r="AA226" s="6" t="s">
        <v>91</v>
      </c>
      <c r="AB226" s="6">
        <v>406.06</v>
      </c>
      <c r="AC226" s="6">
        <v>0</v>
      </c>
      <c r="AD226" s="6">
        <v>0</v>
      </c>
      <c r="AE226" s="6">
        <v>0</v>
      </c>
      <c r="AF226" s="6">
        <v>0</v>
      </c>
      <c r="AG226" s="6">
        <v>20.3</v>
      </c>
      <c r="AH226" s="6">
        <v>0</v>
      </c>
      <c r="AI226" s="6" t="s">
        <v>985</v>
      </c>
      <c r="AJ226" s="6" t="s">
        <v>257</v>
      </c>
      <c r="AK226" s="6" t="s">
        <v>14</v>
      </c>
      <c r="AL226" s="6" t="s">
        <v>48</v>
      </c>
      <c r="AM226" s="6" t="s">
        <v>258</v>
      </c>
      <c r="AN226" s="6" t="s">
        <v>20</v>
      </c>
      <c r="AO226" s="6" t="s">
        <v>272</v>
      </c>
      <c r="AP226" s="6" t="s">
        <v>273</v>
      </c>
      <c r="AQ226" s="6" t="s">
        <v>18</v>
      </c>
    </row>
    <row r="227" spans="1:43" x14ac:dyDescent="0.25">
      <c r="A227" s="6">
        <v>22895854</v>
      </c>
      <c r="B227" s="6">
        <v>23670819</v>
      </c>
      <c r="C227" s="6" t="s">
        <v>248</v>
      </c>
      <c r="D227" s="14">
        <v>45909.584965277783</v>
      </c>
      <c r="E227" s="14">
        <v>45909.588125000002</v>
      </c>
      <c r="F227" s="6" t="s">
        <v>19</v>
      </c>
      <c r="G227" s="6" t="s">
        <v>19</v>
      </c>
      <c r="H227" s="6" t="s">
        <v>986</v>
      </c>
      <c r="I227" s="6" t="s">
        <v>14</v>
      </c>
      <c r="J227" s="6" t="s">
        <v>987</v>
      </c>
      <c r="K227" s="6" t="s">
        <v>751</v>
      </c>
      <c r="L227" s="6" t="s">
        <v>751</v>
      </c>
      <c r="M227" s="14">
        <v>45909</v>
      </c>
      <c r="N227" s="6">
        <v>17491830</v>
      </c>
      <c r="O227" s="6" t="s">
        <v>91</v>
      </c>
      <c r="P227" s="6" t="s">
        <v>276</v>
      </c>
      <c r="Q227" s="6" t="s">
        <v>253</v>
      </c>
      <c r="R227" s="6" t="s">
        <v>253</v>
      </c>
      <c r="S227" s="6" t="s">
        <v>9</v>
      </c>
      <c r="T227" s="6" t="s">
        <v>254</v>
      </c>
      <c r="U227" s="6" t="s">
        <v>115</v>
      </c>
      <c r="V227" s="6" t="s">
        <v>826</v>
      </c>
      <c r="W227" s="6" t="s">
        <v>91</v>
      </c>
      <c r="X227" s="6" t="s">
        <v>91</v>
      </c>
      <c r="Y227" s="6" t="s">
        <v>91</v>
      </c>
      <c r="Z227" s="6" t="s">
        <v>52</v>
      </c>
      <c r="AA227" s="6" t="s">
        <v>91</v>
      </c>
      <c r="AB227" s="6">
        <v>391</v>
      </c>
      <c r="AC227" s="6">
        <v>0</v>
      </c>
      <c r="AD227" s="6">
        <v>0</v>
      </c>
      <c r="AE227" s="6">
        <v>0</v>
      </c>
      <c r="AF227" s="6">
        <v>0</v>
      </c>
      <c r="AG227" s="6">
        <v>11.73</v>
      </c>
      <c r="AH227" s="6">
        <v>0</v>
      </c>
      <c r="AI227" s="6" t="s">
        <v>988</v>
      </c>
      <c r="AJ227" s="6" t="s">
        <v>257</v>
      </c>
      <c r="AK227" s="6" t="s">
        <v>14</v>
      </c>
      <c r="AL227" s="6" t="s">
        <v>48</v>
      </c>
      <c r="AM227" s="6" t="s">
        <v>258</v>
      </c>
      <c r="AN227" s="6" t="s">
        <v>20</v>
      </c>
      <c r="AO227" s="6" t="s">
        <v>272</v>
      </c>
      <c r="AP227" s="6" t="s">
        <v>273</v>
      </c>
      <c r="AQ227" s="6" t="s">
        <v>18</v>
      </c>
    </row>
    <row r="228" spans="1:43" x14ac:dyDescent="0.25">
      <c r="A228" s="6">
        <v>22889715</v>
      </c>
      <c r="B228" s="6">
        <v>23665207</v>
      </c>
      <c r="C228" s="6" t="s">
        <v>248</v>
      </c>
      <c r="D228" s="14">
        <v>45908.627500000002</v>
      </c>
      <c r="E228" s="14">
        <v>45908.630266203712</v>
      </c>
      <c r="F228" s="6" t="s">
        <v>19</v>
      </c>
      <c r="G228" s="6" t="s">
        <v>19</v>
      </c>
      <c r="H228" s="6" t="s">
        <v>989</v>
      </c>
      <c r="I228" s="6" t="s">
        <v>14</v>
      </c>
      <c r="J228" s="6" t="s">
        <v>990</v>
      </c>
      <c r="K228" s="6" t="s">
        <v>751</v>
      </c>
      <c r="L228" s="6" t="s">
        <v>751</v>
      </c>
      <c r="M228" s="14">
        <v>45908</v>
      </c>
      <c r="N228" s="6">
        <v>17482652</v>
      </c>
      <c r="O228" s="6" t="s">
        <v>91</v>
      </c>
      <c r="P228" s="6" t="s">
        <v>276</v>
      </c>
      <c r="Q228" s="6" t="s">
        <v>253</v>
      </c>
      <c r="R228" s="6" t="s">
        <v>253</v>
      </c>
      <c r="S228" s="6" t="s">
        <v>9</v>
      </c>
      <c r="T228" s="6" t="s">
        <v>254</v>
      </c>
      <c r="U228" s="6" t="s">
        <v>115</v>
      </c>
      <c r="V228" s="6" t="s">
        <v>826</v>
      </c>
      <c r="W228" s="6" t="s">
        <v>91</v>
      </c>
      <c r="X228" s="6" t="s">
        <v>91</v>
      </c>
      <c r="Y228" s="6" t="s">
        <v>91</v>
      </c>
      <c r="Z228" s="6" t="s">
        <v>52</v>
      </c>
      <c r="AA228" s="6" t="s">
        <v>91</v>
      </c>
      <c r="AB228" s="6">
        <v>205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 t="s">
        <v>991</v>
      </c>
      <c r="AJ228" s="6" t="s">
        <v>257</v>
      </c>
      <c r="AK228" s="6" t="s">
        <v>14</v>
      </c>
      <c r="AL228" s="6" t="s">
        <v>48</v>
      </c>
      <c r="AM228" s="6" t="s">
        <v>258</v>
      </c>
      <c r="AN228" s="6" t="s">
        <v>20</v>
      </c>
      <c r="AO228" s="6" t="s">
        <v>272</v>
      </c>
      <c r="AP228" s="6" t="s">
        <v>273</v>
      </c>
      <c r="AQ228" s="6" t="s">
        <v>18</v>
      </c>
    </row>
    <row r="229" spans="1:43" x14ac:dyDescent="0.25">
      <c r="A229" s="6">
        <v>22887717</v>
      </c>
      <c r="B229" s="6">
        <v>23663138</v>
      </c>
      <c r="C229" s="6" t="s">
        <v>248</v>
      </c>
      <c r="D229" s="14">
        <v>45908.417187500003</v>
      </c>
      <c r="E229" s="14">
        <v>45908.417743055557</v>
      </c>
      <c r="F229" s="6" t="s">
        <v>19</v>
      </c>
      <c r="G229" s="6" t="s">
        <v>19</v>
      </c>
      <c r="H229" s="6" t="s">
        <v>992</v>
      </c>
      <c r="I229" s="6" t="s">
        <v>14</v>
      </c>
      <c r="J229" s="6" t="s">
        <v>993</v>
      </c>
      <c r="K229" s="6" t="s">
        <v>751</v>
      </c>
      <c r="L229" s="6" t="s">
        <v>751</v>
      </c>
      <c r="M229" s="14">
        <v>45904</v>
      </c>
      <c r="N229" s="6">
        <v>17457313</v>
      </c>
      <c r="O229" s="6" t="s">
        <v>91</v>
      </c>
      <c r="P229" s="6" t="s">
        <v>276</v>
      </c>
      <c r="Q229" s="6" t="s">
        <v>253</v>
      </c>
      <c r="R229" s="6" t="s">
        <v>253</v>
      </c>
      <c r="S229" s="6" t="s">
        <v>9</v>
      </c>
      <c r="T229" s="6" t="s">
        <v>254</v>
      </c>
      <c r="U229" s="6" t="s">
        <v>115</v>
      </c>
      <c r="V229" s="6" t="s">
        <v>826</v>
      </c>
      <c r="W229" s="6" t="s">
        <v>91</v>
      </c>
      <c r="X229" s="6" t="s">
        <v>91</v>
      </c>
      <c r="Y229" s="6" t="s">
        <v>91</v>
      </c>
      <c r="Z229" s="6" t="s">
        <v>52</v>
      </c>
      <c r="AA229" s="6" t="s">
        <v>91</v>
      </c>
      <c r="AB229" s="6">
        <v>406.22</v>
      </c>
      <c r="AC229" s="6">
        <v>0</v>
      </c>
      <c r="AD229" s="6">
        <v>0</v>
      </c>
      <c r="AE229" s="6">
        <v>0</v>
      </c>
      <c r="AF229" s="6">
        <v>0</v>
      </c>
      <c r="AG229" s="6">
        <v>12.18</v>
      </c>
      <c r="AH229" s="6">
        <v>0</v>
      </c>
      <c r="AI229" s="6" t="s">
        <v>994</v>
      </c>
      <c r="AJ229" s="6" t="s">
        <v>257</v>
      </c>
      <c r="AK229" s="6" t="s">
        <v>14</v>
      </c>
      <c r="AL229" s="6" t="s">
        <v>48</v>
      </c>
      <c r="AM229" s="6" t="s">
        <v>258</v>
      </c>
      <c r="AN229" s="6" t="s">
        <v>20</v>
      </c>
      <c r="AO229" s="6" t="s">
        <v>272</v>
      </c>
      <c r="AP229" s="6" t="s">
        <v>273</v>
      </c>
      <c r="AQ229" s="6" t="s">
        <v>18</v>
      </c>
    </row>
    <row r="230" spans="1:43" x14ac:dyDescent="0.25">
      <c r="A230" s="6">
        <v>22887731</v>
      </c>
      <c r="B230" s="6">
        <v>23663155</v>
      </c>
      <c r="C230" s="6" t="s">
        <v>248</v>
      </c>
      <c r="D230" s="14">
        <v>45908.418263888889</v>
      </c>
      <c r="E230" s="14">
        <v>45908.421805555547</v>
      </c>
      <c r="F230" s="6" t="s">
        <v>19</v>
      </c>
      <c r="G230" s="6" t="s">
        <v>19</v>
      </c>
      <c r="H230" s="6" t="s">
        <v>995</v>
      </c>
      <c r="I230" s="6" t="s">
        <v>14</v>
      </c>
      <c r="J230" s="6" t="s">
        <v>996</v>
      </c>
      <c r="K230" s="6" t="s">
        <v>751</v>
      </c>
      <c r="L230" s="6" t="s">
        <v>751</v>
      </c>
      <c r="M230" s="14">
        <v>45908</v>
      </c>
      <c r="N230" s="6">
        <v>17480859</v>
      </c>
      <c r="O230" s="6" t="s">
        <v>91</v>
      </c>
      <c r="P230" s="6" t="s">
        <v>276</v>
      </c>
      <c r="Q230" s="6" t="s">
        <v>253</v>
      </c>
      <c r="R230" s="6" t="s">
        <v>253</v>
      </c>
      <c r="S230" s="6" t="s">
        <v>9</v>
      </c>
      <c r="T230" s="6" t="s">
        <v>254</v>
      </c>
      <c r="U230" s="6" t="s">
        <v>115</v>
      </c>
      <c r="V230" s="6" t="s">
        <v>826</v>
      </c>
      <c r="W230" s="6" t="s">
        <v>91</v>
      </c>
      <c r="X230" s="6" t="s">
        <v>91</v>
      </c>
      <c r="Y230" s="6" t="s">
        <v>91</v>
      </c>
      <c r="Z230" s="6" t="s">
        <v>52</v>
      </c>
      <c r="AA230" s="6" t="s">
        <v>91</v>
      </c>
      <c r="AB230" s="6">
        <v>384.42</v>
      </c>
      <c r="AC230" s="6">
        <v>0</v>
      </c>
      <c r="AD230" s="6">
        <v>0</v>
      </c>
      <c r="AE230" s="6">
        <v>0</v>
      </c>
      <c r="AF230" s="6">
        <v>0</v>
      </c>
      <c r="AG230" s="6">
        <v>0</v>
      </c>
      <c r="AH230" s="6">
        <v>0</v>
      </c>
      <c r="AI230" s="6" t="s">
        <v>997</v>
      </c>
      <c r="AJ230" s="6" t="s">
        <v>257</v>
      </c>
      <c r="AK230" s="6" t="s">
        <v>14</v>
      </c>
      <c r="AL230" s="6" t="s">
        <v>48</v>
      </c>
      <c r="AM230" s="6" t="s">
        <v>258</v>
      </c>
      <c r="AN230" s="6" t="s">
        <v>20</v>
      </c>
      <c r="AO230" s="6" t="s">
        <v>272</v>
      </c>
      <c r="AP230" s="6" t="s">
        <v>273</v>
      </c>
      <c r="AQ230" s="6" t="s">
        <v>18</v>
      </c>
    </row>
    <row r="231" spans="1:43" x14ac:dyDescent="0.25">
      <c r="A231" s="6">
        <v>22887994</v>
      </c>
      <c r="B231" s="6">
        <v>23663427</v>
      </c>
      <c r="C231" s="6" t="s">
        <v>248</v>
      </c>
      <c r="D231" s="14">
        <v>45908.459479166668</v>
      </c>
      <c r="E231" s="14">
        <v>45908.462673611109</v>
      </c>
      <c r="F231" s="6" t="s">
        <v>19</v>
      </c>
      <c r="G231" s="6" t="s">
        <v>19</v>
      </c>
      <c r="H231" s="6" t="s">
        <v>998</v>
      </c>
      <c r="I231" s="6" t="s">
        <v>14</v>
      </c>
      <c r="J231" s="6" t="s">
        <v>999</v>
      </c>
      <c r="K231" s="6" t="s">
        <v>751</v>
      </c>
      <c r="L231" s="6" t="s">
        <v>751</v>
      </c>
      <c r="M231" s="14">
        <v>45905</v>
      </c>
      <c r="N231" s="6">
        <v>17476494</v>
      </c>
      <c r="O231" s="6" t="s">
        <v>91</v>
      </c>
      <c r="P231" s="6" t="s">
        <v>276</v>
      </c>
      <c r="Q231" s="6" t="s">
        <v>253</v>
      </c>
      <c r="R231" s="6" t="s">
        <v>253</v>
      </c>
      <c r="S231" s="6" t="s">
        <v>9</v>
      </c>
      <c r="T231" s="6" t="s">
        <v>254</v>
      </c>
      <c r="U231" s="6" t="s">
        <v>115</v>
      </c>
      <c r="V231" s="6" t="s">
        <v>826</v>
      </c>
      <c r="W231" s="6" t="s">
        <v>91</v>
      </c>
      <c r="X231" s="6" t="s">
        <v>91</v>
      </c>
      <c r="Y231" s="6" t="s">
        <v>91</v>
      </c>
      <c r="Z231" s="6" t="s">
        <v>52</v>
      </c>
      <c r="AA231" s="6" t="s">
        <v>91</v>
      </c>
      <c r="AB231" s="6">
        <v>283.44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1000</v>
      </c>
      <c r="AJ231" s="6" t="s">
        <v>257</v>
      </c>
      <c r="AK231" s="6" t="s">
        <v>14</v>
      </c>
      <c r="AL231" s="6" t="s">
        <v>48</v>
      </c>
      <c r="AM231" s="6" t="s">
        <v>258</v>
      </c>
      <c r="AN231" s="6" t="s">
        <v>20</v>
      </c>
      <c r="AO231" s="6" t="s">
        <v>272</v>
      </c>
      <c r="AP231" s="6" t="s">
        <v>273</v>
      </c>
      <c r="AQ231" s="6" t="s">
        <v>18</v>
      </c>
    </row>
    <row r="232" spans="1:43" x14ac:dyDescent="0.25">
      <c r="A232" s="6">
        <v>22888325</v>
      </c>
      <c r="B232" s="6">
        <v>23663809</v>
      </c>
      <c r="C232" s="6" t="s">
        <v>248</v>
      </c>
      <c r="D232" s="14">
        <v>45908.500787037039</v>
      </c>
      <c r="E232" s="14">
        <v>45908.501493055563</v>
      </c>
      <c r="F232" s="6" t="s">
        <v>19</v>
      </c>
      <c r="G232" s="6" t="s">
        <v>19</v>
      </c>
      <c r="H232" s="6" t="s">
        <v>1001</v>
      </c>
      <c r="I232" s="6" t="s">
        <v>14</v>
      </c>
      <c r="J232" s="6" t="s">
        <v>1002</v>
      </c>
      <c r="K232" s="6" t="s">
        <v>751</v>
      </c>
      <c r="L232" s="6" t="s">
        <v>751</v>
      </c>
      <c r="M232" s="14">
        <v>45905</v>
      </c>
      <c r="N232" s="6">
        <v>17469184</v>
      </c>
      <c r="O232" s="6" t="s">
        <v>91</v>
      </c>
      <c r="P232" s="6" t="s">
        <v>276</v>
      </c>
      <c r="Q232" s="6" t="s">
        <v>253</v>
      </c>
      <c r="R232" s="6" t="s">
        <v>253</v>
      </c>
      <c r="S232" s="6" t="s">
        <v>9</v>
      </c>
      <c r="T232" s="6" t="s">
        <v>254</v>
      </c>
      <c r="U232" s="6" t="s">
        <v>115</v>
      </c>
      <c r="V232" s="6" t="s">
        <v>826</v>
      </c>
      <c r="W232" s="6" t="s">
        <v>91</v>
      </c>
      <c r="X232" s="6" t="s">
        <v>91</v>
      </c>
      <c r="Y232" s="6" t="s">
        <v>91</v>
      </c>
      <c r="Z232" s="6" t="s">
        <v>52</v>
      </c>
      <c r="AA232" s="6" t="s">
        <v>91</v>
      </c>
      <c r="AB232" s="6">
        <v>224.53</v>
      </c>
      <c r="AC232" s="6">
        <v>0</v>
      </c>
      <c r="AD232" s="6">
        <v>0</v>
      </c>
      <c r="AE232" s="6">
        <v>0</v>
      </c>
      <c r="AF232" s="6">
        <v>0</v>
      </c>
      <c r="AG232" s="6">
        <v>6.74</v>
      </c>
      <c r="AH232" s="6">
        <v>0</v>
      </c>
      <c r="AI232" s="6" t="s">
        <v>1003</v>
      </c>
      <c r="AJ232" s="6" t="s">
        <v>257</v>
      </c>
      <c r="AK232" s="6" t="s">
        <v>14</v>
      </c>
      <c r="AL232" s="6" t="s">
        <v>48</v>
      </c>
      <c r="AM232" s="6" t="s">
        <v>258</v>
      </c>
      <c r="AN232" s="6" t="s">
        <v>20</v>
      </c>
      <c r="AO232" s="6" t="s">
        <v>272</v>
      </c>
      <c r="AP232" s="6" t="s">
        <v>273</v>
      </c>
      <c r="AQ232" s="6" t="s">
        <v>18</v>
      </c>
    </row>
    <row r="233" spans="1:43" x14ac:dyDescent="0.25">
      <c r="A233" s="6">
        <v>22897883</v>
      </c>
      <c r="B233" s="6">
        <v>23672769</v>
      </c>
      <c r="C233" s="6" t="s">
        <v>248</v>
      </c>
      <c r="D233" s="14">
        <v>45909.793912037043</v>
      </c>
      <c r="E233" s="14">
        <v>45909.800613425927</v>
      </c>
      <c r="F233" s="6" t="s">
        <v>19</v>
      </c>
      <c r="G233" s="6" t="s">
        <v>19</v>
      </c>
      <c r="H233" s="6" t="s">
        <v>1004</v>
      </c>
      <c r="I233" s="6" t="s">
        <v>14</v>
      </c>
      <c r="J233" s="6" t="s">
        <v>1005</v>
      </c>
      <c r="K233" s="6" t="s">
        <v>751</v>
      </c>
      <c r="L233" s="6" t="s">
        <v>751</v>
      </c>
      <c r="M233" s="14">
        <v>45909</v>
      </c>
      <c r="N233" s="6">
        <v>17501744</v>
      </c>
      <c r="O233" s="6" t="s">
        <v>91</v>
      </c>
      <c r="P233" s="6" t="s">
        <v>276</v>
      </c>
      <c r="Q233" s="6" t="s">
        <v>253</v>
      </c>
      <c r="R233" s="6" t="s">
        <v>253</v>
      </c>
      <c r="S233" s="6" t="s">
        <v>9</v>
      </c>
      <c r="T233" s="6" t="s">
        <v>254</v>
      </c>
      <c r="U233" s="6" t="s">
        <v>115</v>
      </c>
      <c r="V233" s="6" t="s">
        <v>826</v>
      </c>
      <c r="W233" s="6" t="s">
        <v>91</v>
      </c>
      <c r="X233" s="6" t="s">
        <v>91</v>
      </c>
      <c r="Y233" s="6" t="s">
        <v>91</v>
      </c>
      <c r="Z233" s="6" t="s">
        <v>52</v>
      </c>
      <c r="AA233" s="6" t="s">
        <v>91</v>
      </c>
      <c r="AB233" s="6">
        <v>384.42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1006</v>
      </c>
      <c r="AJ233" s="6" t="s">
        <v>257</v>
      </c>
      <c r="AK233" s="6" t="s">
        <v>14</v>
      </c>
      <c r="AL233" s="6" t="s">
        <v>48</v>
      </c>
      <c r="AM233" s="6" t="s">
        <v>258</v>
      </c>
      <c r="AN233" s="6" t="s">
        <v>20</v>
      </c>
      <c r="AO233" s="6" t="s">
        <v>272</v>
      </c>
      <c r="AP233" s="6" t="s">
        <v>273</v>
      </c>
      <c r="AQ233" s="6" t="s">
        <v>18</v>
      </c>
    </row>
    <row r="234" spans="1:43" x14ac:dyDescent="0.25">
      <c r="A234" s="6">
        <v>22896394</v>
      </c>
      <c r="B234" s="6">
        <v>23671345</v>
      </c>
      <c r="C234" s="6" t="s">
        <v>248</v>
      </c>
      <c r="D234" s="14">
        <v>45909.667500000003</v>
      </c>
      <c r="E234" s="14">
        <v>45909.668194444443</v>
      </c>
      <c r="F234" s="6" t="s">
        <v>19</v>
      </c>
      <c r="G234" s="6" t="s">
        <v>19</v>
      </c>
      <c r="H234" s="6" t="s">
        <v>1007</v>
      </c>
      <c r="I234" s="6" t="s">
        <v>14</v>
      </c>
      <c r="J234" s="6" t="s">
        <v>1008</v>
      </c>
      <c r="K234" s="6" t="s">
        <v>751</v>
      </c>
      <c r="L234" s="6" t="s">
        <v>751</v>
      </c>
      <c r="M234" s="14">
        <v>45904</v>
      </c>
      <c r="N234" s="6">
        <v>17466066</v>
      </c>
      <c r="O234" s="6" t="s">
        <v>91</v>
      </c>
      <c r="P234" s="6" t="s">
        <v>276</v>
      </c>
      <c r="Q234" s="6" t="s">
        <v>253</v>
      </c>
      <c r="R234" s="6" t="s">
        <v>253</v>
      </c>
      <c r="S234" s="6" t="s">
        <v>9</v>
      </c>
      <c r="T234" s="6" t="s">
        <v>254</v>
      </c>
      <c r="U234" s="6" t="s">
        <v>115</v>
      </c>
      <c r="V234" s="6" t="s">
        <v>826</v>
      </c>
      <c r="W234" s="6" t="s">
        <v>91</v>
      </c>
      <c r="X234" s="6" t="s">
        <v>91</v>
      </c>
      <c r="Y234" s="6" t="s">
        <v>91</v>
      </c>
      <c r="Z234" s="6" t="s">
        <v>52</v>
      </c>
      <c r="AA234" s="6" t="s">
        <v>91</v>
      </c>
      <c r="AB234" s="6">
        <v>190</v>
      </c>
      <c r="AC234" s="6">
        <v>0</v>
      </c>
      <c r="AD234" s="6">
        <v>0</v>
      </c>
      <c r="AE234" s="6">
        <v>0</v>
      </c>
      <c r="AF234" s="6">
        <v>0</v>
      </c>
      <c r="AG234" s="6">
        <v>0</v>
      </c>
      <c r="AH234" s="6">
        <v>0</v>
      </c>
      <c r="AI234" s="6" t="s">
        <v>1009</v>
      </c>
      <c r="AJ234" s="6" t="s">
        <v>257</v>
      </c>
      <c r="AK234" s="6" t="s">
        <v>14</v>
      </c>
      <c r="AL234" s="6" t="s">
        <v>48</v>
      </c>
      <c r="AM234" s="6" t="s">
        <v>258</v>
      </c>
      <c r="AN234" s="6" t="s">
        <v>20</v>
      </c>
      <c r="AO234" s="6" t="s">
        <v>272</v>
      </c>
      <c r="AP234" s="6" t="s">
        <v>273</v>
      </c>
      <c r="AQ234" s="6" t="s">
        <v>18</v>
      </c>
    </row>
    <row r="235" spans="1:43" x14ac:dyDescent="0.25">
      <c r="A235" s="6">
        <v>22866336</v>
      </c>
      <c r="B235" s="6">
        <v>23645516</v>
      </c>
      <c r="C235" s="6" t="s">
        <v>248</v>
      </c>
      <c r="D235" s="14">
        <v>45904.317673611113</v>
      </c>
      <c r="E235" s="14">
        <v>45904.338078703702</v>
      </c>
      <c r="F235" s="6" t="s">
        <v>21</v>
      </c>
      <c r="G235" s="6" t="s">
        <v>21</v>
      </c>
      <c r="H235" s="6" t="s">
        <v>1010</v>
      </c>
      <c r="I235" s="6" t="s">
        <v>14</v>
      </c>
      <c r="J235" s="6" t="s">
        <v>1011</v>
      </c>
      <c r="K235" s="6" t="s">
        <v>751</v>
      </c>
      <c r="L235" s="6" t="s">
        <v>751</v>
      </c>
      <c r="M235" s="14">
        <v>45903</v>
      </c>
      <c r="N235" s="6">
        <v>17451151</v>
      </c>
      <c r="O235" s="6" t="s">
        <v>91</v>
      </c>
      <c r="P235" s="6" t="s">
        <v>276</v>
      </c>
      <c r="Q235" s="6" t="s">
        <v>253</v>
      </c>
      <c r="R235" s="6" t="s">
        <v>253</v>
      </c>
      <c r="S235" s="6" t="s">
        <v>9</v>
      </c>
      <c r="T235" s="6" t="s">
        <v>254</v>
      </c>
      <c r="U235" s="6" t="s">
        <v>115</v>
      </c>
      <c r="V235" s="6" t="s">
        <v>826</v>
      </c>
      <c r="W235" s="6" t="s">
        <v>91</v>
      </c>
      <c r="X235" s="6" t="s">
        <v>91</v>
      </c>
      <c r="Y235" s="6" t="s">
        <v>91</v>
      </c>
      <c r="Z235" s="6" t="s">
        <v>52</v>
      </c>
      <c r="AA235" s="6" t="s">
        <v>91</v>
      </c>
      <c r="AB235" s="6">
        <v>287.5</v>
      </c>
      <c r="AC235" s="6">
        <v>0</v>
      </c>
      <c r="AD235" s="6">
        <v>0</v>
      </c>
      <c r="AE235" s="6">
        <v>0</v>
      </c>
      <c r="AF235" s="6">
        <v>0</v>
      </c>
      <c r="AG235" s="6">
        <v>14.38</v>
      </c>
      <c r="AH235" s="6">
        <v>0</v>
      </c>
      <c r="AI235" s="6" t="s">
        <v>1012</v>
      </c>
      <c r="AJ235" s="6" t="s">
        <v>257</v>
      </c>
      <c r="AK235" s="6" t="s">
        <v>14</v>
      </c>
      <c r="AL235" s="6" t="s">
        <v>48</v>
      </c>
      <c r="AM235" s="6" t="s">
        <v>258</v>
      </c>
      <c r="AN235" s="6" t="s">
        <v>20</v>
      </c>
      <c r="AO235" s="6" t="s">
        <v>272</v>
      </c>
      <c r="AP235" s="6" t="s">
        <v>273</v>
      </c>
      <c r="AQ235" s="6" t="s">
        <v>18</v>
      </c>
    </row>
    <row r="236" spans="1:43" x14ac:dyDescent="0.25">
      <c r="A236" s="6">
        <v>22866190</v>
      </c>
      <c r="B236" s="6">
        <v>23645378</v>
      </c>
      <c r="C236" s="6" t="s">
        <v>248</v>
      </c>
      <c r="D236" s="14">
        <v>45904.315104166657</v>
      </c>
      <c r="E236" s="14">
        <v>45904.321875000001</v>
      </c>
      <c r="F236" s="6" t="s">
        <v>21</v>
      </c>
      <c r="G236" s="6" t="s">
        <v>21</v>
      </c>
      <c r="H236" s="6" t="s">
        <v>1013</v>
      </c>
      <c r="I236" s="6" t="s">
        <v>14</v>
      </c>
      <c r="J236" s="6" t="s">
        <v>1014</v>
      </c>
      <c r="K236" s="6" t="s">
        <v>751</v>
      </c>
      <c r="L236" s="6" t="s">
        <v>751</v>
      </c>
      <c r="M236" s="14">
        <v>45902</v>
      </c>
      <c r="N236" s="6">
        <v>17442344</v>
      </c>
      <c r="O236" s="6" t="s">
        <v>91</v>
      </c>
      <c r="P236" s="6" t="s">
        <v>276</v>
      </c>
      <c r="Q236" s="6" t="s">
        <v>253</v>
      </c>
      <c r="R236" s="6" t="s">
        <v>253</v>
      </c>
      <c r="S236" s="6" t="s">
        <v>9</v>
      </c>
      <c r="T236" s="6" t="s">
        <v>254</v>
      </c>
      <c r="U236" s="6" t="s">
        <v>115</v>
      </c>
      <c r="V236" s="6" t="s">
        <v>826</v>
      </c>
      <c r="W236" s="6" t="s">
        <v>91</v>
      </c>
      <c r="X236" s="6" t="s">
        <v>91</v>
      </c>
      <c r="Y236" s="6" t="s">
        <v>91</v>
      </c>
      <c r="Z236" s="6" t="s">
        <v>52</v>
      </c>
      <c r="AA236" s="6" t="s">
        <v>91</v>
      </c>
      <c r="AB236" s="6">
        <v>510.4</v>
      </c>
      <c r="AC236" s="6">
        <v>0</v>
      </c>
      <c r="AD236" s="6">
        <v>0</v>
      </c>
      <c r="AE236" s="6">
        <v>0</v>
      </c>
      <c r="AF236" s="6">
        <v>0</v>
      </c>
      <c r="AG236" s="6">
        <v>0</v>
      </c>
      <c r="AH236" s="6">
        <v>0</v>
      </c>
      <c r="AI236" s="6" t="s">
        <v>1015</v>
      </c>
      <c r="AJ236" s="6" t="s">
        <v>257</v>
      </c>
      <c r="AK236" s="6" t="s">
        <v>14</v>
      </c>
      <c r="AL236" s="6" t="s">
        <v>48</v>
      </c>
      <c r="AM236" s="6" t="s">
        <v>258</v>
      </c>
      <c r="AN236" s="6" t="s">
        <v>20</v>
      </c>
      <c r="AO236" s="6" t="s">
        <v>272</v>
      </c>
      <c r="AP236" s="6" t="s">
        <v>273</v>
      </c>
      <c r="AQ236" s="6" t="s">
        <v>18</v>
      </c>
    </row>
    <row r="237" spans="1:43" x14ac:dyDescent="0.25">
      <c r="A237" s="6">
        <v>22866230</v>
      </c>
      <c r="B237" s="6">
        <v>23645417</v>
      </c>
      <c r="C237" s="6" t="s">
        <v>248</v>
      </c>
      <c r="D237" s="14">
        <v>45904.31585648148</v>
      </c>
      <c r="E237" s="14">
        <v>45904.325752314813</v>
      </c>
      <c r="F237" s="6" t="s">
        <v>21</v>
      </c>
      <c r="G237" s="6" t="s">
        <v>21</v>
      </c>
      <c r="H237" s="6" t="s">
        <v>1016</v>
      </c>
      <c r="I237" s="6" t="s">
        <v>14</v>
      </c>
      <c r="J237" s="6" t="s">
        <v>949</v>
      </c>
      <c r="K237" s="6" t="s">
        <v>751</v>
      </c>
      <c r="L237" s="6" t="s">
        <v>751</v>
      </c>
      <c r="M237" s="14">
        <v>45903</v>
      </c>
      <c r="N237" s="6">
        <v>17445721</v>
      </c>
      <c r="O237" s="6" t="s">
        <v>91</v>
      </c>
      <c r="P237" s="6" t="s">
        <v>276</v>
      </c>
      <c r="Q237" s="6" t="s">
        <v>253</v>
      </c>
      <c r="R237" s="6" t="s">
        <v>253</v>
      </c>
      <c r="S237" s="6" t="s">
        <v>9</v>
      </c>
      <c r="T237" s="6" t="s">
        <v>254</v>
      </c>
      <c r="U237" s="6" t="s">
        <v>115</v>
      </c>
      <c r="V237" s="6" t="s">
        <v>826</v>
      </c>
      <c r="W237" s="6" t="s">
        <v>91</v>
      </c>
      <c r="X237" s="6" t="s">
        <v>91</v>
      </c>
      <c r="Y237" s="6" t="s">
        <v>91</v>
      </c>
      <c r="Z237" s="6" t="s">
        <v>52</v>
      </c>
      <c r="AA237" s="6" t="s">
        <v>91</v>
      </c>
      <c r="AB237" s="6">
        <v>182</v>
      </c>
      <c r="AC237" s="6">
        <v>0</v>
      </c>
      <c r="AD237" s="6">
        <v>0</v>
      </c>
      <c r="AE237" s="6">
        <v>0</v>
      </c>
      <c r="AF237" s="6">
        <v>0</v>
      </c>
      <c r="AG237" s="6">
        <v>9.1</v>
      </c>
      <c r="AH237" s="6">
        <v>0</v>
      </c>
      <c r="AI237" s="6" t="s">
        <v>1017</v>
      </c>
      <c r="AJ237" s="6" t="s">
        <v>257</v>
      </c>
      <c r="AK237" s="6" t="s">
        <v>14</v>
      </c>
      <c r="AL237" s="6" t="s">
        <v>48</v>
      </c>
      <c r="AM237" s="6" t="s">
        <v>258</v>
      </c>
      <c r="AN237" s="6" t="s">
        <v>20</v>
      </c>
      <c r="AO237" s="6" t="s">
        <v>272</v>
      </c>
      <c r="AP237" s="6" t="s">
        <v>273</v>
      </c>
      <c r="AQ237" s="6" t="s">
        <v>18</v>
      </c>
    </row>
    <row r="238" spans="1:43" x14ac:dyDescent="0.25">
      <c r="A238" s="6">
        <v>22892071</v>
      </c>
      <c r="B238" s="6">
        <v>23667593</v>
      </c>
      <c r="C238" s="6" t="s">
        <v>248</v>
      </c>
      <c r="D238" s="14">
        <v>45908.834606481483</v>
      </c>
      <c r="E238" s="14">
        <v>45908.837951388887</v>
      </c>
      <c r="F238" s="6" t="s">
        <v>19</v>
      </c>
      <c r="G238" s="6" t="s">
        <v>19</v>
      </c>
      <c r="H238" s="6" t="s">
        <v>1018</v>
      </c>
      <c r="I238" s="6" t="s">
        <v>14</v>
      </c>
      <c r="J238" s="6" t="s">
        <v>1019</v>
      </c>
      <c r="K238" s="6" t="s">
        <v>751</v>
      </c>
      <c r="L238" s="6" t="s">
        <v>751</v>
      </c>
      <c r="M238" s="14">
        <v>45908</v>
      </c>
      <c r="N238" s="6">
        <v>17490281</v>
      </c>
      <c r="O238" s="6" t="s">
        <v>91</v>
      </c>
      <c r="P238" s="6" t="s">
        <v>276</v>
      </c>
      <c r="Q238" s="6" t="s">
        <v>253</v>
      </c>
      <c r="R238" s="6" t="s">
        <v>253</v>
      </c>
      <c r="S238" s="6" t="s">
        <v>9</v>
      </c>
      <c r="T238" s="6" t="s">
        <v>254</v>
      </c>
      <c r="U238" s="6" t="s">
        <v>115</v>
      </c>
      <c r="V238" s="6" t="s">
        <v>826</v>
      </c>
      <c r="W238" s="6" t="s">
        <v>91</v>
      </c>
      <c r="X238" s="6" t="s">
        <v>91</v>
      </c>
      <c r="Y238" s="6" t="s">
        <v>91</v>
      </c>
      <c r="Z238" s="6" t="s">
        <v>52</v>
      </c>
      <c r="AA238" s="6" t="s">
        <v>91</v>
      </c>
      <c r="AB238" s="6">
        <v>182</v>
      </c>
      <c r="AC238" s="6">
        <v>0</v>
      </c>
      <c r="AD238" s="6">
        <v>0</v>
      </c>
      <c r="AE238" s="6">
        <v>0</v>
      </c>
      <c r="AF238" s="6">
        <v>0</v>
      </c>
      <c r="AG238" s="6">
        <v>9.1</v>
      </c>
      <c r="AH238" s="6">
        <v>0</v>
      </c>
      <c r="AI238" s="6" t="s">
        <v>1020</v>
      </c>
      <c r="AJ238" s="6" t="s">
        <v>257</v>
      </c>
      <c r="AK238" s="6" t="s">
        <v>14</v>
      </c>
      <c r="AL238" s="6" t="s">
        <v>48</v>
      </c>
      <c r="AM238" s="6" t="s">
        <v>258</v>
      </c>
      <c r="AN238" s="6" t="s">
        <v>20</v>
      </c>
      <c r="AO238" s="6" t="s">
        <v>272</v>
      </c>
      <c r="AP238" s="6" t="s">
        <v>273</v>
      </c>
      <c r="AQ238" s="6" t="s">
        <v>18</v>
      </c>
    </row>
    <row r="239" spans="1:43" x14ac:dyDescent="0.25">
      <c r="A239" s="6">
        <v>22874922</v>
      </c>
      <c r="B239" s="6">
        <v>23653551</v>
      </c>
      <c r="C239" s="6" t="s">
        <v>248</v>
      </c>
      <c r="D239" s="14">
        <v>45905.52443287037</v>
      </c>
      <c r="E239" s="14">
        <v>45911.579583333332</v>
      </c>
      <c r="F239" s="6" t="s">
        <v>17</v>
      </c>
      <c r="G239" s="6" t="s">
        <v>21</v>
      </c>
      <c r="H239" s="6" t="s">
        <v>1021</v>
      </c>
      <c r="I239" s="6" t="s">
        <v>337</v>
      </c>
      <c r="J239" s="6" t="s">
        <v>1022</v>
      </c>
      <c r="K239" s="6" t="s">
        <v>1023</v>
      </c>
      <c r="L239" s="6" t="s">
        <v>1023</v>
      </c>
      <c r="M239" s="14">
        <v>45905.441666666673</v>
      </c>
      <c r="N239" s="6">
        <v>79568</v>
      </c>
      <c r="O239" s="6" t="s">
        <v>91</v>
      </c>
      <c r="P239" s="6" t="s">
        <v>252</v>
      </c>
      <c r="Q239" s="6" t="s">
        <v>268</v>
      </c>
      <c r="R239" s="6" t="s">
        <v>269</v>
      </c>
      <c r="S239" s="6" t="s">
        <v>3</v>
      </c>
      <c r="T239" s="6" t="s">
        <v>254</v>
      </c>
      <c r="U239" s="6" t="s">
        <v>136</v>
      </c>
      <c r="V239" s="6" t="s">
        <v>1024</v>
      </c>
      <c r="W239" s="6" t="s">
        <v>91</v>
      </c>
      <c r="X239" s="6" t="s">
        <v>91</v>
      </c>
      <c r="Y239" s="6" t="s">
        <v>91</v>
      </c>
      <c r="Z239" s="6" t="s">
        <v>81</v>
      </c>
      <c r="AA239" s="6" t="s">
        <v>91</v>
      </c>
      <c r="AB239" s="6">
        <v>840</v>
      </c>
      <c r="AC239" s="6">
        <v>0</v>
      </c>
      <c r="AD239" s="6">
        <v>0</v>
      </c>
      <c r="AE239" s="6">
        <v>0</v>
      </c>
      <c r="AF239" s="6">
        <v>0</v>
      </c>
      <c r="AG239" s="6">
        <v>0</v>
      </c>
      <c r="AH239" s="6">
        <v>0</v>
      </c>
      <c r="AI239" s="6" t="s">
        <v>1025</v>
      </c>
      <c r="AJ239" s="6" t="s">
        <v>257</v>
      </c>
      <c r="AK239" s="6" t="s">
        <v>12</v>
      </c>
      <c r="AL239" s="6" t="s">
        <v>48</v>
      </c>
      <c r="AM239" s="6" t="s">
        <v>258</v>
      </c>
      <c r="AN239" s="6" t="s">
        <v>20</v>
      </c>
      <c r="AO239" s="6" t="s">
        <v>272</v>
      </c>
      <c r="AP239" s="6" t="s">
        <v>273</v>
      </c>
      <c r="AQ239" s="6" t="s">
        <v>18</v>
      </c>
    </row>
    <row r="240" spans="1:43" x14ac:dyDescent="0.25">
      <c r="A240" s="6">
        <v>22811098</v>
      </c>
      <c r="B240" s="6">
        <v>23598421</v>
      </c>
      <c r="C240" s="6" t="s">
        <v>248</v>
      </c>
      <c r="D240" s="14">
        <v>45895.009976851848</v>
      </c>
      <c r="E240" s="14">
        <v>45912.257430555554</v>
      </c>
      <c r="F240" s="6" t="s">
        <v>17</v>
      </c>
      <c r="G240" s="6" t="s">
        <v>25</v>
      </c>
      <c r="H240" s="6" t="s">
        <v>1026</v>
      </c>
      <c r="I240" s="6" t="s">
        <v>337</v>
      </c>
      <c r="J240" s="6" t="s">
        <v>1027</v>
      </c>
      <c r="K240" s="6" t="s">
        <v>1023</v>
      </c>
      <c r="L240" s="6" t="s">
        <v>344</v>
      </c>
      <c r="M240" s="14">
        <v>45894.388194444437</v>
      </c>
      <c r="N240" s="6">
        <v>77595</v>
      </c>
      <c r="O240" s="6" t="s">
        <v>91</v>
      </c>
      <c r="P240" s="6" t="s">
        <v>252</v>
      </c>
      <c r="Q240" s="6" t="s">
        <v>268</v>
      </c>
      <c r="R240" s="6" t="s">
        <v>269</v>
      </c>
      <c r="S240" s="6" t="s">
        <v>3</v>
      </c>
      <c r="T240" s="6" t="s">
        <v>254</v>
      </c>
      <c r="U240" s="6" t="s">
        <v>136</v>
      </c>
      <c r="V240" s="6" t="s">
        <v>1024</v>
      </c>
      <c r="W240" s="6" t="s">
        <v>91</v>
      </c>
      <c r="X240" s="6" t="s">
        <v>91</v>
      </c>
      <c r="Y240" s="6" t="s">
        <v>91</v>
      </c>
      <c r="Z240" s="6" t="s">
        <v>81</v>
      </c>
      <c r="AA240" s="6" t="s">
        <v>91</v>
      </c>
      <c r="AB240" s="6">
        <v>217.85</v>
      </c>
      <c r="AC240" s="6">
        <v>50.16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 t="s">
        <v>1028</v>
      </c>
      <c r="AJ240" s="6" t="s">
        <v>257</v>
      </c>
      <c r="AK240" s="6" t="s">
        <v>12</v>
      </c>
      <c r="AL240" s="6" t="s">
        <v>48</v>
      </c>
      <c r="AM240" s="6" t="s">
        <v>258</v>
      </c>
      <c r="AN240" s="6" t="s">
        <v>20</v>
      </c>
      <c r="AO240" s="6" t="s">
        <v>272</v>
      </c>
      <c r="AP240" s="6" t="s">
        <v>273</v>
      </c>
      <c r="AQ240" s="6" t="s">
        <v>18</v>
      </c>
    </row>
    <row r="241" spans="1:43" x14ac:dyDescent="0.25">
      <c r="A241" s="6">
        <v>22899329</v>
      </c>
      <c r="B241" s="6">
        <v>23673994</v>
      </c>
      <c r="C241" s="6" t="s">
        <v>248</v>
      </c>
      <c r="D241" s="14">
        <v>45910.02443287037</v>
      </c>
      <c r="E241" s="14">
        <v>45912.257453703707</v>
      </c>
      <c r="F241" s="6" t="s">
        <v>17</v>
      </c>
      <c r="G241" s="6" t="s">
        <v>17</v>
      </c>
      <c r="H241" s="6" t="s">
        <v>1029</v>
      </c>
      <c r="I241" s="6" t="s">
        <v>337</v>
      </c>
      <c r="J241" s="6" t="s">
        <v>1030</v>
      </c>
      <c r="K241" s="6" t="s">
        <v>1031</v>
      </c>
      <c r="L241" s="6" t="s">
        <v>1031</v>
      </c>
      <c r="M241" s="14">
        <v>45909.577777777777</v>
      </c>
      <c r="N241" s="6">
        <v>80065</v>
      </c>
      <c r="O241" s="6" t="s">
        <v>91</v>
      </c>
      <c r="P241" s="6" t="s">
        <v>252</v>
      </c>
      <c r="Q241" s="6" t="s">
        <v>268</v>
      </c>
      <c r="R241" s="6" t="s">
        <v>269</v>
      </c>
      <c r="S241" s="6" t="s">
        <v>3</v>
      </c>
      <c r="T241" s="6" t="s">
        <v>254</v>
      </c>
      <c r="U241" s="6" t="s">
        <v>136</v>
      </c>
      <c r="V241" s="6" t="s">
        <v>1024</v>
      </c>
      <c r="W241" s="6" t="s">
        <v>91</v>
      </c>
      <c r="X241" s="6" t="s">
        <v>91</v>
      </c>
      <c r="Y241" s="6" t="s">
        <v>91</v>
      </c>
      <c r="Z241" s="6" t="s">
        <v>81</v>
      </c>
      <c r="AA241" s="6" t="s">
        <v>91</v>
      </c>
      <c r="AB241" s="6">
        <v>283.83999999999997</v>
      </c>
      <c r="AC241" s="6">
        <v>10.95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1032</v>
      </c>
      <c r="AJ241" s="6" t="s">
        <v>257</v>
      </c>
      <c r="AK241" s="6" t="s">
        <v>12</v>
      </c>
      <c r="AL241" s="6" t="s">
        <v>48</v>
      </c>
      <c r="AM241" s="6" t="s">
        <v>258</v>
      </c>
      <c r="AN241" s="6" t="s">
        <v>20</v>
      </c>
      <c r="AO241" s="6" t="s">
        <v>272</v>
      </c>
      <c r="AP241" s="6" t="s">
        <v>273</v>
      </c>
      <c r="AQ241" s="6" t="s">
        <v>18</v>
      </c>
    </row>
    <row r="242" spans="1:43" x14ac:dyDescent="0.25">
      <c r="A242" s="6">
        <v>22895430</v>
      </c>
      <c r="B242" s="6">
        <v>23670426</v>
      </c>
      <c r="C242" s="6" t="s">
        <v>248</v>
      </c>
      <c r="D242" s="14">
        <v>45909.533530092587</v>
      </c>
      <c r="E242" s="14">
        <v>45911.592407407406</v>
      </c>
      <c r="F242" s="6" t="s">
        <v>17</v>
      </c>
      <c r="G242" s="6" t="s">
        <v>19</v>
      </c>
      <c r="H242" s="6" t="s">
        <v>1033</v>
      </c>
      <c r="I242" s="6" t="s">
        <v>337</v>
      </c>
      <c r="J242" s="6" t="s">
        <v>1034</v>
      </c>
      <c r="K242" s="6" t="s">
        <v>1031</v>
      </c>
      <c r="L242" s="6" t="s">
        <v>1031</v>
      </c>
      <c r="M242" s="14">
        <v>45909.46875</v>
      </c>
      <c r="N242" s="6">
        <v>79595</v>
      </c>
      <c r="O242" s="6" t="s">
        <v>91</v>
      </c>
      <c r="P242" s="6" t="s">
        <v>252</v>
      </c>
      <c r="Q242" s="6" t="s">
        <v>268</v>
      </c>
      <c r="R242" s="6" t="s">
        <v>269</v>
      </c>
      <c r="S242" s="6" t="s">
        <v>3</v>
      </c>
      <c r="T242" s="6" t="s">
        <v>254</v>
      </c>
      <c r="U242" s="6" t="s">
        <v>136</v>
      </c>
      <c r="V242" s="6" t="s">
        <v>1024</v>
      </c>
      <c r="W242" s="6" t="s">
        <v>91</v>
      </c>
      <c r="X242" s="6" t="s">
        <v>91</v>
      </c>
      <c r="Y242" s="6" t="s">
        <v>91</v>
      </c>
      <c r="Z242" s="6" t="s">
        <v>81</v>
      </c>
      <c r="AA242" s="6" t="s">
        <v>91</v>
      </c>
      <c r="AB242" s="6">
        <v>790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0</v>
      </c>
      <c r="AI242" s="6" t="s">
        <v>1035</v>
      </c>
      <c r="AJ242" s="6" t="s">
        <v>257</v>
      </c>
      <c r="AK242" s="6" t="s">
        <v>12</v>
      </c>
      <c r="AL242" s="6" t="s">
        <v>48</v>
      </c>
      <c r="AM242" s="6" t="s">
        <v>258</v>
      </c>
      <c r="AN242" s="6" t="s">
        <v>20</v>
      </c>
      <c r="AO242" s="6" t="s">
        <v>272</v>
      </c>
      <c r="AP242" s="6" t="s">
        <v>273</v>
      </c>
      <c r="AQ242" s="6" t="s">
        <v>18</v>
      </c>
    </row>
    <row r="243" spans="1:43" x14ac:dyDescent="0.25">
      <c r="A243" s="6">
        <v>22817725</v>
      </c>
      <c r="B243" s="6">
        <v>23604273</v>
      </c>
      <c r="C243" s="6" t="s">
        <v>248</v>
      </c>
      <c r="D243" s="14">
        <v>45896.009456018517</v>
      </c>
      <c r="E243" s="14">
        <v>45912.257430555554</v>
      </c>
      <c r="F243" s="6" t="s">
        <v>17</v>
      </c>
      <c r="G243" s="6" t="s">
        <v>25</v>
      </c>
      <c r="H243" s="6" t="s">
        <v>1036</v>
      </c>
      <c r="I243" s="6" t="s">
        <v>337</v>
      </c>
      <c r="J243" s="6" t="s">
        <v>1037</v>
      </c>
      <c r="K243" s="6" t="s">
        <v>1038</v>
      </c>
      <c r="L243" s="6" t="s">
        <v>344</v>
      </c>
      <c r="M243" s="14">
        <v>45895.602083333331</v>
      </c>
      <c r="N243" s="6">
        <v>77871</v>
      </c>
      <c r="O243" s="6" t="s">
        <v>91</v>
      </c>
      <c r="P243" s="6" t="s">
        <v>252</v>
      </c>
      <c r="Q243" s="6" t="s">
        <v>268</v>
      </c>
      <c r="R243" s="6" t="s">
        <v>269</v>
      </c>
      <c r="S243" s="6" t="s">
        <v>3</v>
      </c>
      <c r="T243" s="6" t="s">
        <v>254</v>
      </c>
      <c r="U243" s="6" t="s">
        <v>136</v>
      </c>
      <c r="V243" s="6" t="s">
        <v>1039</v>
      </c>
      <c r="W243" s="6" t="s">
        <v>91</v>
      </c>
      <c r="X243" s="6" t="s">
        <v>91</v>
      </c>
      <c r="Y243" s="6" t="s">
        <v>91</v>
      </c>
      <c r="Z243" s="6" t="s">
        <v>91</v>
      </c>
      <c r="AA243" s="6" t="s">
        <v>91</v>
      </c>
      <c r="AB243" s="6">
        <v>47.1</v>
      </c>
      <c r="AC243" s="6">
        <v>18.420000000000002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 t="s">
        <v>1040</v>
      </c>
      <c r="AJ243" s="6" t="s">
        <v>257</v>
      </c>
      <c r="AK243" s="6" t="s">
        <v>12</v>
      </c>
      <c r="AL243" s="6" t="s">
        <v>48</v>
      </c>
      <c r="AM243" s="6" t="s">
        <v>258</v>
      </c>
      <c r="AN243" s="6" t="s">
        <v>20</v>
      </c>
      <c r="AO243" s="6" t="s">
        <v>272</v>
      </c>
      <c r="AP243" s="6" t="s">
        <v>273</v>
      </c>
      <c r="AQ243" s="6" t="s">
        <v>18</v>
      </c>
    </row>
    <row r="244" spans="1:43" x14ac:dyDescent="0.25">
      <c r="A244" s="6">
        <v>22838064</v>
      </c>
      <c r="B244" s="6">
        <v>23622484</v>
      </c>
      <c r="C244" s="6" t="s">
        <v>248</v>
      </c>
      <c r="D244" s="14">
        <v>45899.0153125</v>
      </c>
      <c r="E244" s="14">
        <v>45912.25744212963</v>
      </c>
      <c r="F244" s="6" t="s">
        <v>17</v>
      </c>
      <c r="G244" s="6" t="s">
        <v>23</v>
      </c>
      <c r="H244" s="6" t="s">
        <v>1041</v>
      </c>
      <c r="I244" s="6" t="s">
        <v>337</v>
      </c>
      <c r="J244" s="6" t="s">
        <v>1037</v>
      </c>
      <c r="K244" s="6" t="s">
        <v>1038</v>
      </c>
      <c r="L244" s="6" t="s">
        <v>344</v>
      </c>
      <c r="M244" s="14">
        <v>45898.71875</v>
      </c>
      <c r="N244" s="6">
        <v>78342</v>
      </c>
      <c r="O244" s="6" t="s">
        <v>91</v>
      </c>
      <c r="P244" s="6" t="s">
        <v>252</v>
      </c>
      <c r="Q244" s="6" t="s">
        <v>268</v>
      </c>
      <c r="R244" s="6" t="s">
        <v>269</v>
      </c>
      <c r="S244" s="6" t="s">
        <v>3</v>
      </c>
      <c r="T244" s="6" t="s">
        <v>254</v>
      </c>
      <c r="U244" s="6" t="s">
        <v>136</v>
      </c>
      <c r="V244" s="6" t="s">
        <v>1039</v>
      </c>
      <c r="W244" s="6" t="s">
        <v>91</v>
      </c>
      <c r="X244" s="6" t="s">
        <v>91</v>
      </c>
      <c r="Y244" s="6" t="s">
        <v>91</v>
      </c>
      <c r="Z244" s="6" t="s">
        <v>91</v>
      </c>
      <c r="AA244" s="6" t="s">
        <v>91</v>
      </c>
      <c r="AB244" s="6">
        <v>44.5</v>
      </c>
      <c r="AC244" s="6">
        <v>17.96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1042</v>
      </c>
      <c r="AJ244" s="6" t="s">
        <v>257</v>
      </c>
      <c r="AK244" s="6" t="s">
        <v>12</v>
      </c>
      <c r="AL244" s="6" t="s">
        <v>48</v>
      </c>
      <c r="AM244" s="6" t="s">
        <v>258</v>
      </c>
      <c r="AN244" s="6" t="s">
        <v>20</v>
      </c>
      <c r="AO244" s="6" t="s">
        <v>272</v>
      </c>
      <c r="AP244" s="6" t="s">
        <v>273</v>
      </c>
      <c r="AQ244" s="6" t="s">
        <v>18</v>
      </c>
    </row>
    <row r="245" spans="1:43" x14ac:dyDescent="0.25">
      <c r="A245" s="6">
        <v>22868099</v>
      </c>
      <c r="B245" s="6">
        <v>23647178</v>
      </c>
      <c r="C245" s="6" t="s">
        <v>248</v>
      </c>
      <c r="D245" s="14">
        <v>45904.532164351847</v>
      </c>
      <c r="E245" s="14">
        <v>45911.573263888888</v>
      </c>
      <c r="F245" s="6" t="s">
        <v>17</v>
      </c>
      <c r="G245" s="6" t="s">
        <v>21</v>
      </c>
      <c r="H245" s="6" t="s">
        <v>1043</v>
      </c>
      <c r="I245" s="6" t="s">
        <v>337</v>
      </c>
      <c r="J245" s="6" t="s">
        <v>1044</v>
      </c>
      <c r="K245" s="6" t="s">
        <v>1023</v>
      </c>
      <c r="L245" s="6" t="s">
        <v>1023</v>
      </c>
      <c r="M245" s="14">
        <v>45904.414583333331</v>
      </c>
      <c r="N245" s="6">
        <v>79397</v>
      </c>
      <c r="O245" s="6" t="s">
        <v>91</v>
      </c>
      <c r="P245" s="6" t="s">
        <v>252</v>
      </c>
      <c r="Q245" s="6" t="s">
        <v>253</v>
      </c>
      <c r="R245" s="6" t="s">
        <v>253</v>
      </c>
      <c r="S245" s="6" t="s">
        <v>3</v>
      </c>
      <c r="T245" s="6" t="s">
        <v>254</v>
      </c>
      <c r="U245" s="6" t="s">
        <v>136</v>
      </c>
      <c r="V245" s="6" t="s">
        <v>1045</v>
      </c>
      <c r="W245" s="6" t="s">
        <v>91</v>
      </c>
      <c r="X245" s="6" t="s">
        <v>91</v>
      </c>
      <c r="Y245" s="6" t="s">
        <v>91</v>
      </c>
      <c r="Z245" s="6" t="s">
        <v>81</v>
      </c>
      <c r="AA245" s="6" t="s">
        <v>91</v>
      </c>
      <c r="AB245" s="6">
        <v>200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1046</v>
      </c>
      <c r="AJ245" s="6" t="s">
        <v>257</v>
      </c>
      <c r="AK245" s="6" t="s">
        <v>12</v>
      </c>
      <c r="AL245" s="6" t="s">
        <v>48</v>
      </c>
      <c r="AM245" s="6" t="s">
        <v>258</v>
      </c>
      <c r="AN245" s="6" t="s">
        <v>20</v>
      </c>
      <c r="AO245" s="6" t="s">
        <v>272</v>
      </c>
      <c r="AP245" s="6" t="s">
        <v>273</v>
      </c>
      <c r="AQ245" s="6" t="s">
        <v>18</v>
      </c>
    </row>
    <row r="246" spans="1:43" x14ac:dyDescent="0.25">
      <c r="A246" s="6">
        <v>22854207</v>
      </c>
      <c r="B246" s="6">
        <v>23635026</v>
      </c>
      <c r="C246" s="6" t="s">
        <v>248</v>
      </c>
      <c r="D246" s="14">
        <v>45902.521724537037</v>
      </c>
      <c r="E246" s="14">
        <v>45911.567511574067</v>
      </c>
      <c r="F246" s="6" t="s">
        <v>17</v>
      </c>
      <c r="G246" s="6" t="s">
        <v>23</v>
      </c>
      <c r="H246" s="6" t="s">
        <v>1047</v>
      </c>
      <c r="I246" s="6" t="s">
        <v>337</v>
      </c>
      <c r="J246" s="6" t="s">
        <v>1048</v>
      </c>
      <c r="K246" s="6" t="s">
        <v>1031</v>
      </c>
      <c r="L246" s="6" t="s">
        <v>1031</v>
      </c>
      <c r="M246" s="14">
        <v>45902.454861111109</v>
      </c>
      <c r="N246" s="6">
        <v>78811</v>
      </c>
      <c r="O246" s="6" t="s">
        <v>91</v>
      </c>
      <c r="P246" s="6" t="s">
        <v>252</v>
      </c>
      <c r="Q246" s="6" t="s">
        <v>268</v>
      </c>
      <c r="R246" s="6" t="s">
        <v>269</v>
      </c>
      <c r="S246" s="6" t="s">
        <v>3</v>
      </c>
      <c r="T246" s="6" t="s">
        <v>254</v>
      </c>
      <c r="U246" s="6" t="s">
        <v>136</v>
      </c>
      <c r="V246" s="6" t="s">
        <v>1049</v>
      </c>
      <c r="W246" s="6" t="s">
        <v>91</v>
      </c>
      <c r="X246" s="6" t="s">
        <v>91</v>
      </c>
      <c r="Y246" s="6" t="s">
        <v>91</v>
      </c>
      <c r="Z246" s="6" t="s">
        <v>81</v>
      </c>
      <c r="AA246" s="6" t="s">
        <v>91</v>
      </c>
      <c r="AB246" s="6">
        <v>800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0</v>
      </c>
      <c r="AI246" s="6" t="s">
        <v>1050</v>
      </c>
      <c r="AJ246" s="6" t="s">
        <v>257</v>
      </c>
      <c r="AK246" s="6" t="s">
        <v>12</v>
      </c>
      <c r="AL246" s="6" t="s">
        <v>48</v>
      </c>
      <c r="AM246" s="6" t="s">
        <v>258</v>
      </c>
      <c r="AN246" s="6" t="s">
        <v>20</v>
      </c>
      <c r="AO246" s="6" t="s">
        <v>272</v>
      </c>
      <c r="AP246" s="6" t="s">
        <v>273</v>
      </c>
      <c r="AQ246" s="6" t="s">
        <v>18</v>
      </c>
    </row>
    <row r="247" spans="1:43" x14ac:dyDescent="0.25">
      <c r="A247" s="6">
        <v>22872305</v>
      </c>
      <c r="B247" s="6">
        <v>23651322</v>
      </c>
      <c r="C247" s="6" t="s">
        <v>248</v>
      </c>
      <c r="D247" s="14">
        <v>45905.024571759262</v>
      </c>
      <c r="E247" s="14">
        <v>45912.25744212963</v>
      </c>
      <c r="F247" s="6" t="s">
        <v>17</v>
      </c>
      <c r="G247" s="6" t="s">
        <v>21</v>
      </c>
      <c r="H247" s="6" t="s">
        <v>1051</v>
      </c>
      <c r="I247" s="6" t="s">
        <v>337</v>
      </c>
      <c r="J247" s="6" t="s">
        <v>1052</v>
      </c>
      <c r="K247" s="6" t="s">
        <v>344</v>
      </c>
      <c r="L247" s="6" t="s">
        <v>344</v>
      </c>
      <c r="M247" s="14">
        <v>45904.62777777778</v>
      </c>
      <c r="N247" s="6">
        <v>79441</v>
      </c>
      <c r="O247" s="6" t="s">
        <v>91</v>
      </c>
      <c r="P247" s="6" t="s">
        <v>252</v>
      </c>
      <c r="Q247" s="6" t="s">
        <v>268</v>
      </c>
      <c r="R247" s="6" t="s">
        <v>269</v>
      </c>
      <c r="S247" s="6" t="s">
        <v>3</v>
      </c>
      <c r="T247" s="6" t="s">
        <v>254</v>
      </c>
      <c r="U247" s="6" t="s">
        <v>136</v>
      </c>
      <c r="V247" s="6" t="s">
        <v>1053</v>
      </c>
      <c r="W247" s="6" t="s">
        <v>91</v>
      </c>
      <c r="X247" s="6" t="s">
        <v>91</v>
      </c>
      <c r="Y247" s="6" t="s">
        <v>91</v>
      </c>
      <c r="Z247" s="6" t="s">
        <v>81</v>
      </c>
      <c r="AA247" s="6" t="s">
        <v>91</v>
      </c>
      <c r="AB247" s="6">
        <v>156.1</v>
      </c>
      <c r="AC247" s="6">
        <v>24.98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 t="s">
        <v>1054</v>
      </c>
      <c r="AJ247" s="6" t="s">
        <v>257</v>
      </c>
      <c r="AK247" s="6" t="s">
        <v>12</v>
      </c>
      <c r="AL247" s="6" t="s">
        <v>48</v>
      </c>
      <c r="AM247" s="6" t="s">
        <v>258</v>
      </c>
      <c r="AN247" s="6" t="s">
        <v>20</v>
      </c>
      <c r="AO247" s="6" t="s">
        <v>272</v>
      </c>
      <c r="AP247" s="6" t="s">
        <v>273</v>
      </c>
      <c r="AQ247" s="6" t="s">
        <v>18</v>
      </c>
    </row>
    <row r="248" spans="1:43" x14ac:dyDescent="0.25">
      <c r="A248" s="6">
        <v>22897767</v>
      </c>
      <c r="B248" s="6">
        <v>23672652</v>
      </c>
      <c r="C248" s="6" t="s">
        <v>248</v>
      </c>
      <c r="D248" s="14">
        <v>45909.789594907408</v>
      </c>
      <c r="E248" s="14">
        <v>45911.596087962957</v>
      </c>
      <c r="F248" s="6" t="s">
        <v>17</v>
      </c>
      <c r="G248" s="6" t="s">
        <v>19</v>
      </c>
      <c r="H248" s="6" t="s">
        <v>1055</v>
      </c>
      <c r="I248" s="6" t="s">
        <v>337</v>
      </c>
      <c r="J248" s="6" t="s">
        <v>1056</v>
      </c>
      <c r="K248" s="6" t="s">
        <v>1031</v>
      </c>
      <c r="L248" s="6" t="s">
        <v>1031</v>
      </c>
      <c r="M248" s="14">
        <v>45909.629861111112</v>
      </c>
      <c r="N248" s="6">
        <v>80010</v>
      </c>
      <c r="O248" s="6" t="s">
        <v>91</v>
      </c>
      <c r="P248" s="6" t="s">
        <v>252</v>
      </c>
      <c r="Q248" s="6" t="s">
        <v>268</v>
      </c>
      <c r="R248" s="6" t="s">
        <v>269</v>
      </c>
      <c r="S248" s="6" t="s">
        <v>3</v>
      </c>
      <c r="T248" s="6" t="s">
        <v>254</v>
      </c>
      <c r="U248" s="6" t="s">
        <v>136</v>
      </c>
      <c r="V248" s="6" t="s">
        <v>1057</v>
      </c>
      <c r="W248" s="6" t="s">
        <v>91</v>
      </c>
      <c r="X248" s="6" t="s">
        <v>91</v>
      </c>
      <c r="Y248" s="6" t="s">
        <v>91</v>
      </c>
      <c r="Z248" s="6" t="s">
        <v>81</v>
      </c>
      <c r="AA248" s="6" t="s">
        <v>91</v>
      </c>
      <c r="AB248" s="6">
        <v>1420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1058</v>
      </c>
      <c r="AJ248" s="6" t="s">
        <v>257</v>
      </c>
      <c r="AK248" s="6" t="s">
        <v>12</v>
      </c>
      <c r="AL248" s="6" t="s">
        <v>48</v>
      </c>
      <c r="AM248" s="6" t="s">
        <v>258</v>
      </c>
      <c r="AN248" s="6" t="s">
        <v>20</v>
      </c>
      <c r="AO248" s="6" t="s">
        <v>272</v>
      </c>
      <c r="AP248" s="6" t="s">
        <v>273</v>
      </c>
      <c r="AQ248" s="6" t="s">
        <v>18</v>
      </c>
    </row>
    <row r="249" spans="1:43" x14ac:dyDescent="0.25">
      <c r="A249" s="6">
        <v>22911460</v>
      </c>
      <c r="B249" s="6">
        <v>23684623</v>
      </c>
      <c r="C249" s="6" t="s">
        <v>248</v>
      </c>
      <c r="D249" s="14">
        <v>45911.811886574083</v>
      </c>
      <c r="E249" s="14">
        <v>45911.813032407408</v>
      </c>
      <c r="F249" s="6" t="s">
        <v>17</v>
      </c>
      <c r="G249" s="6" t="s">
        <v>17</v>
      </c>
      <c r="H249" s="6" t="s">
        <v>1059</v>
      </c>
      <c r="I249" s="6" t="s">
        <v>16</v>
      </c>
      <c r="J249" s="6" t="s">
        <v>1060</v>
      </c>
      <c r="K249" s="6" t="s">
        <v>369</v>
      </c>
      <c r="L249" s="6" t="s">
        <v>369</v>
      </c>
      <c r="M249" s="14">
        <v>45910.686111111107</v>
      </c>
      <c r="N249" s="6" t="s">
        <v>1061</v>
      </c>
      <c r="O249" s="6" t="s">
        <v>91</v>
      </c>
      <c r="P249" s="6" t="s">
        <v>276</v>
      </c>
      <c r="Q249" s="6" t="s">
        <v>318</v>
      </c>
      <c r="R249" s="6" t="s">
        <v>318</v>
      </c>
      <c r="S249" s="6" t="s">
        <v>9</v>
      </c>
      <c r="T249" s="6" t="s">
        <v>254</v>
      </c>
      <c r="U249" s="6" t="s">
        <v>142</v>
      </c>
      <c r="V249" s="6" t="s">
        <v>1062</v>
      </c>
      <c r="W249" s="6" t="s">
        <v>91</v>
      </c>
      <c r="X249" s="6" t="s">
        <v>91</v>
      </c>
      <c r="Y249" s="6" t="s">
        <v>91</v>
      </c>
      <c r="Z249" s="6" t="s">
        <v>54</v>
      </c>
      <c r="AA249" s="6" t="s">
        <v>91</v>
      </c>
      <c r="AB249" s="6">
        <v>1079.973</v>
      </c>
      <c r="AC249" s="6">
        <v>32.86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288</v>
      </c>
      <c r="AJ249" s="6" t="s">
        <v>257</v>
      </c>
      <c r="AK249" s="6" t="s">
        <v>16</v>
      </c>
      <c r="AL249" s="6" t="s">
        <v>48</v>
      </c>
      <c r="AM249" s="6" t="s">
        <v>258</v>
      </c>
      <c r="AN249" s="6" t="s">
        <v>20</v>
      </c>
      <c r="AO249" s="6" t="s">
        <v>259</v>
      </c>
      <c r="AP249" s="6" t="s">
        <v>260</v>
      </c>
      <c r="AQ249" s="6" t="s">
        <v>31</v>
      </c>
    </row>
    <row r="250" spans="1:43" x14ac:dyDescent="0.25">
      <c r="A250" s="6">
        <v>22910809</v>
      </c>
      <c r="B250" s="6">
        <v>23683994</v>
      </c>
      <c r="C250" s="6" t="s">
        <v>248</v>
      </c>
      <c r="D250" s="14">
        <v>45911.778703703712</v>
      </c>
      <c r="E250" s="14">
        <v>45911.82744212963</v>
      </c>
      <c r="F250" s="6" t="s">
        <v>17</v>
      </c>
      <c r="G250" s="6" t="s">
        <v>17</v>
      </c>
      <c r="H250" s="6" t="s">
        <v>1063</v>
      </c>
      <c r="I250" s="6" t="s">
        <v>337</v>
      </c>
      <c r="J250" s="6" t="s">
        <v>1064</v>
      </c>
      <c r="K250" s="6" t="s">
        <v>344</v>
      </c>
      <c r="L250" s="6" t="s">
        <v>344</v>
      </c>
      <c r="M250" s="14">
        <v>45911.666666666657</v>
      </c>
      <c r="N250" s="6">
        <v>26014</v>
      </c>
      <c r="O250" s="6" t="s">
        <v>1065</v>
      </c>
      <c r="P250" s="6" t="s">
        <v>276</v>
      </c>
      <c r="Q250" s="6" t="s">
        <v>268</v>
      </c>
      <c r="R250" s="6" t="s">
        <v>269</v>
      </c>
      <c r="S250" s="6" t="s">
        <v>8</v>
      </c>
      <c r="T250" s="6" t="s">
        <v>254</v>
      </c>
      <c r="U250" s="6" t="s">
        <v>168</v>
      </c>
      <c r="V250" s="6" t="s">
        <v>1066</v>
      </c>
      <c r="W250" s="6" t="s">
        <v>91</v>
      </c>
      <c r="X250" s="6" t="s">
        <v>91</v>
      </c>
      <c r="Y250" s="6" t="s">
        <v>91</v>
      </c>
      <c r="Z250" s="6" t="s">
        <v>97</v>
      </c>
      <c r="AA250" s="6" t="s">
        <v>91</v>
      </c>
      <c r="AB250" s="6">
        <v>394.02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1067</v>
      </c>
      <c r="AJ250" s="6" t="s">
        <v>257</v>
      </c>
      <c r="AK250" s="6" t="s">
        <v>12</v>
      </c>
      <c r="AL250" s="6" t="s">
        <v>48</v>
      </c>
      <c r="AM250" s="6" t="s">
        <v>258</v>
      </c>
      <c r="AN250" s="6" t="s">
        <v>20</v>
      </c>
      <c r="AO250" s="6" t="s">
        <v>272</v>
      </c>
      <c r="AP250" s="6" t="s">
        <v>273</v>
      </c>
      <c r="AQ250" s="6" t="s">
        <v>18</v>
      </c>
    </row>
    <row r="251" spans="1:43" x14ac:dyDescent="0.25">
      <c r="A251" s="6">
        <v>22910812</v>
      </c>
      <c r="B251" s="6">
        <v>23683997</v>
      </c>
      <c r="C251" s="6" t="s">
        <v>248</v>
      </c>
      <c r="D251" s="14">
        <v>45911.778796296298</v>
      </c>
      <c r="E251" s="14">
        <v>45911.82744212963</v>
      </c>
      <c r="F251" s="6" t="s">
        <v>17</v>
      </c>
      <c r="G251" s="6" t="s">
        <v>17</v>
      </c>
      <c r="H251" s="6" t="s">
        <v>1068</v>
      </c>
      <c r="I251" s="6" t="s">
        <v>337</v>
      </c>
      <c r="J251" s="6" t="s">
        <v>1069</v>
      </c>
      <c r="K251" s="6" t="s">
        <v>344</v>
      </c>
      <c r="L251" s="6" t="s">
        <v>344</v>
      </c>
      <c r="M251" s="14">
        <v>45911.707638888889</v>
      </c>
      <c r="N251" s="6">
        <v>26006</v>
      </c>
      <c r="O251" s="6" t="s">
        <v>1070</v>
      </c>
      <c r="P251" s="6" t="s">
        <v>276</v>
      </c>
      <c r="Q251" s="6" t="s">
        <v>268</v>
      </c>
      <c r="R251" s="6" t="s">
        <v>269</v>
      </c>
      <c r="S251" s="6" t="s">
        <v>8</v>
      </c>
      <c r="T251" s="6" t="s">
        <v>254</v>
      </c>
      <c r="U251" s="6" t="s">
        <v>168</v>
      </c>
      <c r="V251" s="6" t="s">
        <v>1066</v>
      </c>
      <c r="W251" s="6" t="s">
        <v>91</v>
      </c>
      <c r="X251" s="6" t="s">
        <v>91</v>
      </c>
      <c r="Y251" s="6" t="s">
        <v>91</v>
      </c>
      <c r="Z251" s="6" t="s">
        <v>97</v>
      </c>
      <c r="AA251" s="6" t="s">
        <v>91</v>
      </c>
      <c r="AB251" s="6">
        <v>623.54999999999995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1071</v>
      </c>
      <c r="AJ251" s="6" t="s">
        <v>257</v>
      </c>
      <c r="AK251" s="6" t="s">
        <v>12</v>
      </c>
      <c r="AL251" s="6" t="s">
        <v>48</v>
      </c>
      <c r="AM251" s="6" t="s">
        <v>258</v>
      </c>
      <c r="AN251" s="6" t="s">
        <v>20</v>
      </c>
      <c r="AO251" s="6" t="s">
        <v>272</v>
      </c>
      <c r="AP251" s="6" t="s">
        <v>273</v>
      </c>
      <c r="AQ251" s="6" t="s">
        <v>18</v>
      </c>
    </row>
    <row r="252" spans="1:43" x14ac:dyDescent="0.25">
      <c r="A252" s="6">
        <v>22910814</v>
      </c>
      <c r="B252" s="6">
        <v>23683999</v>
      </c>
      <c r="C252" s="6" t="s">
        <v>248</v>
      </c>
      <c r="D252" s="14">
        <v>45911.778877314813</v>
      </c>
      <c r="E252" s="14">
        <v>45911.827499999999</v>
      </c>
      <c r="F252" s="6" t="s">
        <v>17</v>
      </c>
      <c r="G252" s="6" t="s">
        <v>17</v>
      </c>
      <c r="H252" s="6" t="s">
        <v>1072</v>
      </c>
      <c r="I252" s="6" t="s">
        <v>337</v>
      </c>
      <c r="J252" s="6" t="s">
        <v>1073</v>
      </c>
      <c r="K252" s="6" t="s">
        <v>344</v>
      </c>
      <c r="L252" s="6" t="s">
        <v>344</v>
      </c>
      <c r="M252" s="14">
        <v>45911.527083333327</v>
      </c>
      <c r="N252" s="6">
        <v>26001</v>
      </c>
      <c r="O252" s="6" t="s">
        <v>1074</v>
      </c>
      <c r="P252" s="6" t="s">
        <v>276</v>
      </c>
      <c r="Q252" s="6" t="s">
        <v>268</v>
      </c>
      <c r="R252" s="6" t="s">
        <v>269</v>
      </c>
      <c r="S252" s="6" t="s">
        <v>8</v>
      </c>
      <c r="T252" s="6" t="s">
        <v>254</v>
      </c>
      <c r="U252" s="6" t="s">
        <v>168</v>
      </c>
      <c r="V252" s="6" t="s">
        <v>1066</v>
      </c>
      <c r="W252" s="6" t="s">
        <v>91</v>
      </c>
      <c r="X252" s="6" t="s">
        <v>91</v>
      </c>
      <c r="Y252" s="6" t="s">
        <v>91</v>
      </c>
      <c r="Z252" s="6" t="s">
        <v>97</v>
      </c>
      <c r="AA252" s="6" t="s">
        <v>91</v>
      </c>
      <c r="AB252" s="6">
        <v>702.59839999999997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1075</v>
      </c>
      <c r="AJ252" s="6" t="s">
        <v>257</v>
      </c>
      <c r="AK252" s="6" t="s">
        <v>12</v>
      </c>
      <c r="AL252" s="6" t="s">
        <v>48</v>
      </c>
      <c r="AM252" s="6" t="s">
        <v>258</v>
      </c>
      <c r="AN252" s="6" t="s">
        <v>20</v>
      </c>
      <c r="AO252" s="6" t="s">
        <v>272</v>
      </c>
      <c r="AP252" s="6" t="s">
        <v>273</v>
      </c>
      <c r="AQ252" s="6" t="s">
        <v>18</v>
      </c>
    </row>
    <row r="253" spans="1:43" x14ac:dyDescent="0.25">
      <c r="A253" s="6">
        <v>22910818</v>
      </c>
      <c r="B253" s="6">
        <v>23684003</v>
      </c>
      <c r="C253" s="6" t="s">
        <v>248</v>
      </c>
      <c r="D253" s="14">
        <v>45911.779050925928</v>
      </c>
      <c r="E253" s="14">
        <v>45911.827557870369</v>
      </c>
      <c r="F253" s="6" t="s">
        <v>17</v>
      </c>
      <c r="G253" s="6" t="s">
        <v>17</v>
      </c>
      <c r="H253" s="6" t="s">
        <v>1076</v>
      </c>
      <c r="I253" s="6" t="s">
        <v>337</v>
      </c>
      <c r="J253" s="6" t="s">
        <v>1077</v>
      </c>
      <c r="K253" s="6" t="s">
        <v>344</v>
      </c>
      <c r="L253" s="6" t="s">
        <v>344</v>
      </c>
      <c r="M253" s="14">
        <v>45911.591666666667</v>
      </c>
      <c r="N253" s="6">
        <v>25997</v>
      </c>
      <c r="O253" s="6" t="s">
        <v>1078</v>
      </c>
      <c r="P253" s="6" t="s">
        <v>276</v>
      </c>
      <c r="Q253" s="6" t="s">
        <v>268</v>
      </c>
      <c r="R253" s="6" t="s">
        <v>269</v>
      </c>
      <c r="S253" s="6" t="s">
        <v>8</v>
      </c>
      <c r="T253" s="6" t="s">
        <v>254</v>
      </c>
      <c r="U253" s="6" t="s">
        <v>168</v>
      </c>
      <c r="V253" s="6" t="s">
        <v>1066</v>
      </c>
      <c r="W253" s="6" t="s">
        <v>91</v>
      </c>
      <c r="X253" s="6" t="s">
        <v>91</v>
      </c>
      <c r="Y253" s="6" t="s">
        <v>91</v>
      </c>
      <c r="Z253" s="6" t="s">
        <v>97</v>
      </c>
      <c r="AA253" s="6" t="s">
        <v>91</v>
      </c>
      <c r="AB253" s="6">
        <v>572.85760000000005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1079</v>
      </c>
      <c r="AJ253" s="6" t="s">
        <v>257</v>
      </c>
      <c r="AK253" s="6" t="s">
        <v>12</v>
      </c>
      <c r="AL253" s="6" t="s">
        <v>48</v>
      </c>
      <c r="AM253" s="6" t="s">
        <v>258</v>
      </c>
      <c r="AN253" s="6" t="s">
        <v>20</v>
      </c>
      <c r="AO253" s="6" t="s">
        <v>272</v>
      </c>
      <c r="AP253" s="6" t="s">
        <v>273</v>
      </c>
      <c r="AQ253" s="6" t="s">
        <v>18</v>
      </c>
    </row>
    <row r="254" spans="1:43" x14ac:dyDescent="0.25">
      <c r="A254" s="6">
        <v>22910638</v>
      </c>
      <c r="B254" s="6">
        <v>23683825</v>
      </c>
      <c r="C254" s="6" t="s">
        <v>248</v>
      </c>
      <c r="D254" s="14">
        <v>45911.767060185193</v>
      </c>
      <c r="E254" s="14">
        <v>45911.767743055563</v>
      </c>
      <c r="F254" s="6" t="s">
        <v>17</v>
      </c>
      <c r="G254" s="6" t="s">
        <v>17</v>
      </c>
      <c r="H254" s="6" t="s">
        <v>1080</v>
      </c>
      <c r="I254" s="6" t="s">
        <v>13</v>
      </c>
      <c r="J254" s="6" t="s">
        <v>1081</v>
      </c>
      <c r="K254" s="6" t="s">
        <v>1082</v>
      </c>
      <c r="L254" s="6" t="s">
        <v>1082</v>
      </c>
      <c r="M254" s="14">
        <v>45911.763888888891</v>
      </c>
      <c r="N254" s="6">
        <v>4594923</v>
      </c>
      <c r="O254" s="6" t="s">
        <v>1083</v>
      </c>
      <c r="P254" s="6" t="s">
        <v>252</v>
      </c>
      <c r="Q254" s="6" t="s">
        <v>268</v>
      </c>
      <c r="R254" s="6" t="s">
        <v>269</v>
      </c>
      <c r="S254" s="6" t="s">
        <v>8</v>
      </c>
      <c r="T254" s="6" t="s">
        <v>254</v>
      </c>
      <c r="U254" s="6" t="s">
        <v>161</v>
      </c>
      <c r="V254" s="6" t="s">
        <v>1084</v>
      </c>
      <c r="W254" s="6" t="s">
        <v>91</v>
      </c>
      <c r="X254" s="6" t="s">
        <v>91</v>
      </c>
      <c r="Y254" s="6" t="s">
        <v>91</v>
      </c>
      <c r="Z254" s="6" t="s">
        <v>95</v>
      </c>
      <c r="AA254" s="6" t="s">
        <v>91</v>
      </c>
      <c r="AB254" s="6">
        <v>2813.7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1085</v>
      </c>
      <c r="AJ254" s="6" t="s">
        <v>257</v>
      </c>
      <c r="AK254" s="6" t="s">
        <v>13</v>
      </c>
      <c r="AL254" s="6" t="s">
        <v>48</v>
      </c>
      <c r="AM254" s="6" t="s">
        <v>258</v>
      </c>
      <c r="AN254" s="6" t="s">
        <v>20</v>
      </c>
      <c r="AO254" s="6" t="s">
        <v>272</v>
      </c>
      <c r="AP254" s="6" t="s">
        <v>273</v>
      </c>
      <c r="AQ254" s="6" t="s">
        <v>18</v>
      </c>
    </row>
    <row r="255" spans="1:43" x14ac:dyDescent="0.25">
      <c r="A255" s="6">
        <v>22856038</v>
      </c>
      <c r="B255" s="6">
        <v>23636797</v>
      </c>
      <c r="C255" s="6" t="s">
        <v>248</v>
      </c>
      <c r="D255" s="14">
        <v>45902.755995370368</v>
      </c>
      <c r="E255" s="14">
        <v>45911.568148148152</v>
      </c>
      <c r="F255" s="6" t="s">
        <v>17</v>
      </c>
      <c r="G255" s="6" t="s">
        <v>23</v>
      </c>
      <c r="H255" s="6" t="s">
        <v>1086</v>
      </c>
      <c r="I255" s="6" t="s">
        <v>337</v>
      </c>
      <c r="J255" s="6" t="s">
        <v>1087</v>
      </c>
      <c r="K255" s="6" t="s">
        <v>344</v>
      </c>
      <c r="L255" s="6" t="s">
        <v>344</v>
      </c>
      <c r="M255" s="14">
        <v>45902.74722222222</v>
      </c>
      <c r="N255" s="6">
        <v>84880</v>
      </c>
      <c r="O255" s="6" t="s">
        <v>91</v>
      </c>
      <c r="P255" s="6" t="s">
        <v>276</v>
      </c>
      <c r="Q255" s="6" t="s">
        <v>318</v>
      </c>
      <c r="R255" s="6" t="s">
        <v>318</v>
      </c>
      <c r="S255" s="6" t="s">
        <v>9</v>
      </c>
      <c r="T255" s="6" t="s">
        <v>254</v>
      </c>
      <c r="U255" s="6" t="s">
        <v>140</v>
      </c>
      <c r="V255" s="6" t="s">
        <v>1088</v>
      </c>
      <c r="W255" s="6" t="s">
        <v>91</v>
      </c>
      <c r="X255" s="6" t="s">
        <v>91</v>
      </c>
      <c r="Y255" s="6" t="s">
        <v>91</v>
      </c>
      <c r="Z255" s="6" t="s">
        <v>79</v>
      </c>
      <c r="AA255" s="6" t="s">
        <v>91</v>
      </c>
      <c r="AB255" s="6">
        <v>212.98</v>
      </c>
      <c r="AC255" s="6">
        <v>0</v>
      </c>
      <c r="AD255" s="6">
        <v>0</v>
      </c>
      <c r="AE255" s="6">
        <v>0</v>
      </c>
      <c r="AF255" s="6">
        <v>0</v>
      </c>
      <c r="AG255" s="6">
        <v>7.45</v>
      </c>
      <c r="AH255" s="6">
        <v>0</v>
      </c>
      <c r="AI255" s="6" t="s">
        <v>1089</v>
      </c>
      <c r="AJ255" s="6" t="s">
        <v>257</v>
      </c>
      <c r="AK255" s="6" t="s">
        <v>12</v>
      </c>
      <c r="AL255" s="6" t="s">
        <v>48</v>
      </c>
      <c r="AM255" s="6" t="s">
        <v>258</v>
      </c>
      <c r="AN255" s="6" t="s">
        <v>20</v>
      </c>
      <c r="AO255" s="6" t="s">
        <v>259</v>
      </c>
      <c r="AP255" s="6" t="s">
        <v>260</v>
      </c>
      <c r="AQ255" s="6" t="s">
        <v>31</v>
      </c>
    </row>
    <row r="256" spans="1:43" x14ac:dyDescent="0.25">
      <c r="A256" s="6">
        <v>22813308</v>
      </c>
      <c r="B256" s="6">
        <v>23600132</v>
      </c>
      <c r="C256" s="6" t="s">
        <v>248</v>
      </c>
      <c r="D256" s="14">
        <v>45895.502256944441</v>
      </c>
      <c r="E256" s="14">
        <v>45911.560763888891</v>
      </c>
      <c r="F256" s="6" t="s">
        <v>17</v>
      </c>
      <c r="G256" s="6" t="s">
        <v>25</v>
      </c>
      <c r="H256" s="6" t="s">
        <v>1090</v>
      </c>
      <c r="I256" s="6" t="s">
        <v>337</v>
      </c>
      <c r="J256" s="6" t="s">
        <v>1091</v>
      </c>
      <c r="K256" s="6" t="s">
        <v>344</v>
      </c>
      <c r="L256" s="6" t="s">
        <v>344</v>
      </c>
      <c r="M256" s="14">
        <v>45895.327777777777</v>
      </c>
      <c r="N256" s="6">
        <v>83770</v>
      </c>
      <c r="O256" s="6" t="s">
        <v>91</v>
      </c>
      <c r="P256" s="6" t="s">
        <v>276</v>
      </c>
      <c r="Q256" s="6" t="s">
        <v>318</v>
      </c>
      <c r="R256" s="6" t="s">
        <v>318</v>
      </c>
      <c r="S256" s="6" t="s">
        <v>9</v>
      </c>
      <c r="T256" s="6" t="s">
        <v>254</v>
      </c>
      <c r="U256" s="6" t="s">
        <v>140</v>
      </c>
      <c r="V256" s="6" t="s">
        <v>1088</v>
      </c>
      <c r="W256" s="6" t="s">
        <v>91</v>
      </c>
      <c r="X256" s="6" t="s">
        <v>91</v>
      </c>
      <c r="Y256" s="6" t="s">
        <v>91</v>
      </c>
      <c r="Z256" s="6" t="s">
        <v>79</v>
      </c>
      <c r="AA256" s="6" t="s">
        <v>91</v>
      </c>
      <c r="AB256" s="6">
        <v>530</v>
      </c>
      <c r="AC256" s="6">
        <v>0</v>
      </c>
      <c r="AD256" s="6">
        <v>0</v>
      </c>
      <c r="AE256" s="6">
        <v>0</v>
      </c>
      <c r="AF256" s="6">
        <v>0</v>
      </c>
      <c r="AG256" s="6">
        <v>26.5</v>
      </c>
      <c r="AH256" s="6">
        <v>0</v>
      </c>
      <c r="AI256" s="6" t="s">
        <v>1092</v>
      </c>
      <c r="AJ256" s="6" t="s">
        <v>257</v>
      </c>
      <c r="AK256" s="6" t="s">
        <v>12</v>
      </c>
      <c r="AL256" s="6" t="s">
        <v>48</v>
      </c>
      <c r="AM256" s="6" t="s">
        <v>258</v>
      </c>
      <c r="AN256" s="6" t="s">
        <v>20</v>
      </c>
      <c r="AO256" s="6" t="s">
        <v>259</v>
      </c>
      <c r="AP256" s="6" t="s">
        <v>260</v>
      </c>
      <c r="AQ256" s="6" t="s">
        <v>31</v>
      </c>
    </row>
    <row r="257" spans="1:43" x14ac:dyDescent="0.25">
      <c r="A257" s="6">
        <v>22808694</v>
      </c>
      <c r="B257" s="6">
        <v>23596230</v>
      </c>
      <c r="C257" s="6" t="s">
        <v>248</v>
      </c>
      <c r="D257" s="14">
        <v>45894.754062499997</v>
      </c>
      <c r="E257" s="14">
        <v>45911.560740740737</v>
      </c>
      <c r="F257" s="6" t="s">
        <v>17</v>
      </c>
      <c r="G257" s="6" t="s">
        <v>25</v>
      </c>
      <c r="H257" s="6" t="s">
        <v>1093</v>
      </c>
      <c r="I257" s="6" t="s">
        <v>337</v>
      </c>
      <c r="J257" s="6" t="s">
        <v>1094</v>
      </c>
      <c r="K257" s="6" t="s">
        <v>344</v>
      </c>
      <c r="L257" s="6" t="s">
        <v>344</v>
      </c>
      <c r="M257" s="14">
        <v>45894.722916666673</v>
      </c>
      <c r="N257" s="6">
        <v>83677</v>
      </c>
      <c r="O257" s="6" t="s">
        <v>91</v>
      </c>
      <c r="P257" s="6" t="s">
        <v>276</v>
      </c>
      <c r="Q257" s="6" t="s">
        <v>318</v>
      </c>
      <c r="R257" s="6" t="s">
        <v>318</v>
      </c>
      <c r="S257" s="6" t="s">
        <v>9</v>
      </c>
      <c r="T257" s="6" t="s">
        <v>254</v>
      </c>
      <c r="U257" s="6" t="s">
        <v>140</v>
      </c>
      <c r="V257" s="6" t="s">
        <v>1088</v>
      </c>
      <c r="W257" s="6" t="s">
        <v>91</v>
      </c>
      <c r="X257" s="6" t="s">
        <v>91</v>
      </c>
      <c r="Y257" s="6" t="s">
        <v>91</v>
      </c>
      <c r="Z257" s="6" t="s">
        <v>79</v>
      </c>
      <c r="AA257" s="6" t="s">
        <v>91</v>
      </c>
      <c r="AB257" s="6">
        <v>550</v>
      </c>
      <c r="AC257" s="6">
        <v>0</v>
      </c>
      <c r="AD257" s="6">
        <v>0</v>
      </c>
      <c r="AE257" s="6">
        <v>0</v>
      </c>
      <c r="AF257" s="6">
        <v>0</v>
      </c>
      <c r="AG257" s="6">
        <v>27.5</v>
      </c>
      <c r="AH257" s="6">
        <v>0</v>
      </c>
      <c r="AI257" s="6" t="s">
        <v>1095</v>
      </c>
      <c r="AJ257" s="6" t="s">
        <v>257</v>
      </c>
      <c r="AK257" s="6" t="s">
        <v>12</v>
      </c>
      <c r="AL257" s="6" t="s">
        <v>48</v>
      </c>
      <c r="AM257" s="6" t="s">
        <v>258</v>
      </c>
      <c r="AN257" s="6" t="s">
        <v>20</v>
      </c>
      <c r="AO257" s="6" t="s">
        <v>259</v>
      </c>
      <c r="AP257" s="6" t="s">
        <v>260</v>
      </c>
      <c r="AQ257" s="6" t="s">
        <v>31</v>
      </c>
    </row>
    <row r="258" spans="1:43" x14ac:dyDescent="0.25">
      <c r="A258" s="6">
        <v>22890674</v>
      </c>
      <c r="B258" s="6">
        <v>23666236</v>
      </c>
      <c r="C258" s="6" t="s">
        <v>248</v>
      </c>
      <c r="D258" s="14">
        <v>45908.753518518519</v>
      </c>
      <c r="E258" s="14">
        <v>45911.585300925923</v>
      </c>
      <c r="F258" s="6" t="s">
        <v>17</v>
      </c>
      <c r="G258" s="6" t="s">
        <v>19</v>
      </c>
      <c r="H258" s="6" t="s">
        <v>1096</v>
      </c>
      <c r="I258" s="6" t="s">
        <v>337</v>
      </c>
      <c r="J258" s="6" t="s">
        <v>1097</v>
      </c>
      <c r="K258" s="6" t="s">
        <v>344</v>
      </c>
      <c r="L258" s="6" t="s">
        <v>344</v>
      </c>
      <c r="M258" s="14">
        <v>45908.658333333333</v>
      </c>
      <c r="N258" s="6">
        <v>86219</v>
      </c>
      <c r="O258" s="6" t="s">
        <v>91</v>
      </c>
      <c r="P258" s="6" t="s">
        <v>276</v>
      </c>
      <c r="Q258" s="6" t="s">
        <v>318</v>
      </c>
      <c r="R258" s="6" t="s">
        <v>318</v>
      </c>
      <c r="S258" s="6" t="s">
        <v>9</v>
      </c>
      <c r="T258" s="6" t="s">
        <v>254</v>
      </c>
      <c r="U258" s="6" t="s">
        <v>140</v>
      </c>
      <c r="V258" s="6" t="s">
        <v>1088</v>
      </c>
      <c r="W258" s="6" t="s">
        <v>91</v>
      </c>
      <c r="X258" s="6" t="s">
        <v>91</v>
      </c>
      <c r="Y258" s="6" t="s">
        <v>91</v>
      </c>
      <c r="Z258" s="6" t="s">
        <v>79</v>
      </c>
      <c r="AA258" s="6" t="s">
        <v>91</v>
      </c>
      <c r="AB258" s="6">
        <v>892.5</v>
      </c>
      <c r="AC258" s="6">
        <v>0</v>
      </c>
      <c r="AD258" s="6">
        <v>0</v>
      </c>
      <c r="AE258" s="6">
        <v>0</v>
      </c>
      <c r="AF258" s="6">
        <v>0</v>
      </c>
      <c r="AG258" s="6">
        <v>44.62</v>
      </c>
      <c r="AH258" s="6">
        <v>0</v>
      </c>
      <c r="AI258" s="6" t="s">
        <v>1098</v>
      </c>
      <c r="AJ258" s="6" t="s">
        <v>257</v>
      </c>
      <c r="AK258" s="6" t="s">
        <v>12</v>
      </c>
      <c r="AL258" s="6" t="s">
        <v>48</v>
      </c>
      <c r="AM258" s="6" t="s">
        <v>258</v>
      </c>
      <c r="AN258" s="6" t="s">
        <v>20</v>
      </c>
      <c r="AO258" s="6" t="s">
        <v>259</v>
      </c>
      <c r="AP258" s="6" t="s">
        <v>260</v>
      </c>
      <c r="AQ258" s="6" t="s">
        <v>31</v>
      </c>
    </row>
    <row r="259" spans="1:43" x14ac:dyDescent="0.25">
      <c r="A259" s="6">
        <v>22890697</v>
      </c>
      <c r="B259" s="6">
        <v>23666255</v>
      </c>
      <c r="C259" s="6" t="s">
        <v>248</v>
      </c>
      <c r="D259" s="14">
        <v>45908.754166666673</v>
      </c>
      <c r="E259" s="14">
        <v>45911.585300925923</v>
      </c>
      <c r="F259" s="6" t="s">
        <v>17</v>
      </c>
      <c r="G259" s="6" t="s">
        <v>19</v>
      </c>
      <c r="H259" s="6" t="s">
        <v>1099</v>
      </c>
      <c r="I259" s="6" t="s">
        <v>337</v>
      </c>
      <c r="J259" s="6" t="s">
        <v>1100</v>
      </c>
      <c r="K259" s="6" t="s">
        <v>344</v>
      </c>
      <c r="L259" s="6" t="s">
        <v>344</v>
      </c>
      <c r="M259" s="14">
        <v>45908.676388888889</v>
      </c>
      <c r="N259" s="6">
        <v>86143</v>
      </c>
      <c r="O259" s="6" t="s">
        <v>91</v>
      </c>
      <c r="P259" s="6" t="s">
        <v>276</v>
      </c>
      <c r="Q259" s="6" t="s">
        <v>318</v>
      </c>
      <c r="R259" s="6" t="s">
        <v>318</v>
      </c>
      <c r="S259" s="6" t="s">
        <v>9</v>
      </c>
      <c r="T259" s="6" t="s">
        <v>254</v>
      </c>
      <c r="U259" s="6" t="s">
        <v>140</v>
      </c>
      <c r="V259" s="6" t="s">
        <v>1088</v>
      </c>
      <c r="W259" s="6" t="s">
        <v>91</v>
      </c>
      <c r="X259" s="6" t="s">
        <v>91</v>
      </c>
      <c r="Y259" s="6" t="s">
        <v>91</v>
      </c>
      <c r="Z259" s="6" t="s">
        <v>79</v>
      </c>
      <c r="AA259" s="6" t="s">
        <v>91</v>
      </c>
      <c r="AB259" s="6">
        <v>510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1101</v>
      </c>
      <c r="AJ259" s="6" t="s">
        <v>257</v>
      </c>
      <c r="AK259" s="6" t="s">
        <v>12</v>
      </c>
      <c r="AL259" s="6" t="s">
        <v>48</v>
      </c>
      <c r="AM259" s="6" t="s">
        <v>258</v>
      </c>
      <c r="AN259" s="6" t="s">
        <v>20</v>
      </c>
      <c r="AO259" s="6" t="s">
        <v>259</v>
      </c>
      <c r="AP259" s="6" t="s">
        <v>260</v>
      </c>
      <c r="AQ259" s="6" t="s">
        <v>31</v>
      </c>
    </row>
    <row r="260" spans="1:43" x14ac:dyDescent="0.25">
      <c r="A260" s="6">
        <v>22890700</v>
      </c>
      <c r="B260" s="6">
        <v>23666258</v>
      </c>
      <c r="C260" s="6" t="s">
        <v>248</v>
      </c>
      <c r="D260" s="14">
        <v>45908.754259259258</v>
      </c>
      <c r="E260" s="14">
        <v>45911.585312499999</v>
      </c>
      <c r="F260" s="6" t="s">
        <v>17</v>
      </c>
      <c r="G260" s="6" t="s">
        <v>19</v>
      </c>
      <c r="H260" s="6" t="s">
        <v>1102</v>
      </c>
      <c r="I260" s="6" t="s">
        <v>337</v>
      </c>
      <c r="J260" s="6" t="s">
        <v>1100</v>
      </c>
      <c r="K260" s="6" t="s">
        <v>344</v>
      </c>
      <c r="L260" s="6" t="s">
        <v>344</v>
      </c>
      <c r="M260" s="14">
        <v>45908.676388888889</v>
      </c>
      <c r="N260" s="6">
        <v>86137</v>
      </c>
      <c r="O260" s="6" t="s">
        <v>91</v>
      </c>
      <c r="P260" s="6" t="s">
        <v>276</v>
      </c>
      <c r="Q260" s="6" t="s">
        <v>318</v>
      </c>
      <c r="R260" s="6" t="s">
        <v>318</v>
      </c>
      <c r="S260" s="6" t="s">
        <v>9</v>
      </c>
      <c r="T260" s="6" t="s">
        <v>254</v>
      </c>
      <c r="U260" s="6" t="s">
        <v>140</v>
      </c>
      <c r="V260" s="6" t="s">
        <v>1088</v>
      </c>
      <c r="W260" s="6" t="s">
        <v>91</v>
      </c>
      <c r="X260" s="6" t="s">
        <v>91</v>
      </c>
      <c r="Y260" s="6" t="s">
        <v>91</v>
      </c>
      <c r="Z260" s="6" t="s">
        <v>79</v>
      </c>
      <c r="AA260" s="6" t="s">
        <v>91</v>
      </c>
      <c r="AB260" s="6">
        <v>255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1103</v>
      </c>
      <c r="AJ260" s="6" t="s">
        <v>257</v>
      </c>
      <c r="AK260" s="6" t="s">
        <v>12</v>
      </c>
      <c r="AL260" s="6" t="s">
        <v>48</v>
      </c>
      <c r="AM260" s="6" t="s">
        <v>258</v>
      </c>
      <c r="AN260" s="6" t="s">
        <v>20</v>
      </c>
      <c r="AO260" s="6" t="s">
        <v>259</v>
      </c>
      <c r="AP260" s="6" t="s">
        <v>260</v>
      </c>
      <c r="AQ260" s="6" t="s">
        <v>31</v>
      </c>
    </row>
    <row r="261" spans="1:43" x14ac:dyDescent="0.25">
      <c r="A261" s="6">
        <v>22899047</v>
      </c>
      <c r="B261" s="6">
        <v>23673746</v>
      </c>
      <c r="C261" s="6" t="s">
        <v>248</v>
      </c>
      <c r="D261" s="14">
        <v>45910.001701388886</v>
      </c>
      <c r="E261" s="14">
        <v>45911.598379629628</v>
      </c>
      <c r="F261" s="6" t="s">
        <v>17</v>
      </c>
      <c r="G261" s="6" t="s">
        <v>17</v>
      </c>
      <c r="H261" s="6" t="s">
        <v>1104</v>
      </c>
      <c r="I261" s="6" t="s">
        <v>337</v>
      </c>
      <c r="J261" s="6" t="s">
        <v>1105</v>
      </c>
      <c r="K261" s="6" t="s">
        <v>344</v>
      </c>
      <c r="L261" s="6" t="s">
        <v>344</v>
      </c>
      <c r="M261" s="14">
        <v>45909.845833333333</v>
      </c>
      <c r="N261" s="6">
        <v>86605</v>
      </c>
      <c r="O261" s="6" t="s">
        <v>91</v>
      </c>
      <c r="P261" s="6" t="s">
        <v>276</v>
      </c>
      <c r="Q261" s="6" t="s">
        <v>318</v>
      </c>
      <c r="R261" s="6" t="s">
        <v>318</v>
      </c>
      <c r="S261" s="6" t="s">
        <v>9</v>
      </c>
      <c r="T261" s="6" t="s">
        <v>254</v>
      </c>
      <c r="U261" s="6" t="s">
        <v>140</v>
      </c>
      <c r="V261" s="6" t="s">
        <v>1088</v>
      </c>
      <c r="W261" s="6" t="s">
        <v>91</v>
      </c>
      <c r="X261" s="6" t="s">
        <v>91</v>
      </c>
      <c r="Y261" s="6" t="s">
        <v>91</v>
      </c>
      <c r="Z261" s="6" t="s">
        <v>79</v>
      </c>
      <c r="AA261" s="6" t="s">
        <v>91</v>
      </c>
      <c r="AB261" s="6">
        <v>638.94000000000005</v>
      </c>
      <c r="AC261" s="6">
        <v>0</v>
      </c>
      <c r="AD261" s="6">
        <v>0</v>
      </c>
      <c r="AE261" s="6">
        <v>0</v>
      </c>
      <c r="AF261" s="6">
        <v>0</v>
      </c>
      <c r="AG261" s="6">
        <v>22.36</v>
      </c>
      <c r="AH261" s="6">
        <v>0</v>
      </c>
      <c r="AI261" s="6" t="s">
        <v>1106</v>
      </c>
      <c r="AJ261" s="6" t="s">
        <v>257</v>
      </c>
      <c r="AK261" s="6" t="s">
        <v>12</v>
      </c>
      <c r="AL261" s="6" t="s">
        <v>48</v>
      </c>
      <c r="AM261" s="6" t="s">
        <v>258</v>
      </c>
      <c r="AN261" s="6" t="s">
        <v>20</v>
      </c>
      <c r="AO261" s="6" t="s">
        <v>259</v>
      </c>
      <c r="AP261" s="6" t="s">
        <v>260</v>
      </c>
      <c r="AQ261" s="6" t="s">
        <v>31</v>
      </c>
    </row>
    <row r="262" spans="1:43" x14ac:dyDescent="0.25">
      <c r="A262" s="6">
        <v>22876999</v>
      </c>
      <c r="B262" s="6">
        <v>23655600</v>
      </c>
      <c r="C262" s="6" t="s">
        <v>248</v>
      </c>
      <c r="D262" s="14">
        <v>45905.761377314811</v>
      </c>
      <c r="E262" s="14">
        <v>45911.579953703702</v>
      </c>
      <c r="F262" s="6" t="s">
        <v>17</v>
      </c>
      <c r="G262" s="6" t="s">
        <v>21</v>
      </c>
      <c r="H262" s="6" t="s">
        <v>1107</v>
      </c>
      <c r="I262" s="6" t="s">
        <v>337</v>
      </c>
      <c r="J262" s="6" t="s">
        <v>1108</v>
      </c>
      <c r="K262" s="6" t="s">
        <v>344</v>
      </c>
      <c r="L262" s="6" t="s">
        <v>344</v>
      </c>
      <c r="M262" s="14">
        <v>45905.603472222218</v>
      </c>
      <c r="N262" s="6">
        <v>82398</v>
      </c>
      <c r="O262" s="6" t="s">
        <v>91</v>
      </c>
      <c r="P262" s="6" t="s">
        <v>276</v>
      </c>
      <c r="Q262" s="6" t="s">
        <v>318</v>
      </c>
      <c r="R262" s="6" t="s">
        <v>318</v>
      </c>
      <c r="S262" s="6" t="s">
        <v>9</v>
      </c>
      <c r="T262" s="6" t="s">
        <v>254</v>
      </c>
      <c r="U262" s="6" t="s">
        <v>140</v>
      </c>
      <c r="V262" s="6" t="s">
        <v>1088</v>
      </c>
      <c r="W262" s="6" t="s">
        <v>91</v>
      </c>
      <c r="X262" s="6" t="s">
        <v>91</v>
      </c>
      <c r="Y262" s="6" t="s">
        <v>91</v>
      </c>
      <c r="Z262" s="6" t="s">
        <v>79</v>
      </c>
      <c r="AA262" s="6" t="s">
        <v>91</v>
      </c>
      <c r="AB262" s="6">
        <v>410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1109</v>
      </c>
      <c r="AJ262" s="6" t="s">
        <v>257</v>
      </c>
      <c r="AK262" s="6" t="s">
        <v>12</v>
      </c>
      <c r="AL262" s="6" t="s">
        <v>48</v>
      </c>
      <c r="AM262" s="6" t="s">
        <v>258</v>
      </c>
      <c r="AN262" s="6" t="s">
        <v>20</v>
      </c>
      <c r="AO262" s="6" t="s">
        <v>259</v>
      </c>
      <c r="AP262" s="6" t="s">
        <v>260</v>
      </c>
      <c r="AQ262" s="6" t="s">
        <v>31</v>
      </c>
    </row>
    <row r="263" spans="1:43" x14ac:dyDescent="0.25">
      <c r="A263" s="6">
        <v>22910433</v>
      </c>
      <c r="B263" s="6">
        <v>23683632</v>
      </c>
      <c r="C263" s="6" t="s">
        <v>248</v>
      </c>
      <c r="D263" s="14">
        <v>45911.757187499999</v>
      </c>
      <c r="E263" s="14">
        <v>45911.791875000003</v>
      </c>
      <c r="F263" s="6" t="s">
        <v>17</v>
      </c>
      <c r="G263" s="6" t="s">
        <v>17</v>
      </c>
      <c r="H263" s="6" t="s">
        <v>1110</v>
      </c>
      <c r="I263" s="6" t="s">
        <v>337</v>
      </c>
      <c r="J263" s="6" t="s">
        <v>1111</v>
      </c>
      <c r="K263" s="6" t="s">
        <v>1112</v>
      </c>
      <c r="L263" s="6" t="s">
        <v>1112</v>
      </c>
      <c r="M263" s="14">
        <v>45911.539583333331</v>
      </c>
      <c r="N263" s="6">
        <v>86054</v>
      </c>
      <c r="O263" s="6" t="s">
        <v>91</v>
      </c>
      <c r="P263" s="6" t="s">
        <v>252</v>
      </c>
      <c r="Q263" s="6" t="s">
        <v>318</v>
      </c>
      <c r="R263" s="6" t="s">
        <v>318</v>
      </c>
      <c r="S263" s="6" t="s">
        <v>9</v>
      </c>
      <c r="T263" s="6" t="s">
        <v>254</v>
      </c>
      <c r="U263" s="6" t="s">
        <v>140</v>
      </c>
      <c r="V263" s="6" t="s">
        <v>1088</v>
      </c>
      <c r="W263" s="6" t="s">
        <v>91</v>
      </c>
      <c r="X263" s="6" t="s">
        <v>91</v>
      </c>
      <c r="Y263" s="6" t="s">
        <v>91</v>
      </c>
      <c r="Z263" s="6" t="s">
        <v>79</v>
      </c>
      <c r="AA263" s="6" t="s">
        <v>91</v>
      </c>
      <c r="AB263" s="6">
        <v>283.48</v>
      </c>
      <c r="AC263" s="6">
        <v>0</v>
      </c>
      <c r="AD263" s="6">
        <v>0</v>
      </c>
      <c r="AE263" s="6">
        <v>0</v>
      </c>
      <c r="AF263" s="6">
        <v>0</v>
      </c>
      <c r="AG263" s="6">
        <v>2</v>
      </c>
      <c r="AH263" s="6">
        <v>0</v>
      </c>
      <c r="AI263" s="6" t="s">
        <v>1113</v>
      </c>
      <c r="AJ263" s="6" t="s">
        <v>257</v>
      </c>
      <c r="AK263" s="6" t="s">
        <v>12</v>
      </c>
      <c r="AL263" s="6" t="s">
        <v>48</v>
      </c>
      <c r="AM263" s="6" t="s">
        <v>258</v>
      </c>
      <c r="AN263" s="6" t="s">
        <v>20</v>
      </c>
      <c r="AO263" s="6" t="s">
        <v>272</v>
      </c>
      <c r="AP263" s="6" t="s">
        <v>273</v>
      </c>
      <c r="AQ263" s="6" t="s">
        <v>18</v>
      </c>
    </row>
    <row r="264" spans="1:43" x14ac:dyDescent="0.25">
      <c r="A264" s="6">
        <v>22912432</v>
      </c>
      <c r="B264" s="6">
        <v>23685416</v>
      </c>
      <c r="C264" s="6" t="s">
        <v>248</v>
      </c>
      <c r="D264" s="14">
        <v>45912.003194444442</v>
      </c>
      <c r="E264" s="14">
        <v>45912.011817129627</v>
      </c>
      <c r="F264" s="6" t="s">
        <v>17</v>
      </c>
      <c r="G264" s="6" t="s">
        <v>17</v>
      </c>
      <c r="H264" s="6" t="s">
        <v>1114</v>
      </c>
      <c r="I264" s="6" t="s">
        <v>337</v>
      </c>
      <c r="J264" s="6" t="s">
        <v>1115</v>
      </c>
      <c r="K264" s="6" t="s">
        <v>1112</v>
      </c>
      <c r="L264" s="6" t="s">
        <v>1112</v>
      </c>
      <c r="M264" s="14">
        <v>45911.780555555553</v>
      </c>
      <c r="N264" s="6">
        <v>85481</v>
      </c>
      <c r="O264" s="6" t="s">
        <v>91</v>
      </c>
      <c r="P264" s="6" t="s">
        <v>252</v>
      </c>
      <c r="Q264" s="6" t="s">
        <v>318</v>
      </c>
      <c r="R264" s="6" t="s">
        <v>318</v>
      </c>
      <c r="S264" s="6" t="s">
        <v>9</v>
      </c>
      <c r="T264" s="6" t="s">
        <v>254</v>
      </c>
      <c r="U264" s="6" t="s">
        <v>140</v>
      </c>
      <c r="V264" s="6" t="s">
        <v>1088</v>
      </c>
      <c r="W264" s="6" t="s">
        <v>91</v>
      </c>
      <c r="X264" s="6" t="s">
        <v>91</v>
      </c>
      <c r="Y264" s="6" t="s">
        <v>91</v>
      </c>
      <c r="Z264" s="6" t="s">
        <v>79</v>
      </c>
      <c r="AA264" s="6" t="s">
        <v>91</v>
      </c>
      <c r="AB264" s="6">
        <v>706</v>
      </c>
      <c r="AC264" s="6">
        <v>0</v>
      </c>
      <c r="AD264" s="6">
        <v>0</v>
      </c>
      <c r="AE264" s="6">
        <v>0</v>
      </c>
      <c r="AF264" s="6">
        <v>0</v>
      </c>
      <c r="AG264" s="6">
        <v>155</v>
      </c>
      <c r="AH264" s="6">
        <v>0</v>
      </c>
      <c r="AI264" s="6" t="s">
        <v>1116</v>
      </c>
      <c r="AJ264" s="6" t="s">
        <v>257</v>
      </c>
      <c r="AK264" s="6" t="s">
        <v>12</v>
      </c>
      <c r="AL264" s="6" t="s">
        <v>48</v>
      </c>
      <c r="AM264" s="6" t="s">
        <v>258</v>
      </c>
      <c r="AN264" s="6" t="s">
        <v>20</v>
      </c>
      <c r="AO264" s="6" t="s">
        <v>272</v>
      </c>
      <c r="AP264" s="6" t="s">
        <v>273</v>
      </c>
      <c r="AQ264" s="6" t="s">
        <v>18</v>
      </c>
    </row>
    <row r="265" spans="1:43" x14ac:dyDescent="0.25">
      <c r="A265" s="6">
        <v>22836594</v>
      </c>
      <c r="B265" s="6">
        <v>23621254</v>
      </c>
      <c r="C265" s="6" t="s">
        <v>248</v>
      </c>
      <c r="D265" s="14">
        <v>45898.785254629627</v>
      </c>
      <c r="E265" s="14">
        <v>45911.566921296297</v>
      </c>
      <c r="F265" s="6" t="s">
        <v>17</v>
      </c>
      <c r="G265" s="6" t="s">
        <v>23</v>
      </c>
      <c r="H265" s="6" t="s">
        <v>1117</v>
      </c>
      <c r="I265" s="6" t="s">
        <v>337</v>
      </c>
      <c r="J265" s="6" t="s">
        <v>1118</v>
      </c>
      <c r="K265" s="6" t="s">
        <v>344</v>
      </c>
      <c r="L265" s="6" t="s">
        <v>344</v>
      </c>
      <c r="M265" s="14">
        <v>45898.646527777782</v>
      </c>
      <c r="N265" s="6">
        <v>23248</v>
      </c>
      <c r="O265" s="6" t="s">
        <v>91</v>
      </c>
      <c r="P265" s="6" t="s">
        <v>276</v>
      </c>
      <c r="Q265" s="6" t="s">
        <v>253</v>
      </c>
      <c r="R265" s="6" t="s">
        <v>253</v>
      </c>
      <c r="S265" s="6" t="s">
        <v>9</v>
      </c>
      <c r="T265" s="6" t="s">
        <v>254</v>
      </c>
      <c r="U265" s="6" t="s">
        <v>139</v>
      </c>
      <c r="V265" s="6" t="s">
        <v>1119</v>
      </c>
      <c r="W265" s="6" t="s">
        <v>91</v>
      </c>
      <c r="X265" s="6" t="s">
        <v>91</v>
      </c>
      <c r="Y265" s="6" t="s">
        <v>91</v>
      </c>
      <c r="Z265" s="6" t="s">
        <v>80</v>
      </c>
      <c r="AA265" s="6" t="s">
        <v>91</v>
      </c>
      <c r="AB265" s="6">
        <v>388.08</v>
      </c>
      <c r="AC265" s="6">
        <v>0</v>
      </c>
      <c r="AD265" s="6">
        <v>0</v>
      </c>
      <c r="AE265" s="6">
        <v>0</v>
      </c>
      <c r="AF265" s="6">
        <v>0</v>
      </c>
      <c r="AG265" s="6">
        <v>60.15</v>
      </c>
      <c r="AH265" s="6">
        <v>0</v>
      </c>
      <c r="AI265" s="6" t="s">
        <v>1120</v>
      </c>
      <c r="AJ265" s="6" t="s">
        <v>257</v>
      </c>
      <c r="AK265" s="6" t="s">
        <v>12</v>
      </c>
      <c r="AL265" s="6" t="s">
        <v>48</v>
      </c>
      <c r="AM265" s="6" t="s">
        <v>258</v>
      </c>
      <c r="AN265" s="6" t="s">
        <v>20</v>
      </c>
      <c r="AO265" s="6" t="s">
        <v>259</v>
      </c>
      <c r="AP265" s="6" t="s">
        <v>260</v>
      </c>
      <c r="AQ265" s="6" t="s">
        <v>31</v>
      </c>
    </row>
    <row r="266" spans="1:43" x14ac:dyDescent="0.25">
      <c r="A266" s="6">
        <v>22908578</v>
      </c>
      <c r="B266" s="6">
        <v>23681861</v>
      </c>
      <c r="C266" s="6" t="s">
        <v>248</v>
      </c>
      <c r="D266" s="14">
        <v>45911.519745370373</v>
      </c>
      <c r="E266" s="14">
        <v>45911.615520833337</v>
      </c>
      <c r="F266" s="6" t="s">
        <v>17</v>
      </c>
      <c r="G266" s="6" t="s">
        <v>17</v>
      </c>
      <c r="H266" s="6" t="s">
        <v>1121</v>
      </c>
      <c r="I266" s="6" t="s">
        <v>337</v>
      </c>
      <c r="J266" s="6" t="s">
        <v>1122</v>
      </c>
      <c r="K266" s="6" t="s">
        <v>1123</v>
      </c>
      <c r="L266" s="6" t="s">
        <v>1123</v>
      </c>
      <c r="M266" s="14">
        <v>45911.438888888893</v>
      </c>
      <c r="N266" s="6">
        <v>24111</v>
      </c>
      <c r="O266" s="6" t="s">
        <v>91</v>
      </c>
      <c r="P266" s="6" t="s">
        <v>252</v>
      </c>
      <c r="Q266" s="6" t="s">
        <v>253</v>
      </c>
      <c r="R266" s="6" t="s">
        <v>253</v>
      </c>
      <c r="S266" s="6" t="s">
        <v>9</v>
      </c>
      <c r="T266" s="6" t="s">
        <v>254</v>
      </c>
      <c r="U266" s="6" t="s">
        <v>139</v>
      </c>
      <c r="V266" s="6" t="s">
        <v>1119</v>
      </c>
      <c r="W266" s="6" t="s">
        <v>91</v>
      </c>
      <c r="X266" s="6" t="s">
        <v>91</v>
      </c>
      <c r="Y266" s="6" t="s">
        <v>91</v>
      </c>
      <c r="Z266" s="6" t="s">
        <v>80</v>
      </c>
      <c r="AA266" s="6" t="s">
        <v>91</v>
      </c>
      <c r="AB266" s="6">
        <v>4700.6400000000003</v>
      </c>
      <c r="AC266" s="6">
        <v>0</v>
      </c>
      <c r="AD266" s="6">
        <v>0</v>
      </c>
      <c r="AE266" s="6">
        <v>0</v>
      </c>
      <c r="AF266" s="6">
        <v>0</v>
      </c>
      <c r="AG266" s="6">
        <v>235.03</v>
      </c>
      <c r="AH266" s="6">
        <v>0</v>
      </c>
      <c r="AI266" s="6" t="s">
        <v>1124</v>
      </c>
      <c r="AJ266" s="6" t="s">
        <v>257</v>
      </c>
      <c r="AK266" s="6" t="s">
        <v>12</v>
      </c>
      <c r="AL266" s="6" t="s">
        <v>48</v>
      </c>
      <c r="AM266" s="6" t="s">
        <v>258</v>
      </c>
      <c r="AN266" s="6" t="s">
        <v>20</v>
      </c>
      <c r="AO266" s="6" t="s">
        <v>272</v>
      </c>
      <c r="AP266" s="6" t="s">
        <v>273</v>
      </c>
      <c r="AQ266" s="6" t="s">
        <v>18</v>
      </c>
    </row>
    <row r="267" spans="1:43" x14ac:dyDescent="0.25">
      <c r="A267" s="6">
        <v>22850255</v>
      </c>
      <c r="B267" s="6">
        <v>23631805</v>
      </c>
      <c r="C267" s="6" t="s">
        <v>248</v>
      </c>
      <c r="D267" s="14">
        <v>45901.777592592603</v>
      </c>
      <c r="E267" s="14">
        <v>45911.567476851851</v>
      </c>
      <c r="F267" s="6" t="s">
        <v>17</v>
      </c>
      <c r="G267" s="6" t="s">
        <v>23</v>
      </c>
      <c r="H267" s="6" t="s">
        <v>1125</v>
      </c>
      <c r="I267" s="6" t="s">
        <v>337</v>
      </c>
      <c r="J267" s="6" t="s">
        <v>1126</v>
      </c>
      <c r="K267" s="6" t="s">
        <v>344</v>
      </c>
      <c r="L267" s="6" t="s">
        <v>344</v>
      </c>
      <c r="M267" s="14">
        <v>45901.711805555547</v>
      </c>
      <c r="N267" s="6">
        <v>23409</v>
      </c>
      <c r="O267" s="6" t="s">
        <v>91</v>
      </c>
      <c r="P267" s="6" t="s">
        <v>276</v>
      </c>
      <c r="Q267" s="6" t="s">
        <v>253</v>
      </c>
      <c r="R267" s="6" t="s">
        <v>253</v>
      </c>
      <c r="S267" s="6" t="s">
        <v>9</v>
      </c>
      <c r="T267" s="6" t="s">
        <v>254</v>
      </c>
      <c r="U267" s="6" t="s">
        <v>139</v>
      </c>
      <c r="V267" s="6" t="s">
        <v>1127</v>
      </c>
      <c r="W267" s="6" t="s">
        <v>91</v>
      </c>
      <c r="X267" s="6" t="s">
        <v>91</v>
      </c>
      <c r="Y267" s="6" t="s">
        <v>91</v>
      </c>
      <c r="Z267" s="6" t="s">
        <v>80</v>
      </c>
      <c r="AA267" s="6" t="s">
        <v>91</v>
      </c>
      <c r="AB267" s="6">
        <v>286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1128</v>
      </c>
      <c r="AJ267" s="6" t="s">
        <v>257</v>
      </c>
      <c r="AK267" s="6" t="s">
        <v>12</v>
      </c>
      <c r="AL267" s="6" t="s">
        <v>48</v>
      </c>
      <c r="AM267" s="6" t="s">
        <v>258</v>
      </c>
      <c r="AN267" s="6" t="s">
        <v>20</v>
      </c>
      <c r="AO267" s="6" t="s">
        <v>259</v>
      </c>
      <c r="AP267" s="6" t="s">
        <v>260</v>
      </c>
      <c r="AQ267" s="6" t="s">
        <v>31</v>
      </c>
    </row>
    <row r="268" spans="1:43" x14ac:dyDescent="0.25">
      <c r="A268" s="6">
        <v>22879226</v>
      </c>
      <c r="B268" s="6">
        <v>23657557</v>
      </c>
      <c r="C268" s="6" t="s">
        <v>248</v>
      </c>
      <c r="D268" s="14">
        <v>45906.015127314808</v>
      </c>
      <c r="E268" s="14">
        <v>45912.25744212963</v>
      </c>
      <c r="F268" s="6" t="s">
        <v>17</v>
      </c>
      <c r="G268" s="6" t="s">
        <v>21</v>
      </c>
      <c r="H268" s="6" t="s">
        <v>1129</v>
      </c>
      <c r="I268" s="6" t="s">
        <v>337</v>
      </c>
      <c r="J268" s="6" t="s">
        <v>1130</v>
      </c>
      <c r="K268" s="6" t="s">
        <v>1131</v>
      </c>
      <c r="L268" s="6" t="s">
        <v>1123</v>
      </c>
      <c r="M268" s="14">
        <v>45905.719444444447</v>
      </c>
      <c r="N268" s="6">
        <v>23518</v>
      </c>
      <c r="O268" s="6" t="s">
        <v>91</v>
      </c>
      <c r="P268" s="6" t="s">
        <v>252</v>
      </c>
      <c r="Q268" s="6" t="s">
        <v>268</v>
      </c>
      <c r="R268" s="6" t="s">
        <v>269</v>
      </c>
      <c r="S268" s="6" t="s">
        <v>3</v>
      </c>
      <c r="T268" s="6" t="s">
        <v>254</v>
      </c>
      <c r="U268" s="6" t="s">
        <v>139</v>
      </c>
      <c r="V268" s="6" t="s">
        <v>1132</v>
      </c>
      <c r="W268" s="6" t="s">
        <v>91</v>
      </c>
      <c r="X268" s="6" t="s">
        <v>91</v>
      </c>
      <c r="Y268" s="6" t="s">
        <v>91</v>
      </c>
      <c r="Z268" s="6" t="s">
        <v>80</v>
      </c>
      <c r="AA268" s="6" t="s">
        <v>91</v>
      </c>
      <c r="AB268" s="6">
        <v>460.18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1133</v>
      </c>
      <c r="AJ268" s="6" t="s">
        <v>257</v>
      </c>
      <c r="AK268" s="6" t="s">
        <v>12</v>
      </c>
      <c r="AL268" s="6" t="s">
        <v>48</v>
      </c>
      <c r="AM268" s="6" t="s">
        <v>258</v>
      </c>
      <c r="AN268" s="6" t="s">
        <v>20</v>
      </c>
      <c r="AO268" s="6" t="s">
        <v>272</v>
      </c>
      <c r="AP268" s="6" t="s">
        <v>273</v>
      </c>
      <c r="AQ268" s="6" t="s">
        <v>18</v>
      </c>
    </row>
    <row r="269" spans="1:43" x14ac:dyDescent="0.25">
      <c r="A269" s="6">
        <v>22879228</v>
      </c>
      <c r="B269" s="6">
        <v>23657559</v>
      </c>
      <c r="C269" s="6" t="s">
        <v>248</v>
      </c>
      <c r="D269" s="14">
        <v>45906.015196759261</v>
      </c>
      <c r="E269" s="14">
        <v>45912.257453703707</v>
      </c>
      <c r="F269" s="6" t="s">
        <v>17</v>
      </c>
      <c r="G269" s="6" t="s">
        <v>21</v>
      </c>
      <c r="H269" s="6" t="s">
        <v>1134</v>
      </c>
      <c r="I269" s="6" t="s">
        <v>337</v>
      </c>
      <c r="J269" s="6" t="s">
        <v>1135</v>
      </c>
      <c r="K269" s="6" t="s">
        <v>1131</v>
      </c>
      <c r="L269" s="6" t="s">
        <v>1131</v>
      </c>
      <c r="M269" s="14">
        <v>45905.710416666669</v>
      </c>
      <c r="N269" s="6">
        <v>23482</v>
      </c>
      <c r="O269" s="6" t="s">
        <v>91</v>
      </c>
      <c r="P269" s="6" t="s">
        <v>252</v>
      </c>
      <c r="Q269" s="6" t="s">
        <v>268</v>
      </c>
      <c r="R269" s="6" t="s">
        <v>269</v>
      </c>
      <c r="S269" s="6" t="s">
        <v>3</v>
      </c>
      <c r="T269" s="6" t="s">
        <v>254</v>
      </c>
      <c r="U269" s="6" t="s">
        <v>139</v>
      </c>
      <c r="V269" s="6" t="s">
        <v>1132</v>
      </c>
      <c r="W269" s="6" t="s">
        <v>91</v>
      </c>
      <c r="X269" s="6" t="s">
        <v>91</v>
      </c>
      <c r="Y269" s="6" t="s">
        <v>91</v>
      </c>
      <c r="Z269" s="6" t="s">
        <v>80</v>
      </c>
      <c r="AA269" s="6" t="s">
        <v>91</v>
      </c>
      <c r="AB269" s="6">
        <v>440.92</v>
      </c>
      <c r="AC269" s="6">
        <v>0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1136</v>
      </c>
      <c r="AJ269" s="6" t="s">
        <v>257</v>
      </c>
      <c r="AK269" s="6" t="s">
        <v>12</v>
      </c>
      <c r="AL269" s="6" t="s">
        <v>48</v>
      </c>
      <c r="AM269" s="6" t="s">
        <v>258</v>
      </c>
      <c r="AN269" s="6" t="s">
        <v>20</v>
      </c>
      <c r="AO269" s="6" t="s">
        <v>272</v>
      </c>
      <c r="AP269" s="6" t="s">
        <v>273</v>
      </c>
      <c r="AQ269" s="6" t="s">
        <v>18</v>
      </c>
    </row>
    <row r="270" spans="1:43" x14ac:dyDescent="0.25">
      <c r="A270" s="6">
        <v>22829518</v>
      </c>
      <c r="B270" s="6">
        <v>23614943</v>
      </c>
      <c r="C270" s="6" t="s">
        <v>248</v>
      </c>
      <c r="D270" s="14">
        <v>45897.775185185194</v>
      </c>
      <c r="E270" s="14">
        <v>45898.350821759261</v>
      </c>
      <c r="F270" s="6" t="s">
        <v>23</v>
      </c>
      <c r="G270" s="6" t="s">
        <v>23</v>
      </c>
      <c r="H270" s="6" t="s">
        <v>1137</v>
      </c>
      <c r="I270" s="6" t="s">
        <v>16</v>
      </c>
      <c r="J270" s="6" t="s">
        <v>1138</v>
      </c>
      <c r="K270" s="6" t="s">
        <v>369</v>
      </c>
      <c r="L270" s="6" t="s">
        <v>369</v>
      </c>
      <c r="M270" s="14">
        <v>45897.568055555559</v>
      </c>
      <c r="N270" s="6" t="s">
        <v>1139</v>
      </c>
      <c r="O270" s="6" t="s">
        <v>91</v>
      </c>
      <c r="P270" s="6" t="s">
        <v>276</v>
      </c>
      <c r="Q270" s="6" t="s">
        <v>253</v>
      </c>
      <c r="R270" s="6" t="s">
        <v>253</v>
      </c>
      <c r="S270" s="6" t="s">
        <v>9</v>
      </c>
      <c r="T270" s="6" t="s">
        <v>254</v>
      </c>
      <c r="U270" s="6" t="s">
        <v>145</v>
      </c>
      <c r="V270" s="6" t="s">
        <v>1140</v>
      </c>
      <c r="W270" s="6" t="s">
        <v>391</v>
      </c>
      <c r="X270" s="6" t="s">
        <v>91</v>
      </c>
      <c r="Y270" s="6" t="s">
        <v>91</v>
      </c>
      <c r="Z270" s="6" t="s">
        <v>74</v>
      </c>
      <c r="AA270" s="6" t="s">
        <v>91</v>
      </c>
      <c r="AB270" s="6">
        <v>1042</v>
      </c>
      <c r="AC270" s="6">
        <v>52.1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288</v>
      </c>
      <c r="AJ270" s="6" t="s">
        <v>257</v>
      </c>
      <c r="AK270" s="6" t="s">
        <v>16</v>
      </c>
      <c r="AL270" s="6" t="s">
        <v>48</v>
      </c>
      <c r="AM270" s="6" t="s">
        <v>258</v>
      </c>
      <c r="AN270" s="6" t="s">
        <v>20</v>
      </c>
      <c r="AO270" s="6" t="s">
        <v>259</v>
      </c>
      <c r="AP270" s="6" t="s">
        <v>260</v>
      </c>
      <c r="AQ270" s="6" t="s">
        <v>31</v>
      </c>
    </row>
    <row r="271" spans="1:43" x14ac:dyDescent="0.25">
      <c r="A271" s="6">
        <v>22888286</v>
      </c>
      <c r="B271" s="6">
        <v>23663769</v>
      </c>
      <c r="C271" s="6" t="s">
        <v>248</v>
      </c>
      <c r="D271" s="14">
        <v>45908.49763888889</v>
      </c>
      <c r="E271" s="14">
        <v>45912.125798611109</v>
      </c>
      <c r="F271" s="6" t="s">
        <v>17</v>
      </c>
      <c r="G271" s="6" t="s">
        <v>19</v>
      </c>
      <c r="H271" s="6" t="s">
        <v>1141</v>
      </c>
      <c r="I271" s="6" t="s">
        <v>16</v>
      </c>
      <c r="J271" s="6" t="s">
        <v>1142</v>
      </c>
      <c r="K271" s="6" t="s">
        <v>369</v>
      </c>
      <c r="L271" s="6" t="s">
        <v>369</v>
      </c>
      <c r="M271" s="14">
        <v>45908.34375</v>
      </c>
      <c r="N271" s="6" t="s">
        <v>1143</v>
      </c>
      <c r="O271" s="6" t="s">
        <v>91</v>
      </c>
      <c r="P271" s="6" t="s">
        <v>276</v>
      </c>
      <c r="Q271" s="6" t="s">
        <v>253</v>
      </c>
      <c r="R271" s="6" t="s">
        <v>253</v>
      </c>
      <c r="S271" s="6" t="s">
        <v>9</v>
      </c>
      <c r="T271" s="6" t="s">
        <v>254</v>
      </c>
      <c r="U271" s="6" t="s">
        <v>145</v>
      </c>
      <c r="V271" s="6" t="s">
        <v>1140</v>
      </c>
      <c r="W271" s="6" t="s">
        <v>391</v>
      </c>
      <c r="X271" s="6" t="s">
        <v>91</v>
      </c>
      <c r="Y271" s="6" t="s">
        <v>91</v>
      </c>
      <c r="Z271" s="6" t="s">
        <v>74</v>
      </c>
      <c r="AA271" s="6" t="s">
        <v>91</v>
      </c>
      <c r="AB271" s="6">
        <v>5581.9461000000001</v>
      </c>
      <c r="AC271" s="6">
        <v>59.34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288</v>
      </c>
      <c r="AJ271" s="6" t="s">
        <v>257</v>
      </c>
      <c r="AK271" s="6" t="s">
        <v>16</v>
      </c>
      <c r="AL271" s="6" t="s">
        <v>48</v>
      </c>
      <c r="AM271" s="6" t="s">
        <v>258</v>
      </c>
      <c r="AN271" s="6" t="s">
        <v>20</v>
      </c>
      <c r="AO271" s="6" t="s">
        <v>259</v>
      </c>
      <c r="AP271" s="6" t="s">
        <v>260</v>
      </c>
      <c r="AQ271" s="6" t="s">
        <v>31</v>
      </c>
    </row>
    <row r="272" spans="1:43" x14ac:dyDescent="0.25">
      <c r="A272" s="6">
        <v>22910833</v>
      </c>
      <c r="B272" s="6">
        <v>23684016</v>
      </c>
      <c r="C272" s="6" t="s">
        <v>248</v>
      </c>
      <c r="D272" s="14">
        <v>45911.779652777783</v>
      </c>
      <c r="E272" s="14">
        <v>45911.830439814818</v>
      </c>
      <c r="F272" s="6" t="s">
        <v>17</v>
      </c>
      <c r="G272" s="6" t="s">
        <v>17</v>
      </c>
      <c r="H272" s="6" t="s">
        <v>1144</v>
      </c>
      <c r="I272" s="6" t="s">
        <v>337</v>
      </c>
      <c r="J272" s="6" t="s">
        <v>1145</v>
      </c>
      <c r="K272" s="6" t="s">
        <v>344</v>
      </c>
      <c r="L272" s="6" t="s">
        <v>344</v>
      </c>
      <c r="M272" s="14">
        <v>45911.519444444442</v>
      </c>
      <c r="N272" s="6">
        <v>3848</v>
      </c>
      <c r="O272" s="6" t="s">
        <v>1146</v>
      </c>
      <c r="P272" s="6" t="s">
        <v>276</v>
      </c>
      <c r="Q272" s="6" t="s">
        <v>268</v>
      </c>
      <c r="R272" s="6" t="s">
        <v>269</v>
      </c>
      <c r="S272" s="6" t="s">
        <v>8</v>
      </c>
      <c r="T272" s="6" t="s">
        <v>254</v>
      </c>
      <c r="U272" s="6" t="s">
        <v>156</v>
      </c>
      <c r="V272" s="6" t="s">
        <v>1147</v>
      </c>
      <c r="W272" s="6" t="s">
        <v>91</v>
      </c>
      <c r="X272" s="6" t="s">
        <v>91</v>
      </c>
      <c r="Y272" s="6" t="s">
        <v>91</v>
      </c>
      <c r="Z272" s="6" t="s">
        <v>62</v>
      </c>
      <c r="AA272" s="6" t="s">
        <v>91</v>
      </c>
      <c r="AB272" s="6">
        <v>382.88319999999999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1148</v>
      </c>
      <c r="AJ272" s="6" t="s">
        <v>257</v>
      </c>
      <c r="AK272" s="6" t="s">
        <v>12</v>
      </c>
      <c r="AL272" s="6" t="s">
        <v>48</v>
      </c>
      <c r="AM272" s="6" t="s">
        <v>258</v>
      </c>
      <c r="AN272" s="6" t="s">
        <v>20</v>
      </c>
      <c r="AO272" s="6" t="s">
        <v>272</v>
      </c>
      <c r="AP272" s="6" t="s">
        <v>273</v>
      </c>
      <c r="AQ272" s="6" t="s">
        <v>18</v>
      </c>
    </row>
    <row r="273" spans="1:43" x14ac:dyDescent="0.25">
      <c r="A273" s="6">
        <v>22870111</v>
      </c>
      <c r="B273" s="6">
        <v>23649385</v>
      </c>
      <c r="C273" s="6" t="s">
        <v>248</v>
      </c>
      <c r="D273" s="14">
        <v>45904.762939814813</v>
      </c>
      <c r="E273" s="14">
        <v>45904.772141203714</v>
      </c>
      <c r="F273" s="6" t="s">
        <v>21</v>
      </c>
      <c r="G273" s="6" t="s">
        <v>21</v>
      </c>
      <c r="H273" s="6" t="s">
        <v>1149</v>
      </c>
      <c r="I273" s="6" t="s">
        <v>16</v>
      </c>
      <c r="J273" s="6" t="s">
        <v>1150</v>
      </c>
      <c r="K273" s="6" t="s">
        <v>495</v>
      </c>
      <c r="L273" s="6" t="s">
        <v>495</v>
      </c>
      <c r="M273" s="14">
        <v>45904.554166666669</v>
      </c>
      <c r="N273" s="6" t="s">
        <v>1151</v>
      </c>
      <c r="O273" s="6" t="s">
        <v>91</v>
      </c>
      <c r="P273" s="6" t="s">
        <v>276</v>
      </c>
      <c r="Q273" s="6" t="s">
        <v>253</v>
      </c>
      <c r="R273" s="6" t="s">
        <v>253</v>
      </c>
      <c r="S273" s="6" t="s">
        <v>9</v>
      </c>
      <c r="T273" s="6" t="s">
        <v>254</v>
      </c>
      <c r="U273" s="6" t="s">
        <v>143</v>
      </c>
      <c r="V273" s="6" t="s">
        <v>1152</v>
      </c>
      <c r="W273" s="6" t="s">
        <v>91</v>
      </c>
      <c r="X273" s="6" t="s">
        <v>91</v>
      </c>
      <c r="Y273" s="6" t="s">
        <v>91</v>
      </c>
      <c r="Z273" s="6" t="s">
        <v>74</v>
      </c>
      <c r="AA273" s="6" t="s">
        <v>91</v>
      </c>
      <c r="AB273" s="6">
        <v>4208.8288000000002</v>
      </c>
      <c r="AC273" s="6">
        <v>130.74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288</v>
      </c>
      <c r="AJ273" s="6" t="s">
        <v>257</v>
      </c>
      <c r="AK273" s="6" t="s">
        <v>16</v>
      </c>
      <c r="AL273" s="6" t="s">
        <v>48</v>
      </c>
      <c r="AM273" s="6" t="s">
        <v>258</v>
      </c>
      <c r="AN273" s="6" t="s">
        <v>20</v>
      </c>
      <c r="AO273" s="6" t="s">
        <v>259</v>
      </c>
      <c r="AP273" s="6" t="s">
        <v>260</v>
      </c>
      <c r="AQ273" s="6" t="s">
        <v>31</v>
      </c>
    </row>
    <row r="274" spans="1:43" x14ac:dyDescent="0.25">
      <c r="A274" s="6">
        <v>22870112</v>
      </c>
      <c r="B274" s="6">
        <v>23649386</v>
      </c>
      <c r="C274" s="6" t="s">
        <v>248</v>
      </c>
      <c r="D274" s="14">
        <v>45904.763009259259</v>
      </c>
      <c r="E274" s="14">
        <v>45904.772152777783</v>
      </c>
      <c r="F274" s="6" t="s">
        <v>21</v>
      </c>
      <c r="G274" s="6" t="s">
        <v>21</v>
      </c>
      <c r="H274" s="6" t="s">
        <v>1153</v>
      </c>
      <c r="I274" s="6" t="s">
        <v>16</v>
      </c>
      <c r="J274" s="6" t="s">
        <v>1154</v>
      </c>
      <c r="K274" s="6" t="s">
        <v>495</v>
      </c>
      <c r="L274" s="6" t="s">
        <v>495</v>
      </c>
      <c r="M274" s="14">
        <v>45904.537499999999</v>
      </c>
      <c r="N274" s="6" t="s">
        <v>1155</v>
      </c>
      <c r="O274" s="6" t="s">
        <v>91</v>
      </c>
      <c r="P274" s="6" t="s">
        <v>276</v>
      </c>
      <c r="Q274" s="6" t="s">
        <v>253</v>
      </c>
      <c r="R274" s="6" t="s">
        <v>253</v>
      </c>
      <c r="S274" s="6" t="s">
        <v>9</v>
      </c>
      <c r="T274" s="6" t="s">
        <v>254</v>
      </c>
      <c r="U274" s="6" t="s">
        <v>143</v>
      </c>
      <c r="V274" s="6" t="s">
        <v>1152</v>
      </c>
      <c r="W274" s="6" t="s">
        <v>91</v>
      </c>
      <c r="X274" s="6" t="s">
        <v>91</v>
      </c>
      <c r="Y274" s="6" t="s">
        <v>91</v>
      </c>
      <c r="Z274" s="6" t="s">
        <v>74</v>
      </c>
      <c r="AA274" s="6" t="s">
        <v>91</v>
      </c>
      <c r="AB274" s="6">
        <v>4207.7352000000001</v>
      </c>
      <c r="AC274" s="6">
        <v>130.72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288</v>
      </c>
      <c r="AJ274" s="6" t="s">
        <v>257</v>
      </c>
      <c r="AK274" s="6" t="s">
        <v>16</v>
      </c>
      <c r="AL274" s="6" t="s">
        <v>48</v>
      </c>
      <c r="AM274" s="6" t="s">
        <v>258</v>
      </c>
      <c r="AN274" s="6" t="s">
        <v>20</v>
      </c>
      <c r="AO274" s="6" t="s">
        <v>259</v>
      </c>
      <c r="AP274" s="6" t="s">
        <v>260</v>
      </c>
      <c r="AQ274" s="6" t="s">
        <v>31</v>
      </c>
    </row>
    <row r="275" spans="1:43" x14ac:dyDescent="0.25">
      <c r="A275" s="6">
        <v>22870114</v>
      </c>
      <c r="B275" s="6">
        <v>23649388</v>
      </c>
      <c r="C275" s="6" t="s">
        <v>248</v>
      </c>
      <c r="D275" s="14">
        <v>45904.763078703712</v>
      </c>
      <c r="E275" s="14">
        <v>45904.772175925929</v>
      </c>
      <c r="F275" s="6" t="s">
        <v>21</v>
      </c>
      <c r="G275" s="6" t="s">
        <v>21</v>
      </c>
      <c r="H275" s="6" t="s">
        <v>1156</v>
      </c>
      <c r="I275" s="6" t="s">
        <v>16</v>
      </c>
      <c r="J275" s="6" t="s">
        <v>1157</v>
      </c>
      <c r="K275" s="6" t="s">
        <v>495</v>
      </c>
      <c r="L275" s="6" t="s">
        <v>495</v>
      </c>
      <c r="M275" s="14">
        <v>45904.53402777778</v>
      </c>
      <c r="N275" s="6" t="s">
        <v>1158</v>
      </c>
      <c r="O275" s="6" t="s">
        <v>91</v>
      </c>
      <c r="P275" s="6" t="s">
        <v>276</v>
      </c>
      <c r="Q275" s="6" t="s">
        <v>253</v>
      </c>
      <c r="R275" s="6" t="s">
        <v>253</v>
      </c>
      <c r="S275" s="6" t="s">
        <v>9</v>
      </c>
      <c r="T275" s="6" t="s">
        <v>254</v>
      </c>
      <c r="U275" s="6" t="s">
        <v>143</v>
      </c>
      <c r="V275" s="6" t="s">
        <v>1152</v>
      </c>
      <c r="W275" s="6" t="s">
        <v>91</v>
      </c>
      <c r="X275" s="6" t="s">
        <v>91</v>
      </c>
      <c r="Y275" s="6" t="s">
        <v>91</v>
      </c>
      <c r="Z275" s="6" t="s">
        <v>74</v>
      </c>
      <c r="AA275" s="6" t="s">
        <v>91</v>
      </c>
      <c r="AB275" s="6">
        <v>3156.6215999999999</v>
      </c>
      <c r="AC275" s="6">
        <v>108.74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 t="s">
        <v>288</v>
      </c>
      <c r="AJ275" s="6" t="s">
        <v>257</v>
      </c>
      <c r="AK275" s="6" t="s">
        <v>16</v>
      </c>
      <c r="AL275" s="6" t="s">
        <v>48</v>
      </c>
      <c r="AM275" s="6" t="s">
        <v>258</v>
      </c>
      <c r="AN275" s="6" t="s">
        <v>20</v>
      </c>
      <c r="AO275" s="6" t="s">
        <v>259</v>
      </c>
      <c r="AP275" s="6" t="s">
        <v>260</v>
      </c>
      <c r="AQ275" s="6" t="s">
        <v>31</v>
      </c>
    </row>
    <row r="276" spans="1:43" x14ac:dyDescent="0.25">
      <c r="A276" s="6">
        <v>22870116</v>
      </c>
      <c r="B276" s="6">
        <v>23649390</v>
      </c>
      <c r="C276" s="6" t="s">
        <v>248</v>
      </c>
      <c r="D276" s="14">
        <v>45904.763148148151</v>
      </c>
      <c r="E276" s="14">
        <v>45904.772187499999</v>
      </c>
      <c r="F276" s="6" t="s">
        <v>21</v>
      </c>
      <c r="G276" s="6" t="s">
        <v>21</v>
      </c>
      <c r="H276" s="6" t="s">
        <v>1159</v>
      </c>
      <c r="I276" s="6" t="s">
        <v>16</v>
      </c>
      <c r="J276" s="6" t="s">
        <v>1160</v>
      </c>
      <c r="K276" s="6" t="s">
        <v>495</v>
      </c>
      <c r="L276" s="6" t="s">
        <v>495</v>
      </c>
      <c r="M276" s="14">
        <v>45904.529166666667</v>
      </c>
      <c r="N276" s="6" t="s">
        <v>1161</v>
      </c>
      <c r="O276" s="6" t="s">
        <v>91</v>
      </c>
      <c r="P276" s="6" t="s">
        <v>276</v>
      </c>
      <c r="Q276" s="6" t="s">
        <v>253</v>
      </c>
      <c r="R276" s="6" t="s">
        <v>253</v>
      </c>
      <c r="S276" s="6" t="s">
        <v>9</v>
      </c>
      <c r="T276" s="6" t="s">
        <v>254</v>
      </c>
      <c r="U276" s="6" t="s">
        <v>143</v>
      </c>
      <c r="V276" s="6" t="s">
        <v>1152</v>
      </c>
      <c r="W276" s="6" t="s">
        <v>91</v>
      </c>
      <c r="X276" s="6" t="s">
        <v>91</v>
      </c>
      <c r="Y276" s="6" t="s">
        <v>91</v>
      </c>
      <c r="Z276" s="6" t="s">
        <v>74</v>
      </c>
      <c r="AA276" s="6" t="s">
        <v>91</v>
      </c>
      <c r="AB276" s="6">
        <v>3155.8013999999998</v>
      </c>
      <c r="AC276" s="6">
        <v>108.72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288</v>
      </c>
      <c r="AJ276" s="6" t="s">
        <v>257</v>
      </c>
      <c r="AK276" s="6" t="s">
        <v>16</v>
      </c>
      <c r="AL276" s="6" t="s">
        <v>48</v>
      </c>
      <c r="AM276" s="6" t="s">
        <v>258</v>
      </c>
      <c r="AN276" s="6" t="s">
        <v>20</v>
      </c>
      <c r="AO276" s="6" t="s">
        <v>259</v>
      </c>
      <c r="AP276" s="6" t="s">
        <v>260</v>
      </c>
      <c r="AQ276" s="6" t="s">
        <v>31</v>
      </c>
    </row>
    <row r="277" spans="1:43" x14ac:dyDescent="0.25">
      <c r="A277" s="6">
        <v>22905127</v>
      </c>
      <c r="B277" s="6">
        <v>23679095</v>
      </c>
      <c r="C277" s="6" t="s">
        <v>248</v>
      </c>
      <c r="D277" s="14">
        <v>45910.885625000003</v>
      </c>
      <c r="E277" s="14">
        <v>45910.894166666672</v>
      </c>
      <c r="F277" s="6" t="s">
        <v>17</v>
      </c>
      <c r="G277" s="6" t="s">
        <v>17</v>
      </c>
      <c r="H277" s="6" t="s">
        <v>1162</v>
      </c>
      <c r="I277" s="6" t="s">
        <v>16</v>
      </c>
      <c r="J277" s="6" t="s">
        <v>1163</v>
      </c>
      <c r="K277" s="6" t="s">
        <v>623</v>
      </c>
      <c r="L277" s="6" t="s">
        <v>623</v>
      </c>
      <c r="M277" s="14">
        <v>45905.567361111112</v>
      </c>
      <c r="N277" s="6" t="s">
        <v>1164</v>
      </c>
      <c r="O277" s="6" t="s">
        <v>91</v>
      </c>
      <c r="P277" s="6" t="s">
        <v>276</v>
      </c>
      <c r="Q277" s="6" t="s">
        <v>253</v>
      </c>
      <c r="R277" s="6" t="s">
        <v>253</v>
      </c>
      <c r="S277" s="6" t="s">
        <v>9</v>
      </c>
      <c r="T277" s="6" t="s">
        <v>254</v>
      </c>
      <c r="U277" s="6" t="s">
        <v>143</v>
      </c>
      <c r="V277" s="6" t="s">
        <v>1152</v>
      </c>
      <c r="W277" s="6" t="s">
        <v>91</v>
      </c>
      <c r="X277" s="6" t="s">
        <v>91</v>
      </c>
      <c r="Y277" s="6" t="s">
        <v>91</v>
      </c>
      <c r="Z277" s="6" t="s">
        <v>74</v>
      </c>
      <c r="AA277" s="6" t="s">
        <v>91</v>
      </c>
      <c r="AB277" s="6">
        <v>8011.25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 t="s">
        <v>288</v>
      </c>
      <c r="AJ277" s="6" t="s">
        <v>257</v>
      </c>
      <c r="AK277" s="6" t="s">
        <v>16</v>
      </c>
      <c r="AL277" s="6" t="s">
        <v>48</v>
      </c>
      <c r="AM277" s="6" t="s">
        <v>258</v>
      </c>
      <c r="AN277" s="6" t="s">
        <v>20</v>
      </c>
      <c r="AO277" s="6" t="s">
        <v>272</v>
      </c>
      <c r="AP277" s="6" t="s">
        <v>273</v>
      </c>
      <c r="AQ277" s="6" t="s">
        <v>34</v>
      </c>
    </row>
    <row r="278" spans="1:43" x14ac:dyDescent="0.25">
      <c r="A278" s="6">
        <v>22898207</v>
      </c>
      <c r="B278" s="6">
        <v>23673065</v>
      </c>
      <c r="C278" s="6" t="s">
        <v>248</v>
      </c>
      <c r="D278" s="14">
        <v>45909.829432870371</v>
      </c>
      <c r="E278" s="14">
        <v>45911.597766203697</v>
      </c>
      <c r="F278" s="6" t="s">
        <v>17</v>
      </c>
      <c r="G278" s="6" t="s">
        <v>19</v>
      </c>
      <c r="H278" s="6" t="s">
        <v>1165</v>
      </c>
      <c r="I278" s="6" t="s">
        <v>337</v>
      </c>
      <c r="J278" s="6" t="s">
        <v>1166</v>
      </c>
      <c r="K278" s="6" t="s">
        <v>344</v>
      </c>
      <c r="L278" s="6" t="s">
        <v>344</v>
      </c>
      <c r="M278" s="14">
        <v>45909.603472222218</v>
      </c>
      <c r="N278" s="6">
        <v>27976</v>
      </c>
      <c r="O278" s="6" t="s">
        <v>1167</v>
      </c>
      <c r="P278" s="6" t="s">
        <v>276</v>
      </c>
      <c r="Q278" s="6" t="s">
        <v>268</v>
      </c>
      <c r="R278" s="6" t="s">
        <v>269</v>
      </c>
      <c r="S278" s="6" t="s">
        <v>8</v>
      </c>
      <c r="T278" s="6" t="s">
        <v>254</v>
      </c>
      <c r="U278" s="6" t="s">
        <v>138</v>
      </c>
      <c r="V278" s="6" t="s">
        <v>1168</v>
      </c>
      <c r="W278" s="6" t="s">
        <v>91</v>
      </c>
      <c r="X278" s="6" t="s">
        <v>91</v>
      </c>
      <c r="Y278" s="6" t="s">
        <v>91</v>
      </c>
      <c r="Z278" s="6" t="s">
        <v>78</v>
      </c>
      <c r="AA278" s="6" t="s">
        <v>91</v>
      </c>
      <c r="AB278" s="6">
        <v>300.47359999999998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1169</v>
      </c>
      <c r="AJ278" s="6" t="s">
        <v>257</v>
      </c>
      <c r="AK278" s="6" t="s">
        <v>12</v>
      </c>
      <c r="AL278" s="6" t="s">
        <v>48</v>
      </c>
      <c r="AM278" s="6" t="s">
        <v>258</v>
      </c>
      <c r="AN278" s="6" t="s">
        <v>20</v>
      </c>
      <c r="AO278" s="6" t="s">
        <v>272</v>
      </c>
      <c r="AP278" s="6" t="s">
        <v>273</v>
      </c>
      <c r="AQ278" s="6" t="s">
        <v>18</v>
      </c>
    </row>
    <row r="279" spans="1:43" x14ac:dyDescent="0.25">
      <c r="A279" s="6">
        <v>22861468</v>
      </c>
      <c r="B279" s="6">
        <v>23641462</v>
      </c>
      <c r="C279" s="6" t="s">
        <v>248</v>
      </c>
      <c r="D279" s="14">
        <v>45903.566099537027</v>
      </c>
      <c r="E279" s="14">
        <v>45903.569884259261</v>
      </c>
      <c r="F279" s="6" t="s">
        <v>23</v>
      </c>
      <c r="G279" s="6" t="s">
        <v>23</v>
      </c>
      <c r="H279" s="6" t="s">
        <v>1170</v>
      </c>
      <c r="I279" s="6" t="s">
        <v>13</v>
      </c>
      <c r="J279" s="6" t="s">
        <v>1171</v>
      </c>
      <c r="K279" s="6" t="s">
        <v>1172</v>
      </c>
      <c r="L279" s="6" t="s">
        <v>1172</v>
      </c>
      <c r="M279" s="14">
        <v>45903.55972222222</v>
      </c>
      <c r="N279" s="6">
        <v>4591950</v>
      </c>
      <c r="O279" s="6" t="s">
        <v>1173</v>
      </c>
      <c r="P279" s="6" t="s">
        <v>252</v>
      </c>
      <c r="Q279" s="6" t="s">
        <v>268</v>
      </c>
      <c r="R279" s="6" t="s">
        <v>269</v>
      </c>
      <c r="S279" s="6" t="s">
        <v>8</v>
      </c>
      <c r="T279" s="6" t="s">
        <v>254</v>
      </c>
      <c r="U279" s="6" t="s">
        <v>196</v>
      </c>
      <c r="V279" s="6" t="s">
        <v>1174</v>
      </c>
      <c r="W279" s="6" t="s">
        <v>91</v>
      </c>
      <c r="X279" s="6" t="s">
        <v>91</v>
      </c>
      <c r="Y279" s="6" t="s">
        <v>91</v>
      </c>
      <c r="Z279" s="6" t="s">
        <v>126</v>
      </c>
      <c r="AA279" s="6" t="s">
        <v>91</v>
      </c>
      <c r="AB279" s="6">
        <v>231.69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1175</v>
      </c>
      <c r="AJ279" s="6" t="s">
        <v>257</v>
      </c>
      <c r="AK279" s="6" t="s">
        <v>13</v>
      </c>
      <c r="AL279" s="6" t="s">
        <v>48</v>
      </c>
      <c r="AM279" s="6" t="s">
        <v>258</v>
      </c>
      <c r="AN279" s="6" t="s">
        <v>20</v>
      </c>
      <c r="AO279" s="6" t="s">
        <v>272</v>
      </c>
      <c r="AP279" s="6" t="s">
        <v>273</v>
      </c>
      <c r="AQ279" s="6" t="s">
        <v>18</v>
      </c>
    </row>
    <row r="280" spans="1:43" x14ac:dyDescent="0.25">
      <c r="A280" s="6">
        <v>22903246</v>
      </c>
      <c r="B280" s="6">
        <v>23677338</v>
      </c>
      <c r="C280" s="6" t="s">
        <v>248</v>
      </c>
      <c r="D280" s="14">
        <v>45910.717534722222</v>
      </c>
      <c r="E280" s="14">
        <v>45911.178344907406</v>
      </c>
      <c r="F280" s="6" t="s">
        <v>17</v>
      </c>
      <c r="G280" s="6" t="s">
        <v>17</v>
      </c>
      <c r="H280" s="6" t="s">
        <v>1176</v>
      </c>
      <c r="I280" s="6" t="s">
        <v>13</v>
      </c>
      <c r="J280" s="6" t="s">
        <v>1177</v>
      </c>
      <c r="K280" s="6" t="s">
        <v>275</v>
      </c>
      <c r="L280" s="6" t="s">
        <v>275</v>
      </c>
      <c r="M280" s="14">
        <v>45910.654166666667</v>
      </c>
      <c r="N280" s="6">
        <v>4595581</v>
      </c>
      <c r="O280" s="6" t="s">
        <v>91</v>
      </c>
      <c r="P280" s="6" t="s">
        <v>276</v>
      </c>
      <c r="Q280" s="6" t="s">
        <v>253</v>
      </c>
      <c r="R280" s="6" t="s">
        <v>253</v>
      </c>
      <c r="S280" s="6" t="s">
        <v>9</v>
      </c>
      <c r="T280" s="6" t="s">
        <v>254</v>
      </c>
      <c r="U280" s="6" t="s">
        <v>152</v>
      </c>
      <c r="V280" s="6" t="s">
        <v>1178</v>
      </c>
      <c r="W280" s="6" t="s">
        <v>91</v>
      </c>
      <c r="X280" s="6" t="s">
        <v>91</v>
      </c>
      <c r="Y280" s="6" t="s">
        <v>91</v>
      </c>
      <c r="Z280" s="6" t="s">
        <v>92</v>
      </c>
      <c r="AA280" s="6" t="s">
        <v>91</v>
      </c>
      <c r="AB280" s="6">
        <v>566</v>
      </c>
      <c r="AC280" s="6">
        <v>28.3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1179</v>
      </c>
      <c r="AJ280" s="6" t="s">
        <v>257</v>
      </c>
      <c r="AK280" s="6" t="s">
        <v>13</v>
      </c>
      <c r="AL280" s="6" t="s">
        <v>48</v>
      </c>
      <c r="AM280" s="6" t="s">
        <v>258</v>
      </c>
      <c r="AN280" s="6" t="s">
        <v>20</v>
      </c>
      <c r="AO280" s="6" t="s">
        <v>259</v>
      </c>
      <c r="AP280" s="6" t="s">
        <v>260</v>
      </c>
      <c r="AQ280" s="6" t="s">
        <v>31</v>
      </c>
    </row>
    <row r="281" spans="1:43" x14ac:dyDescent="0.25">
      <c r="A281" s="6">
        <v>22903247</v>
      </c>
      <c r="B281" s="6">
        <v>23677339</v>
      </c>
      <c r="C281" s="6" t="s">
        <v>248</v>
      </c>
      <c r="D281" s="14">
        <v>45910.717569444438</v>
      </c>
      <c r="E281" s="14">
        <v>45911.178368055553</v>
      </c>
      <c r="F281" s="6" t="s">
        <v>17</v>
      </c>
      <c r="G281" s="6" t="s">
        <v>17</v>
      </c>
      <c r="H281" s="6" t="s">
        <v>1180</v>
      </c>
      <c r="I281" s="6" t="s">
        <v>13</v>
      </c>
      <c r="J281" s="6" t="s">
        <v>1177</v>
      </c>
      <c r="K281" s="6" t="s">
        <v>275</v>
      </c>
      <c r="L281" s="6" t="s">
        <v>275</v>
      </c>
      <c r="M281" s="14">
        <v>45910.65625</v>
      </c>
      <c r="N281" s="6">
        <v>4595589</v>
      </c>
      <c r="O281" s="6" t="s">
        <v>91</v>
      </c>
      <c r="P281" s="6" t="s">
        <v>276</v>
      </c>
      <c r="Q281" s="6" t="s">
        <v>253</v>
      </c>
      <c r="R281" s="6" t="s">
        <v>253</v>
      </c>
      <c r="S281" s="6" t="s">
        <v>9</v>
      </c>
      <c r="T281" s="6" t="s">
        <v>254</v>
      </c>
      <c r="U281" s="6" t="s">
        <v>152</v>
      </c>
      <c r="V281" s="6" t="s">
        <v>1178</v>
      </c>
      <c r="W281" s="6" t="s">
        <v>91</v>
      </c>
      <c r="X281" s="6" t="s">
        <v>91</v>
      </c>
      <c r="Y281" s="6" t="s">
        <v>91</v>
      </c>
      <c r="Z281" s="6" t="s">
        <v>92</v>
      </c>
      <c r="AA281" s="6" t="s">
        <v>91</v>
      </c>
      <c r="AB281" s="6">
        <v>566</v>
      </c>
      <c r="AC281" s="6">
        <v>28.3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1181</v>
      </c>
      <c r="AJ281" s="6" t="s">
        <v>257</v>
      </c>
      <c r="AK281" s="6" t="s">
        <v>13</v>
      </c>
      <c r="AL281" s="6" t="s">
        <v>48</v>
      </c>
      <c r="AM281" s="6" t="s">
        <v>258</v>
      </c>
      <c r="AN281" s="6" t="s">
        <v>20</v>
      </c>
      <c r="AO281" s="6" t="s">
        <v>259</v>
      </c>
      <c r="AP281" s="6" t="s">
        <v>260</v>
      </c>
      <c r="AQ281" s="6" t="s">
        <v>31</v>
      </c>
    </row>
    <row r="282" spans="1:43" x14ac:dyDescent="0.25">
      <c r="A282" s="6">
        <v>22901242</v>
      </c>
      <c r="B282" s="6">
        <v>23675401</v>
      </c>
      <c r="C282" s="6" t="s">
        <v>248</v>
      </c>
      <c r="D282" s="14">
        <v>45910.476944444446</v>
      </c>
      <c r="E282" s="14">
        <v>45911.159155092602</v>
      </c>
      <c r="F282" s="6" t="s">
        <v>17</v>
      </c>
      <c r="G282" s="6" t="s">
        <v>17</v>
      </c>
      <c r="H282" s="6" t="s">
        <v>1182</v>
      </c>
      <c r="I282" s="6" t="s">
        <v>13</v>
      </c>
      <c r="J282" s="6" t="s">
        <v>1183</v>
      </c>
      <c r="K282" s="6" t="s">
        <v>275</v>
      </c>
      <c r="L282" s="6" t="s">
        <v>275</v>
      </c>
      <c r="M282" s="14">
        <v>45910.468055555553</v>
      </c>
      <c r="N282" s="6">
        <v>4595363</v>
      </c>
      <c r="O282" s="6" t="s">
        <v>91</v>
      </c>
      <c r="P282" s="6" t="s">
        <v>252</v>
      </c>
      <c r="Q282" s="6" t="s">
        <v>268</v>
      </c>
      <c r="R282" s="6" t="s">
        <v>269</v>
      </c>
      <c r="S282" s="6" t="s">
        <v>9</v>
      </c>
      <c r="T282" s="6" t="s">
        <v>254</v>
      </c>
      <c r="U282" s="6" t="s">
        <v>152</v>
      </c>
      <c r="V282" s="6" t="s">
        <v>1178</v>
      </c>
      <c r="W282" s="6" t="s">
        <v>91</v>
      </c>
      <c r="X282" s="6" t="s">
        <v>91</v>
      </c>
      <c r="Y282" s="6" t="s">
        <v>91</v>
      </c>
      <c r="Z282" s="6" t="s">
        <v>92</v>
      </c>
      <c r="AA282" s="6" t="s">
        <v>91</v>
      </c>
      <c r="AB282" s="6">
        <v>3912.36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1184</v>
      </c>
      <c r="AJ282" s="6" t="s">
        <v>257</v>
      </c>
      <c r="AK282" s="6" t="s">
        <v>13</v>
      </c>
      <c r="AL282" s="6" t="s">
        <v>48</v>
      </c>
      <c r="AM282" s="6" t="s">
        <v>258</v>
      </c>
      <c r="AN282" s="6" t="s">
        <v>20</v>
      </c>
      <c r="AO282" s="6" t="s">
        <v>259</v>
      </c>
      <c r="AP282" s="6" t="s">
        <v>260</v>
      </c>
      <c r="AQ282" s="6" t="s">
        <v>31</v>
      </c>
    </row>
    <row r="283" spans="1:43" x14ac:dyDescent="0.25">
      <c r="A283" s="6">
        <v>22896637</v>
      </c>
      <c r="B283" s="6">
        <v>23671556</v>
      </c>
      <c r="C283" s="6" t="s">
        <v>248</v>
      </c>
      <c r="D283" s="14">
        <v>45909.705347222232</v>
      </c>
      <c r="E283" s="14">
        <v>45910.159016203703</v>
      </c>
      <c r="F283" s="6" t="s">
        <v>17</v>
      </c>
      <c r="G283" s="6" t="s">
        <v>19</v>
      </c>
      <c r="H283" s="6" t="s">
        <v>1185</v>
      </c>
      <c r="I283" s="6" t="s">
        <v>13</v>
      </c>
      <c r="J283" s="6" t="s">
        <v>1186</v>
      </c>
      <c r="K283" s="6" t="s">
        <v>275</v>
      </c>
      <c r="L283" s="6" t="s">
        <v>275</v>
      </c>
      <c r="M283" s="14">
        <v>45909.696527777778</v>
      </c>
      <c r="N283" s="6">
        <v>4595035</v>
      </c>
      <c r="O283" s="6" t="s">
        <v>91</v>
      </c>
      <c r="P283" s="6" t="s">
        <v>276</v>
      </c>
      <c r="Q283" s="6" t="s">
        <v>253</v>
      </c>
      <c r="R283" s="6" t="s">
        <v>253</v>
      </c>
      <c r="S283" s="6" t="s">
        <v>9</v>
      </c>
      <c r="T283" s="6" t="s">
        <v>254</v>
      </c>
      <c r="U283" s="6" t="s">
        <v>152</v>
      </c>
      <c r="V283" s="6" t="s">
        <v>1178</v>
      </c>
      <c r="W283" s="6" t="s">
        <v>91</v>
      </c>
      <c r="X283" s="6" t="s">
        <v>91</v>
      </c>
      <c r="Y283" s="6" t="s">
        <v>91</v>
      </c>
      <c r="Z283" s="6" t="s">
        <v>92</v>
      </c>
      <c r="AA283" s="6" t="s">
        <v>91</v>
      </c>
      <c r="AB283" s="6">
        <v>249</v>
      </c>
      <c r="AC283" s="6">
        <v>37.35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1187</v>
      </c>
      <c r="AJ283" s="6" t="s">
        <v>257</v>
      </c>
      <c r="AK283" s="6" t="s">
        <v>13</v>
      </c>
      <c r="AL283" s="6" t="s">
        <v>48</v>
      </c>
      <c r="AM283" s="6" t="s">
        <v>258</v>
      </c>
      <c r="AN283" s="6" t="s">
        <v>20</v>
      </c>
      <c r="AO283" s="6" t="s">
        <v>259</v>
      </c>
      <c r="AP283" s="6" t="s">
        <v>260</v>
      </c>
      <c r="AQ283" s="6" t="s">
        <v>31</v>
      </c>
    </row>
    <row r="284" spans="1:43" x14ac:dyDescent="0.25">
      <c r="A284" s="6">
        <v>22903053</v>
      </c>
      <c r="B284" s="6">
        <v>23677158</v>
      </c>
      <c r="C284" s="6" t="s">
        <v>248</v>
      </c>
      <c r="D284" s="14">
        <v>45910.685081018521</v>
      </c>
      <c r="E284" s="14">
        <v>45911.173472222217</v>
      </c>
      <c r="F284" s="6" t="s">
        <v>17</v>
      </c>
      <c r="G284" s="6" t="s">
        <v>17</v>
      </c>
      <c r="H284" s="6" t="s">
        <v>1188</v>
      </c>
      <c r="I284" s="6" t="s">
        <v>13</v>
      </c>
      <c r="J284" s="6" t="s">
        <v>1189</v>
      </c>
      <c r="K284" s="6" t="s">
        <v>1190</v>
      </c>
      <c r="L284" s="6" t="s">
        <v>1190</v>
      </c>
      <c r="M284" s="14">
        <v>45910.679166666669</v>
      </c>
      <c r="N284" s="6">
        <v>4595597</v>
      </c>
      <c r="O284" s="6" t="s">
        <v>91</v>
      </c>
      <c r="P284" s="6" t="s">
        <v>252</v>
      </c>
      <c r="Q284" s="6" t="s">
        <v>318</v>
      </c>
      <c r="R284" s="6" t="s">
        <v>318</v>
      </c>
      <c r="S284" s="6" t="s">
        <v>9</v>
      </c>
      <c r="T284" s="6" t="s">
        <v>254</v>
      </c>
      <c r="U284" s="6" t="s">
        <v>152</v>
      </c>
      <c r="V284" s="6" t="s">
        <v>1178</v>
      </c>
      <c r="W284" s="6" t="s">
        <v>91</v>
      </c>
      <c r="X284" s="6" t="s">
        <v>91</v>
      </c>
      <c r="Y284" s="6" t="s">
        <v>91</v>
      </c>
      <c r="Z284" s="6" t="s">
        <v>92</v>
      </c>
      <c r="AA284" s="6" t="s">
        <v>91</v>
      </c>
      <c r="AB284" s="6">
        <v>14448.4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1191</v>
      </c>
      <c r="AJ284" s="6" t="s">
        <v>257</v>
      </c>
      <c r="AK284" s="6" t="s">
        <v>13</v>
      </c>
      <c r="AL284" s="6" t="s">
        <v>48</v>
      </c>
      <c r="AM284" s="6" t="s">
        <v>258</v>
      </c>
      <c r="AN284" s="6" t="s">
        <v>20</v>
      </c>
      <c r="AO284" s="6" t="s">
        <v>259</v>
      </c>
      <c r="AP284" s="6" t="s">
        <v>260</v>
      </c>
      <c r="AQ284" s="6" t="s">
        <v>31</v>
      </c>
    </row>
    <row r="285" spans="1:43" x14ac:dyDescent="0.25">
      <c r="A285" s="6">
        <v>22903596</v>
      </c>
      <c r="B285" s="6">
        <v>23677671</v>
      </c>
      <c r="C285" s="6" t="s">
        <v>248</v>
      </c>
      <c r="D285" s="14">
        <v>45910.75408564815</v>
      </c>
      <c r="E285" s="14">
        <v>45911.191354166673</v>
      </c>
      <c r="F285" s="6" t="s">
        <v>17</v>
      </c>
      <c r="G285" s="6" t="s">
        <v>17</v>
      </c>
      <c r="H285" s="6" t="s">
        <v>1192</v>
      </c>
      <c r="I285" s="6" t="s">
        <v>13</v>
      </c>
      <c r="J285" s="6" t="s">
        <v>1193</v>
      </c>
      <c r="K285" s="6" t="s">
        <v>1194</v>
      </c>
      <c r="L285" s="6" t="s">
        <v>1194</v>
      </c>
      <c r="M285" s="14">
        <v>45910.746527777781</v>
      </c>
      <c r="N285" s="6">
        <v>4595168</v>
      </c>
      <c r="O285" s="6" t="s">
        <v>91</v>
      </c>
      <c r="P285" s="6" t="s">
        <v>252</v>
      </c>
      <c r="Q285" s="6" t="s">
        <v>253</v>
      </c>
      <c r="R285" s="6" t="s">
        <v>253</v>
      </c>
      <c r="S285" s="6" t="s">
        <v>9</v>
      </c>
      <c r="T285" s="6" t="s">
        <v>254</v>
      </c>
      <c r="U285" s="6" t="s">
        <v>152</v>
      </c>
      <c r="V285" s="6" t="s">
        <v>1178</v>
      </c>
      <c r="W285" s="6" t="s">
        <v>91</v>
      </c>
      <c r="X285" s="6" t="s">
        <v>91</v>
      </c>
      <c r="Y285" s="6" t="s">
        <v>91</v>
      </c>
      <c r="Z285" s="6" t="s">
        <v>92</v>
      </c>
      <c r="AA285" s="6" t="s">
        <v>91</v>
      </c>
      <c r="AB285" s="6">
        <v>2095.83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1195</v>
      </c>
      <c r="AJ285" s="6" t="s">
        <v>257</v>
      </c>
      <c r="AK285" s="6" t="s">
        <v>13</v>
      </c>
      <c r="AL285" s="6" t="s">
        <v>48</v>
      </c>
      <c r="AM285" s="6" t="s">
        <v>258</v>
      </c>
      <c r="AN285" s="6" t="s">
        <v>20</v>
      </c>
      <c r="AO285" s="6" t="s">
        <v>259</v>
      </c>
      <c r="AP285" s="6" t="s">
        <v>260</v>
      </c>
      <c r="AQ285" s="6" t="s">
        <v>31</v>
      </c>
    </row>
    <row r="286" spans="1:43" x14ac:dyDescent="0.25">
      <c r="A286" s="6">
        <v>22889820</v>
      </c>
      <c r="B286" s="6">
        <v>23665317</v>
      </c>
      <c r="C286" s="6" t="s">
        <v>248</v>
      </c>
      <c r="D286" s="14">
        <v>45908.637800925928</v>
      </c>
      <c r="E286" s="14">
        <v>45908.642013888893</v>
      </c>
      <c r="F286" s="6" t="s">
        <v>19</v>
      </c>
      <c r="G286" s="6" t="s">
        <v>19</v>
      </c>
      <c r="H286" s="6" t="s">
        <v>1196</v>
      </c>
      <c r="I286" s="6" t="s">
        <v>16</v>
      </c>
      <c r="J286" s="6" t="s">
        <v>1197</v>
      </c>
      <c r="K286" s="6" t="s">
        <v>495</v>
      </c>
      <c r="L286" s="6" t="s">
        <v>495</v>
      </c>
      <c r="M286" s="14">
        <v>45908.384722222218</v>
      </c>
      <c r="N286" s="6" t="s">
        <v>1198</v>
      </c>
      <c r="O286" s="6" t="s">
        <v>1199</v>
      </c>
      <c r="P286" s="6" t="s">
        <v>276</v>
      </c>
      <c r="Q286" s="6" t="s">
        <v>268</v>
      </c>
      <c r="R286" s="6" t="s">
        <v>269</v>
      </c>
      <c r="S286" s="6" t="s">
        <v>8</v>
      </c>
      <c r="T286" s="6" t="s">
        <v>254</v>
      </c>
      <c r="U286" s="6" t="s">
        <v>202</v>
      </c>
      <c r="V286" s="6" t="s">
        <v>1200</v>
      </c>
      <c r="W286" s="6" t="s">
        <v>91</v>
      </c>
      <c r="X286" s="6" t="s">
        <v>91</v>
      </c>
      <c r="Y286" s="6" t="s">
        <v>91</v>
      </c>
      <c r="Z286" s="6" t="s">
        <v>74</v>
      </c>
      <c r="AA286" s="6" t="s">
        <v>91</v>
      </c>
      <c r="AB286" s="6">
        <v>235.74</v>
      </c>
      <c r="AC286" s="6">
        <v>235.12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288</v>
      </c>
      <c r="AJ286" s="6" t="s">
        <v>257</v>
      </c>
      <c r="AK286" s="6" t="s">
        <v>16</v>
      </c>
      <c r="AL286" s="6" t="s">
        <v>48</v>
      </c>
      <c r="AM286" s="6" t="s">
        <v>258</v>
      </c>
      <c r="AN286" s="6" t="s">
        <v>20</v>
      </c>
      <c r="AO286" s="6" t="s">
        <v>272</v>
      </c>
      <c r="AP286" s="6" t="s">
        <v>273</v>
      </c>
      <c r="AQ286" s="6" t="s">
        <v>18</v>
      </c>
    </row>
    <row r="287" spans="1:43" x14ac:dyDescent="0.25">
      <c r="A287" s="6">
        <v>22909649</v>
      </c>
      <c r="B287" s="6">
        <v>23682893</v>
      </c>
      <c r="C287" s="6" t="s">
        <v>248</v>
      </c>
      <c r="D287" s="14">
        <v>45911.676226851851</v>
      </c>
      <c r="E287" s="14">
        <v>45911.680289351847</v>
      </c>
      <c r="F287" s="6" t="s">
        <v>17</v>
      </c>
      <c r="G287" s="6" t="s">
        <v>17</v>
      </c>
      <c r="H287" s="6" t="s">
        <v>1201</v>
      </c>
      <c r="I287" s="6" t="s">
        <v>16</v>
      </c>
      <c r="J287" s="6" t="s">
        <v>1202</v>
      </c>
      <c r="K287" s="6" t="s">
        <v>1203</v>
      </c>
      <c r="L287" s="6" t="s">
        <v>1203</v>
      </c>
      <c r="M287" s="14">
        <v>45911.547222222223</v>
      </c>
      <c r="N287" s="6" t="s">
        <v>1204</v>
      </c>
      <c r="O287" s="6" t="s">
        <v>91</v>
      </c>
      <c r="P287" s="6" t="s">
        <v>252</v>
      </c>
      <c r="Q287" s="6" t="s">
        <v>253</v>
      </c>
      <c r="R287" s="6" t="s">
        <v>253</v>
      </c>
      <c r="S287" s="6" t="s">
        <v>9</v>
      </c>
      <c r="T287" s="6" t="s">
        <v>254</v>
      </c>
      <c r="U287" s="6" t="s">
        <v>187</v>
      </c>
      <c r="V287" s="6" t="s">
        <v>1205</v>
      </c>
      <c r="W287" s="6" t="s">
        <v>91</v>
      </c>
      <c r="X287" s="6" t="s">
        <v>91</v>
      </c>
      <c r="Y287" s="6" t="s">
        <v>91</v>
      </c>
      <c r="Z287" s="6" t="s">
        <v>74</v>
      </c>
      <c r="AA287" s="6" t="s">
        <v>91</v>
      </c>
      <c r="AB287" s="6">
        <v>15446.7616</v>
      </c>
      <c r="AC287" s="6">
        <v>620.91999999999996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288</v>
      </c>
      <c r="AJ287" s="6" t="s">
        <v>257</v>
      </c>
      <c r="AK287" s="6" t="s">
        <v>16</v>
      </c>
      <c r="AL287" s="6" t="s">
        <v>48</v>
      </c>
      <c r="AM287" s="6" t="s">
        <v>258</v>
      </c>
      <c r="AN287" s="6" t="s">
        <v>20</v>
      </c>
      <c r="AO287" s="6" t="s">
        <v>272</v>
      </c>
      <c r="AP287" s="6" t="s">
        <v>273</v>
      </c>
      <c r="AQ287" s="6" t="s">
        <v>18</v>
      </c>
    </row>
    <row r="288" spans="1:43" x14ac:dyDescent="0.25">
      <c r="A288" s="6">
        <v>22909650</v>
      </c>
      <c r="B288" s="6">
        <v>23682894</v>
      </c>
      <c r="C288" s="6" t="s">
        <v>248</v>
      </c>
      <c r="D288" s="14">
        <v>45911.67627314815</v>
      </c>
      <c r="E288" s="14">
        <v>45911.680300925917</v>
      </c>
      <c r="F288" s="6" t="s">
        <v>17</v>
      </c>
      <c r="G288" s="6" t="s">
        <v>17</v>
      </c>
      <c r="H288" s="6" t="s">
        <v>1206</v>
      </c>
      <c r="I288" s="6" t="s">
        <v>16</v>
      </c>
      <c r="J288" s="6" t="s">
        <v>1207</v>
      </c>
      <c r="K288" s="6" t="s">
        <v>1203</v>
      </c>
      <c r="L288" s="6" t="s">
        <v>1203</v>
      </c>
      <c r="M288" s="14">
        <v>45911.574999999997</v>
      </c>
      <c r="N288" s="6" t="s">
        <v>1208</v>
      </c>
      <c r="O288" s="6" t="s">
        <v>91</v>
      </c>
      <c r="P288" s="6" t="s">
        <v>252</v>
      </c>
      <c r="Q288" s="6" t="s">
        <v>268</v>
      </c>
      <c r="R288" s="6" t="s">
        <v>269</v>
      </c>
      <c r="S288" s="6" t="s">
        <v>9</v>
      </c>
      <c r="T288" s="6" t="s">
        <v>254</v>
      </c>
      <c r="U288" s="6" t="s">
        <v>187</v>
      </c>
      <c r="V288" s="6" t="s">
        <v>1209</v>
      </c>
      <c r="W288" s="6" t="s">
        <v>91</v>
      </c>
      <c r="X288" s="6" t="s">
        <v>91</v>
      </c>
      <c r="Y288" s="6" t="s">
        <v>91</v>
      </c>
      <c r="Z288" s="6" t="s">
        <v>74</v>
      </c>
      <c r="AA288" s="6" t="s">
        <v>91</v>
      </c>
      <c r="AB288" s="6">
        <v>5939.85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288</v>
      </c>
      <c r="AJ288" s="6" t="s">
        <v>257</v>
      </c>
      <c r="AK288" s="6" t="s">
        <v>16</v>
      </c>
      <c r="AL288" s="6" t="s">
        <v>48</v>
      </c>
      <c r="AM288" s="6" t="s">
        <v>258</v>
      </c>
      <c r="AN288" s="6" t="s">
        <v>20</v>
      </c>
      <c r="AO288" s="6" t="s">
        <v>272</v>
      </c>
      <c r="AP288" s="6" t="s">
        <v>273</v>
      </c>
      <c r="AQ288" s="6" t="s">
        <v>18</v>
      </c>
    </row>
    <row r="289" spans="1:43" x14ac:dyDescent="0.25">
      <c r="A289" s="6">
        <v>22905650</v>
      </c>
      <c r="B289" s="6">
        <v>23679605</v>
      </c>
      <c r="C289" s="6" t="s">
        <v>248</v>
      </c>
      <c r="D289" s="14">
        <v>45910.94908564815</v>
      </c>
      <c r="E289" s="14">
        <v>45910.956793981481</v>
      </c>
      <c r="F289" s="6" t="s">
        <v>17</v>
      </c>
      <c r="G289" s="6" t="s">
        <v>17</v>
      </c>
      <c r="H289" s="6" t="s">
        <v>1210</v>
      </c>
      <c r="I289" s="6" t="s">
        <v>16</v>
      </c>
      <c r="J289" s="6" t="s">
        <v>1211</v>
      </c>
      <c r="K289" s="6" t="s">
        <v>1212</v>
      </c>
      <c r="L289" s="6" t="s">
        <v>1212</v>
      </c>
      <c r="M289" s="14">
        <v>45909.572916666657</v>
      </c>
      <c r="N289" s="6" t="s">
        <v>1213</v>
      </c>
      <c r="O289" s="6" t="s">
        <v>91</v>
      </c>
      <c r="P289" s="6" t="s">
        <v>252</v>
      </c>
      <c r="Q289" s="6" t="s">
        <v>253</v>
      </c>
      <c r="R289" s="6" t="s">
        <v>253</v>
      </c>
      <c r="S289" s="6" t="s">
        <v>9</v>
      </c>
      <c r="T289" s="6" t="s">
        <v>254</v>
      </c>
      <c r="U289" s="6" t="s">
        <v>118</v>
      </c>
      <c r="V289" s="6" t="s">
        <v>1214</v>
      </c>
      <c r="W289" s="6" t="s">
        <v>91</v>
      </c>
      <c r="X289" s="6" t="s">
        <v>91</v>
      </c>
      <c r="Y289" s="6" t="s">
        <v>91</v>
      </c>
      <c r="Z289" s="6" t="s">
        <v>58</v>
      </c>
      <c r="AA289" s="6" t="s">
        <v>91</v>
      </c>
      <c r="AB289" s="6">
        <v>320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288</v>
      </c>
      <c r="AJ289" s="6" t="s">
        <v>257</v>
      </c>
      <c r="AK289" s="6" t="s">
        <v>16</v>
      </c>
      <c r="AL289" s="6" t="s">
        <v>48</v>
      </c>
      <c r="AM289" s="6" t="s">
        <v>258</v>
      </c>
      <c r="AN289" s="6" t="s">
        <v>20</v>
      </c>
      <c r="AO289" s="6" t="s">
        <v>272</v>
      </c>
      <c r="AP289" s="6" t="s">
        <v>273</v>
      </c>
      <c r="AQ289" s="6" t="s">
        <v>18</v>
      </c>
    </row>
    <row r="290" spans="1:43" x14ac:dyDescent="0.25">
      <c r="A290" s="6">
        <v>22905652</v>
      </c>
      <c r="B290" s="6">
        <v>23679607</v>
      </c>
      <c r="C290" s="6" t="s">
        <v>248</v>
      </c>
      <c r="D290" s="14">
        <v>45910.949201388888</v>
      </c>
      <c r="E290" s="14">
        <v>45910.95684027778</v>
      </c>
      <c r="F290" s="6" t="s">
        <v>17</v>
      </c>
      <c r="G290" s="6" t="s">
        <v>17</v>
      </c>
      <c r="H290" s="6" t="s">
        <v>1215</v>
      </c>
      <c r="I290" s="6" t="s">
        <v>16</v>
      </c>
      <c r="J290" s="6" t="s">
        <v>1216</v>
      </c>
      <c r="K290" s="6" t="s">
        <v>1212</v>
      </c>
      <c r="L290" s="6" t="s">
        <v>1212</v>
      </c>
      <c r="M290" s="14">
        <v>45909.590277777781</v>
      </c>
      <c r="N290" s="6" t="s">
        <v>1217</v>
      </c>
      <c r="O290" s="6" t="s">
        <v>91</v>
      </c>
      <c r="P290" s="6" t="s">
        <v>252</v>
      </c>
      <c r="Q290" s="6" t="s">
        <v>253</v>
      </c>
      <c r="R290" s="6" t="s">
        <v>253</v>
      </c>
      <c r="S290" s="6" t="s">
        <v>9</v>
      </c>
      <c r="T290" s="6" t="s">
        <v>254</v>
      </c>
      <c r="U290" s="6" t="s">
        <v>118</v>
      </c>
      <c r="V290" s="6" t="s">
        <v>1214</v>
      </c>
      <c r="W290" s="6" t="s">
        <v>91</v>
      </c>
      <c r="X290" s="6" t="s">
        <v>91</v>
      </c>
      <c r="Y290" s="6" t="s">
        <v>91</v>
      </c>
      <c r="Z290" s="6" t="s">
        <v>58</v>
      </c>
      <c r="AA290" s="6" t="s">
        <v>91</v>
      </c>
      <c r="AB290" s="6">
        <v>199.5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288</v>
      </c>
      <c r="AJ290" s="6" t="s">
        <v>257</v>
      </c>
      <c r="AK290" s="6" t="s">
        <v>16</v>
      </c>
      <c r="AL290" s="6" t="s">
        <v>48</v>
      </c>
      <c r="AM290" s="6" t="s">
        <v>258</v>
      </c>
      <c r="AN290" s="6" t="s">
        <v>20</v>
      </c>
      <c r="AO290" s="6" t="s">
        <v>272</v>
      </c>
      <c r="AP290" s="6" t="s">
        <v>273</v>
      </c>
      <c r="AQ290" s="6" t="s">
        <v>18</v>
      </c>
    </row>
    <row r="291" spans="1:43" x14ac:dyDescent="0.25">
      <c r="A291" s="6">
        <v>22905654</v>
      </c>
      <c r="B291" s="6">
        <v>23679609</v>
      </c>
      <c r="C291" s="6" t="s">
        <v>248</v>
      </c>
      <c r="D291" s="14">
        <v>45910.949317129627</v>
      </c>
      <c r="E291" s="14">
        <v>45910.956875000003</v>
      </c>
      <c r="F291" s="6" t="s">
        <v>17</v>
      </c>
      <c r="G291" s="6" t="s">
        <v>17</v>
      </c>
      <c r="H291" s="6" t="s">
        <v>1218</v>
      </c>
      <c r="I291" s="6" t="s">
        <v>16</v>
      </c>
      <c r="J291" s="6" t="s">
        <v>1219</v>
      </c>
      <c r="K291" s="6" t="s">
        <v>1212</v>
      </c>
      <c r="L291" s="6" t="s">
        <v>1212</v>
      </c>
      <c r="M291" s="14">
        <v>45909.597916666673</v>
      </c>
      <c r="N291" s="6" t="s">
        <v>1220</v>
      </c>
      <c r="O291" s="6" t="s">
        <v>91</v>
      </c>
      <c r="P291" s="6" t="s">
        <v>252</v>
      </c>
      <c r="Q291" s="6" t="s">
        <v>253</v>
      </c>
      <c r="R291" s="6" t="s">
        <v>253</v>
      </c>
      <c r="S291" s="6" t="s">
        <v>9</v>
      </c>
      <c r="T291" s="6" t="s">
        <v>254</v>
      </c>
      <c r="U291" s="6" t="s">
        <v>118</v>
      </c>
      <c r="V291" s="6" t="s">
        <v>1214</v>
      </c>
      <c r="W291" s="6" t="s">
        <v>91</v>
      </c>
      <c r="X291" s="6" t="s">
        <v>91</v>
      </c>
      <c r="Y291" s="6" t="s">
        <v>91</v>
      </c>
      <c r="Z291" s="6" t="s">
        <v>58</v>
      </c>
      <c r="AA291" s="6" t="s">
        <v>91</v>
      </c>
      <c r="AB291" s="6">
        <v>578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288</v>
      </c>
      <c r="AJ291" s="6" t="s">
        <v>257</v>
      </c>
      <c r="AK291" s="6" t="s">
        <v>16</v>
      </c>
      <c r="AL291" s="6" t="s">
        <v>48</v>
      </c>
      <c r="AM291" s="6" t="s">
        <v>258</v>
      </c>
      <c r="AN291" s="6" t="s">
        <v>20</v>
      </c>
      <c r="AO291" s="6" t="s">
        <v>272</v>
      </c>
      <c r="AP291" s="6" t="s">
        <v>273</v>
      </c>
      <c r="AQ291" s="6" t="s">
        <v>18</v>
      </c>
    </row>
    <row r="292" spans="1:43" x14ac:dyDescent="0.25">
      <c r="A292" s="6">
        <v>22905655</v>
      </c>
      <c r="B292" s="6">
        <v>23679610</v>
      </c>
      <c r="C292" s="6" t="s">
        <v>248</v>
      </c>
      <c r="D292" s="14">
        <v>45910.949363425927</v>
      </c>
      <c r="E292" s="14">
        <v>45910.956886574073</v>
      </c>
      <c r="F292" s="6" t="s">
        <v>17</v>
      </c>
      <c r="G292" s="6" t="s">
        <v>17</v>
      </c>
      <c r="H292" s="6" t="s">
        <v>1221</v>
      </c>
      <c r="I292" s="6" t="s">
        <v>16</v>
      </c>
      <c r="J292" s="6" t="s">
        <v>1216</v>
      </c>
      <c r="K292" s="6" t="s">
        <v>1212</v>
      </c>
      <c r="L292" s="6" t="s">
        <v>1212</v>
      </c>
      <c r="M292" s="14">
        <v>45909.602777777778</v>
      </c>
      <c r="N292" s="6" t="s">
        <v>1222</v>
      </c>
      <c r="O292" s="6" t="s">
        <v>91</v>
      </c>
      <c r="P292" s="6" t="s">
        <v>252</v>
      </c>
      <c r="Q292" s="6" t="s">
        <v>253</v>
      </c>
      <c r="R292" s="6" t="s">
        <v>253</v>
      </c>
      <c r="S292" s="6" t="s">
        <v>9</v>
      </c>
      <c r="T292" s="6" t="s">
        <v>254</v>
      </c>
      <c r="U292" s="6" t="s">
        <v>118</v>
      </c>
      <c r="V292" s="6" t="s">
        <v>1214</v>
      </c>
      <c r="W292" s="6" t="s">
        <v>91</v>
      </c>
      <c r="X292" s="6" t="s">
        <v>91</v>
      </c>
      <c r="Y292" s="6" t="s">
        <v>91</v>
      </c>
      <c r="Z292" s="6" t="s">
        <v>58</v>
      </c>
      <c r="AA292" s="6" t="s">
        <v>91</v>
      </c>
      <c r="AB292" s="6">
        <v>260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288</v>
      </c>
      <c r="AJ292" s="6" t="s">
        <v>257</v>
      </c>
      <c r="AK292" s="6" t="s">
        <v>16</v>
      </c>
      <c r="AL292" s="6" t="s">
        <v>48</v>
      </c>
      <c r="AM292" s="6" t="s">
        <v>258</v>
      </c>
      <c r="AN292" s="6" t="s">
        <v>20</v>
      </c>
      <c r="AO292" s="6" t="s">
        <v>272</v>
      </c>
      <c r="AP292" s="6" t="s">
        <v>273</v>
      </c>
      <c r="AQ292" s="6" t="s">
        <v>18</v>
      </c>
    </row>
    <row r="293" spans="1:43" x14ac:dyDescent="0.25">
      <c r="A293" s="6">
        <v>22905656</v>
      </c>
      <c r="B293" s="6">
        <v>23679611</v>
      </c>
      <c r="C293" s="6" t="s">
        <v>248</v>
      </c>
      <c r="D293" s="14">
        <v>45910.94940972222</v>
      </c>
      <c r="E293" s="14">
        <v>45910.956886574073</v>
      </c>
      <c r="F293" s="6" t="s">
        <v>17</v>
      </c>
      <c r="G293" s="6" t="s">
        <v>17</v>
      </c>
      <c r="H293" s="6" t="s">
        <v>1223</v>
      </c>
      <c r="I293" s="6" t="s">
        <v>16</v>
      </c>
      <c r="J293" s="6" t="s">
        <v>1219</v>
      </c>
      <c r="K293" s="6" t="s">
        <v>1212</v>
      </c>
      <c r="L293" s="6" t="s">
        <v>1212</v>
      </c>
      <c r="M293" s="14">
        <v>45909.604166666657</v>
      </c>
      <c r="N293" s="6" t="s">
        <v>1224</v>
      </c>
      <c r="O293" s="6" t="s">
        <v>91</v>
      </c>
      <c r="P293" s="6" t="s">
        <v>252</v>
      </c>
      <c r="Q293" s="6" t="s">
        <v>253</v>
      </c>
      <c r="R293" s="6" t="s">
        <v>253</v>
      </c>
      <c r="S293" s="6" t="s">
        <v>9</v>
      </c>
      <c r="T293" s="6" t="s">
        <v>254</v>
      </c>
      <c r="U293" s="6" t="s">
        <v>118</v>
      </c>
      <c r="V293" s="6" t="s">
        <v>1214</v>
      </c>
      <c r="W293" s="6" t="s">
        <v>91</v>
      </c>
      <c r="X293" s="6" t="s">
        <v>91</v>
      </c>
      <c r="Y293" s="6" t="s">
        <v>91</v>
      </c>
      <c r="Z293" s="6" t="s">
        <v>58</v>
      </c>
      <c r="AA293" s="6" t="s">
        <v>91</v>
      </c>
      <c r="AB293" s="6">
        <v>460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288</v>
      </c>
      <c r="AJ293" s="6" t="s">
        <v>257</v>
      </c>
      <c r="AK293" s="6" t="s">
        <v>16</v>
      </c>
      <c r="AL293" s="6" t="s">
        <v>48</v>
      </c>
      <c r="AM293" s="6" t="s">
        <v>258</v>
      </c>
      <c r="AN293" s="6" t="s">
        <v>20</v>
      </c>
      <c r="AO293" s="6" t="s">
        <v>272</v>
      </c>
      <c r="AP293" s="6" t="s">
        <v>273</v>
      </c>
      <c r="AQ293" s="6" t="s">
        <v>18</v>
      </c>
    </row>
    <row r="294" spans="1:43" x14ac:dyDescent="0.25">
      <c r="A294" s="6">
        <v>22905657</v>
      </c>
      <c r="B294" s="6">
        <v>23679612</v>
      </c>
      <c r="C294" s="6" t="s">
        <v>248</v>
      </c>
      <c r="D294" s="14">
        <v>45910.949456018519</v>
      </c>
      <c r="E294" s="14">
        <v>45910.95689814815</v>
      </c>
      <c r="F294" s="6" t="s">
        <v>17</v>
      </c>
      <c r="G294" s="6" t="s">
        <v>17</v>
      </c>
      <c r="H294" s="6" t="s">
        <v>1225</v>
      </c>
      <c r="I294" s="6" t="s">
        <v>16</v>
      </c>
      <c r="J294" s="6" t="s">
        <v>1226</v>
      </c>
      <c r="K294" s="6" t="s">
        <v>1212</v>
      </c>
      <c r="L294" s="6" t="s">
        <v>1212</v>
      </c>
      <c r="M294" s="14">
        <v>45909.607638888891</v>
      </c>
      <c r="N294" s="6" t="s">
        <v>1227</v>
      </c>
      <c r="O294" s="6" t="s">
        <v>91</v>
      </c>
      <c r="P294" s="6" t="s">
        <v>252</v>
      </c>
      <c r="Q294" s="6" t="s">
        <v>253</v>
      </c>
      <c r="R294" s="6" t="s">
        <v>253</v>
      </c>
      <c r="S294" s="6" t="s">
        <v>9</v>
      </c>
      <c r="T294" s="6" t="s">
        <v>254</v>
      </c>
      <c r="U294" s="6" t="s">
        <v>118</v>
      </c>
      <c r="V294" s="6" t="s">
        <v>1214</v>
      </c>
      <c r="W294" s="6" t="s">
        <v>91</v>
      </c>
      <c r="X294" s="6" t="s">
        <v>91</v>
      </c>
      <c r="Y294" s="6" t="s">
        <v>91</v>
      </c>
      <c r="Z294" s="6" t="s">
        <v>58</v>
      </c>
      <c r="AA294" s="6" t="s">
        <v>91</v>
      </c>
      <c r="AB294" s="6">
        <v>310.20999999999998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288</v>
      </c>
      <c r="AJ294" s="6" t="s">
        <v>257</v>
      </c>
      <c r="AK294" s="6" t="s">
        <v>16</v>
      </c>
      <c r="AL294" s="6" t="s">
        <v>48</v>
      </c>
      <c r="AM294" s="6" t="s">
        <v>258</v>
      </c>
      <c r="AN294" s="6" t="s">
        <v>20</v>
      </c>
      <c r="AO294" s="6" t="s">
        <v>272</v>
      </c>
      <c r="AP294" s="6" t="s">
        <v>273</v>
      </c>
      <c r="AQ294" s="6" t="s">
        <v>18</v>
      </c>
    </row>
    <row r="295" spans="1:43" x14ac:dyDescent="0.25">
      <c r="A295" s="6">
        <v>22905661</v>
      </c>
      <c r="B295" s="6">
        <v>23679616</v>
      </c>
      <c r="C295" s="6" t="s">
        <v>248</v>
      </c>
      <c r="D295" s="14">
        <v>45910.949629629627</v>
      </c>
      <c r="E295" s="14">
        <v>45910.957013888888</v>
      </c>
      <c r="F295" s="6" t="s">
        <v>17</v>
      </c>
      <c r="G295" s="6" t="s">
        <v>17</v>
      </c>
      <c r="H295" s="6" t="s">
        <v>1228</v>
      </c>
      <c r="I295" s="6" t="s">
        <v>16</v>
      </c>
      <c r="J295" s="6" t="s">
        <v>1229</v>
      </c>
      <c r="K295" s="6" t="s">
        <v>1212</v>
      </c>
      <c r="L295" s="6" t="s">
        <v>1212</v>
      </c>
      <c r="M295" s="14">
        <v>45909.615277777782</v>
      </c>
      <c r="N295" s="6" t="s">
        <v>1230</v>
      </c>
      <c r="O295" s="6" t="s">
        <v>91</v>
      </c>
      <c r="P295" s="6" t="s">
        <v>252</v>
      </c>
      <c r="Q295" s="6" t="s">
        <v>253</v>
      </c>
      <c r="R295" s="6" t="s">
        <v>253</v>
      </c>
      <c r="S295" s="6" t="s">
        <v>9</v>
      </c>
      <c r="T295" s="6" t="s">
        <v>254</v>
      </c>
      <c r="U295" s="6" t="s">
        <v>118</v>
      </c>
      <c r="V295" s="6" t="s">
        <v>1214</v>
      </c>
      <c r="W295" s="6" t="s">
        <v>91</v>
      </c>
      <c r="X295" s="6" t="s">
        <v>91</v>
      </c>
      <c r="Y295" s="6" t="s">
        <v>91</v>
      </c>
      <c r="Z295" s="6" t="s">
        <v>58</v>
      </c>
      <c r="AA295" s="6" t="s">
        <v>91</v>
      </c>
      <c r="AB295" s="6">
        <v>1173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288</v>
      </c>
      <c r="AJ295" s="6" t="s">
        <v>257</v>
      </c>
      <c r="AK295" s="6" t="s">
        <v>16</v>
      </c>
      <c r="AL295" s="6" t="s">
        <v>48</v>
      </c>
      <c r="AM295" s="6" t="s">
        <v>258</v>
      </c>
      <c r="AN295" s="6" t="s">
        <v>20</v>
      </c>
      <c r="AO295" s="6" t="s">
        <v>272</v>
      </c>
      <c r="AP295" s="6" t="s">
        <v>273</v>
      </c>
      <c r="AQ295" s="6" t="s">
        <v>18</v>
      </c>
    </row>
    <row r="296" spans="1:43" x14ac:dyDescent="0.25">
      <c r="A296" s="6">
        <v>22905664</v>
      </c>
      <c r="B296" s="6">
        <v>23679619</v>
      </c>
      <c r="C296" s="6" t="s">
        <v>248</v>
      </c>
      <c r="D296" s="14">
        <v>45910.949756944443</v>
      </c>
      <c r="E296" s="14">
        <v>45910.957094907397</v>
      </c>
      <c r="F296" s="6" t="s">
        <v>17</v>
      </c>
      <c r="G296" s="6" t="s">
        <v>17</v>
      </c>
      <c r="H296" s="6" t="s">
        <v>1231</v>
      </c>
      <c r="I296" s="6" t="s">
        <v>16</v>
      </c>
      <c r="J296" s="6" t="s">
        <v>1232</v>
      </c>
      <c r="K296" s="6" t="s">
        <v>1212</v>
      </c>
      <c r="L296" s="6" t="s">
        <v>1212</v>
      </c>
      <c r="M296" s="14">
        <v>45909.661805555559</v>
      </c>
      <c r="N296" s="6" t="s">
        <v>1233</v>
      </c>
      <c r="O296" s="6" t="s">
        <v>91</v>
      </c>
      <c r="P296" s="6" t="s">
        <v>252</v>
      </c>
      <c r="Q296" s="6" t="s">
        <v>253</v>
      </c>
      <c r="R296" s="6" t="s">
        <v>253</v>
      </c>
      <c r="S296" s="6" t="s">
        <v>9</v>
      </c>
      <c r="T296" s="6" t="s">
        <v>254</v>
      </c>
      <c r="U296" s="6" t="s">
        <v>118</v>
      </c>
      <c r="V296" s="6" t="s">
        <v>1214</v>
      </c>
      <c r="W296" s="6" t="s">
        <v>91</v>
      </c>
      <c r="X296" s="6" t="s">
        <v>91</v>
      </c>
      <c r="Y296" s="6" t="s">
        <v>91</v>
      </c>
      <c r="Z296" s="6" t="s">
        <v>58</v>
      </c>
      <c r="AA296" s="6" t="s">
        <v>91</v>
      </c>
      <c r="AB296" s="6">
        <v>1158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288</v>
      </c>
      <c r="AJ296" s="6" t="s">
        <v>257</v>
      </c>
      <c r="AK296" s="6" t="s">
        <v>16</v>
      </c>
      <c r="AL296" s="6" t="s">
        <v>48</v>
      </c>
      <c r="AM296" s="6" t="s">
        <v>258</v>
      </c>
      <c r="AN296" s="6" t="s">
        <v>20</v>
      </c>
      <c r="AO296" s="6" t="s">
        <v>272</v>
      </c>
      <c r="AP296" s="6" t="s">
        <v>273</v>
      </c>
      <c r="AQ296" s="6" t="s">
        <v>18</v>
      </c>
    </row>
    <row r="297" spans="1:43" x14ac:dyDescent="0.25">
      <c r="A297" s="6">
        <v>22905676</v>
      </c>
      <c r="B297" s="6">
        <v>23679631</v>
      </c>
      <c r="C297" s="6" t="s">
        <v>248</v>
      </c>
      <c r="D297" s="14">
        <v>45910.950219907398</v>
      </c>
      <c r="E297" s="14">
        <v>45910.962696759263</v>
      </c>
      <c r="F297" s="6" t="s">
        <v>17</v>
      </c>
      <c r="G297" s="6" t="s">
        <v>17</v>
      </c>
      <c r="H297" s="6" t="s">
        <v>1234</v>
      </c>
      <c r="I297" s="6" t="s">
        <v>16</v>
      </c>
      <c r="J297" s="6" t="s">
        <v>1235</v>
      </c>
      <c r="K297" s="6" t="s">
        <v>1212</v>
      </c>
      <c r="L297" s="6" t="s">
        <v>1212</v>
      </c>
      <c r="M297" s="14">
        <v>45910.538888888892</v>
      </c>
      <c r="N297" s="6" t="s">
        <v>1236</v>
      </c>
      <c r="O297" s="6" t="s">
        <v>91</v>
      </c>
      <c r="P297" s="6" t="s">
        <v>252</v>
      </c>
      <c r="Q297" s="6" t="s">
        <v>253</v>
      </c>
      <c r="R297" s="6" t="s">
        <v>253</v>
      </c>
      <c r="S297" s="6" t="s">
        <v>9</v>
      </c>
      <c r="T297" s="6" t="s">
        <v>254</v>
      </c>
      <c r="U297" s="6" t="s">
        <v>118</v>
      </c>
      <c r="V297" s="6" t="s">
        <v>1214</v>
      </c>
      <c r="W297" s="6" t="s">
        <v>91</v>
      </c>
      <c r="X297" s="6" t="s">
        <v>91</v>
      </c>
      <c r="Y297" s="6" t="s">
        <v>91</v>
      </c>
      <c r="Z297" s="6" t="s">
        <v>58</v>
      </c>
      <c r="AA297" s="6" t="s">
        <v>91</v>
      </c>
      <c r="AB297" s="6">
        <v>297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288</v>
      </c>
      <c r="AJ297" s="6" t="s">
        <v>257</v>
      </c>
      <c r="AK297" s="6" t="s">
        <v>16</v>
      </c>
      <c r="AL297" s="6" t="s">
        <v>48</v>
      </c>
      <c r="AM297" s="6" t="s">
        <v>258</v>
      </c>
      <c r="AN297" s="6" t="s">
        <v>20</v>
      </c>
      <c r="AO297" s="6" t="s">
        <v>272</v>
      </c>
      <c r="AP297" s="6" t="s">
        <v>273</v>
      </c>
      <c r="AQ297" s="6" t="s">
        <v>18</v>
      </c>
    </row>
    <row r="298" spans="1:43" x14ac:dyDescent="0.25">
      <c r="A298" s="6">
        <v>22905683</v>
      </c>
      <c r="B298" s="6">
        <v>23679640</v>
      </c>
      <c r="C298" s="6" t="s">
        <v>248</v>
      </c>
      <c r="D298" s="14">
        <v>45910.950590277767</v>
      </c>
      <c r="E298" s="14">
        <v>45910.963067129633</v>
      </c>
      <c r="F298" s="6" t="s">
        <v>17</v>
      </c>
      <c r="G298" s="6" t="s">
        <v>17</v>
      </c>
      <c r="H298" s="6" t="s">
        <v>1237</v>
      </c>
      <c r="I298" s="6" t="s">
        <v>16</v>
      </c>
      <c r="J298" s="6" t="s">
        <v>1238</v>
      </c>
      <c r="K298" s="6" t="s">
        <v>1212</v>
      </c>
      <c r="L298" s="6" t="s">
        <v>1212</v>
      </c>
      <c r="M298" s="14">
        <v>45910.566666666673</v>
      </c>
      <c r="N298" s="6" t="s">
        <v>1239</v>
      </c>
      <c r="O298" s="6" t="s">
        <v>91</v>
      </c>
      <c r="P298" s="6" t="s">
        <v>252</v>
      </c>
      <c r="Q298" s="6" t="s">
        <v>253</v>
      </c>
      <c r="R298" s="6" t="s">
        <v>253</v>
      </c>
      <c r="S298" s="6" t="s">
        <v>9</v>
      </c>
      <c r="T298" s="6" t="s">
        <v>254</v>
      </c>
      <c r="U298" s="6" t="s">
        <v>118</v>
      </c>
      <c r="V298" s="6" t="s">
        <v>1214</v>
      </c>
      <c r="W298" s="6" t="s">
        <v>91</v>
      </c>
      <c r="X298" s="6" t="s">
        <v>91</v>
      </c>
      <c r="Y298" s="6" t="s">
        <v>91</v>
      </c>
      <c r="Z298" s="6" t="s">
        <v>58</v>
      </c>
      <c r="AA298" s="6" t="s">
        <v>91</v>
      </c>
      <c r="AB298" s="6">
        <v>570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288</v>
      </c>
      <c r="AJ298" s="6" t="s">
        <v>257</v>
      </c>
      <c r="AK298" s="6" t="s">
        <v>16</v>
      </c>
      <c r="AL298" s="6" t="s">
        <v>48</v>
      </c>
      <c r="AM298" s="6" t="s">
        <v>258</v>
      </c>
      <c r="AN298" s="6" t="s">
        <v>20</v>
      </c>
      <c r="AO298" s="6" t="s">
        <v>272</v>
      </c>
      <c r="AP298" s="6" t="s">
        <v>273</v>
      </c>
      <c r="AQ298" s="6" t="s">
        <v>18</v>
      </c>
    </row>
    <row r="299" spans="1:43" x14ac:dyDescent="0.25">
      <c r="A299" s="6">
        <v>22905691</v>
      </c>
      <c r="B299" s="6">
        <v>23679648</v>
      </c>
      <c r="C299" s="6" t="s">
        <v>248</v>
      </c>
      <c r="D299" s="14">
        <v>45910.950995370367</v>
      </c>
      <c r="E299" s="14">
        <v>45910.963240740741</v>
      </c>
      <c r="F299" s="6" t="s">
        <v>17</v>
      </c>
      <c r="G299" s="6" t="s">
        <v>17</v>
      </c>
      <c r="H299" s="6" t="s">
        <v>1240</v>
      </c>
      <c r="I299" s="6" t="s">
        <v>16</v>
      </c>
      <c r="J299" s="6" t="s">
        <v>1241</v>
      </c>
      <c r="K299" s="6" t="s">
        <v>1212</v>
      </c>
      <c r="L299" s="6" t="s">
        <v>1212</v>
      </c>
      <c r="M299" s="14">
        <v>45910.618055555547</v>
      </c>
      <c r="N299" s="6" t="s">
        <v>1242</v>
      </c>
      <c r="O299" s="6" t="s">
        <v>91</v>
      </c>
      <c r="P299" s="6" t="s">
        <v>252</v>
      </c>
      <c r="Q299" s="6" t="s">
        <v>253</v>
      </c>
      <c r="R299" s="6" t="s">
        <v>253</v>
      </c>
      <c r="S299" s="6" t="s">
        <v>9</v>
      </c>
      <c r="T299" s="6" t="s">
        <v>254</v>
      </c>
      <c r="U299" s="6" t="s">
        <v>118</v>
      </c>
      <c r="V299" s="6" t="s">
        <v>1214</v>
      </c>
      <c r="W299" s="6" t="s">
        <v>91</v>
      </c>
      <c r="X299" s="6" t="s">
        <v>91</v>
      </c>
      <c r="Y299" s="6" t="s">
        <v>91</v>
      </c>
      <c r="Z299" s="6" t="s">
        <v>58</v>
      </c>
      <c r="AA299" s="6" t="s">
        <v>91</v>
      </c>
      <c r="AB299" s="6">
        <v>299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288</v>
      </c>
      <c r="AJ299" s="6" t="s">
        <v>257</v>
      </c>
      <c r="AK299" s="6" t="s">
        <v>16</v>
      </c>
      <c r="AL299" s="6" t="s">
        <v>48</v>
      </c>
      <c r="AM299" s="6" t="s">
        <v>258</v>
      </c>
      <c r="AN299" s="6" t="s">
        <v>20</v>
      </c>
      <c r="AO299" s="6" t="s">
        <v>272</v>
      </c>
      <c r="AP299" s="6" t="s">
        <v>273</v>
      </c>
      <c r="AQ299" s="6" t="s">
        <v>18</v>
      </c>
    </row>
    <row r="300" spans="1:43" x14ac:dyDescent="0.25">
      <c r="A300" s="6">
        <v>22905692</v>
      </c>
      <c r="B300" s="6">
        <v>23679649</v>
      </c>
      <c r="C300" s="6" t="s">
        <v>248</v>
      </c>
      <c r="D300" s="14">
        <v>45910.95103009259</v>
      </c>
      <c r="E300" s="14">
        <v>45910.963240740741</v>
      </c>
      <c r="F300" s="6" t="s">
        <v>17</v>
      </c>
      <c r="G300" s="6" t="s">
        <v>17</v>
      </c>
      <c r="H300" s="6" t="s">
        <v>1243</v>
      </c>
      <c r="I300" s="6" t="s">
        <v>16</v>
      </c>
      <c r="J300" s="6" t="s">
        <v>1244</v>
      </c>
      <c r="K300" s="6" t="s">
        <v>1212</v>
      </c>
      <c r="L300" s="6" t="s">
        <v>1212</v>
      </c>
      <c r="M300" s="14">
        <v>45910.62222222222</v>
      </c>
      <c r="N300" s="6" t="s">
        <v>1245</v>
      </c>
      <c r="O300" s="6" t="s">
        <v>91</v>
      </c>
      <c r="P300" s="6" t="s">
        <v>252</v>
      </c>
      <c r="Q300" s="6" t="s">
        <v>253</v>
      </c>
      <c r="R300" s="6" t="s">
        <v>253</v>
      </c>
      <c r="S300" s="6" t="s">
        <v>9</v>
      </c>
      <c r="T300" s="6" t="s">
        <v>254</v>
      </c>
      <c r="U300" s="6" t="s">
        <v>118</v>
      </c>
      <c r="V300" s="6" t="s">
        <v>1214</v>
      </c>
      <c r="W300" s="6" t="s">
        <v>91</v>
      </c>
      <c r="X300" s="6" t="s">
        <v>91</v>
      </c>
      <c r="Y300" s="6" t="s">
        <v>91</v>
      </c>
      <c r="Z300" s="6" t="s">
        <v>58</v>
      </c>
      <c r="AA300" s="6" t="s">
        <v>91</v>
      </c>
      <c r="AB300" s="6">
        <v>304.5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288</v>
      </c>
      <c r="AJ300" s="6" t="s">
        <v>257</v>
      </c>
      <c r="AK300" s="6" t="s">
        <v>16</v>
      </c>
      <c r="AL300" s="6" t="s">
        <v>48</v>
      </c>
      <c r="AM300" s="6" t="s">
        <v>258</v>
      </c>
      <c r="AN300" s="6" t="s">
        <v>20</v>
      </c>
      <c r="AO300" s="6" t="s">
        <v>272</v>
      </c>
      <c r="AP300" s="6" t="s">
        <v>273</v>
      </c>
      <c r="AQ300" s="6" t="s">
        <v>18</v>
      </c>
    </row>
    <row r="301" spans="1:43" x14ac:dyDescent="0.25">
      <c r="A301" s="6">
        <v>22909749</v>
      </c>
      <c r="B301" s="6">
        <v>23682991</v>
      </c>
      <c r="C301" s="6" t="s">
        <v>248</v>
      </c>
      <c r="D301" s="14">
        <v>45911.679884259262</v>
      </c>
      <c r="E301" s="14">
        <v>45911.689108796287</v>
      </c>
      <c r="F301" s="6" t="s">
        <v>17</v>
      </c>
      <c r="G301" s="6" t="s">
        <v>17</v>
      </c>
      <c r="H301" s="6" t="s">
        <v>1246</v>
      </c>
      <c r="I301" s="6" t="s">
        <v>16</v>
      </c>
      <c r="J301" s="6" t="s">
        <v>1247</v>
      </c>
      <c r="K301" s="6" t="s">
        <v>1212</v>
      </c>
      <c r="L301" s="6" t="s">
        <v>1212</v>
      </c>
      <c r="M301" s="14">
        <v>45911.579861111109</v>
      </c>
      <c r="N301" s="6" t="s">
        <v>1248</v>
      </c>
      <c r="O301" s="6" t="s">
        <v>91</v>
      </c>
      <c r="P301" s="6" t="s">
        <v>252</v>
      </c>
      <c r="Q301" s="6" t="s">
        <v>253</v>
      </c>
      <c r="R301" s="6" t="s">
        <v>253</v>
      </c>
      <c r="S301" s="6" t="s">
        <v>9</v>
      </c>
      <c r="T301" s="6" t="s">
        <v>254</v>
      </c>
      <c r="U301" s="6" t="s">
        <v>118</v>
      </c>
      <c r="V301" s="6" t="s">
        <v>1214</v>
      </c>
      <c r="W301" s="6" t="s">
        <v>91</v>
      </c>
      <c r="X301" s="6" t="s">
        <v>91</v>
      </c>
      <c r="Y301" s="6" t="s">
        <v>91</v>
      </c>
      <c r="Z301" s="6" t="s">
        <v>58</v>
      </c>
      <c r="AA301" s="6" t="s">
        <v>91</v>
      </c>
      <c r="AB301" s="6">
        <v>1604.4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288</v>
      </c>
      <c r="AJ301" s="6" t="s">
        <v>257</v>
      </c>
      <c r="AK301" s="6" t="s">
        <v>16</v>
      </c>
      <c r="AL301" s="6" t="s">
        <v>48</v>
      </c>
      <c r="AM301" s="6" t="s">
        <v>258</v>
      </c>
      <c r="AN301" s="6" t="s">
        <v>20</v>
      </c>
      <c r="AO301" s="6" t="s">
        <v>272</v>
      </c>
      <c r="AP301" s="6" t="s">
        <v>273</v>
      </c>
      <c r="AQ301" s="6" t="s">
        <v>18</v>
      </c>
    </row>
    <row r="302" spans="1:43" x14ac:dyDescent="0.25">
      <c r="A302" s="6">
        <v>22911527</v>
      </c>
      <c r="B302" s="6">
        <v>23684687</v>
      </c>
      <c r="C302" s="6" t="s">
        <v>248</v>
      </c>
      <c r="D302" s="14">
        <v>45911.815023148149</v>
      </c>
      <c r="E302" s="14">
        <v>45911.820428240739</v>
      </c>
      <c r="F302" s="6" t="s">
        <v>17</v>
      </c>
      <c r="G302" s="6" t="s">
        <v>17</v>
      </c>
      <c r="H302" s="6" t="s">
        <v>1249</v>
      </c>
      <c r="I302" s="6" t="s">
        <v>16</v>
      </c>
      <c r="J302" s="6" t="s">
        <v>1250</v>
      </c>
      <c r="K302" s="6" t="s">
        <v>1212</v>
      </c>
      <c r="L302" s="6" t="s">
        <v>1212</v>
      </c>
      <c r="M302" s="14">
        <v>45911.611111111109</v>
      </c>
      <c r="N302" s="6" t="s">
        <v>1251</v>
      </c>
      <c r="O302" s="6" t="s">
        <v>91</v>
      </c>
      <c r="P302" s="6" t="s">
        <v>252</v>
      </c>
      <c r="Q302" s="6" t="s">
        <v>253</v>
      </c>
      <c r="R302" s="6" t="s">
        <v>253</v>
      </c>
      <c r="S302" s="6" t="s">
        <v>9</v>
      </c>
      <c r="T302" s="6" t="s">
        <v>254</v>
      </c>
      <c r="U302" s="6" t="s">
        <v>118</v>
      </c>
      <c r="V302" s="6" t="s">
        <v>1214</v>
      </c>
      <c r="W302" s="6" t="s">
        <v>91</v>
      </c>
      <c r="X302" s="6" t="s">
        <v>91</v>
      </c>
      <c r="Y302" s="6" t="s">
        <v>91</v>
      </c>
      <c r="Z302" s="6" t="s">
        <v>58</v>
      </c>
      <c r="AA302" s="6" t="s">
        <v>91</v>
      </c>
      <c r="AB302" s="6">
        <v>825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 t="s">
        <v>288</v>
      </c>
      <c r="AJ302" s="6" t="s">
        <v>257</v>
      </c>
      <c r="AK302" s="6" t="s">
        <v>16</v>
      </c>
      <c r="AL302" s="6" t="s">
        <v>48</v>
      </c>
      <c r="AM302" s="6" t="s">
        <v>258</v>
      </c>
      <c r="AN302" s="6" t="s">
        <v>20</v>
      </c>
      <c r="AO302" s="6" t="s">
        <v>272</v>
      </c>
      <c r="AP302" s="6" t="s">
        <v>273</v>
      </c>
      <c r="AQ302" s="6" t="s">
        <v>18</v>
      </c>
    </row>
    <row r="303" spans="1:43" x14ac:dyDescent="0.25">
      <c r="A303" s="6">
        <v>22911532</v>
      </c>
      <c r="B303" s="6">
        <v>23684689</v>
      </c>
      <c r="C303" s="6" t="s">
        <v>248</v>
      </c>
      <c r="D303" s="14">
        <v>45911.815057870372</v>
      </c>
      <c r="E303" s="14">
        <v>45911.820439814823</v>
      </c>
      <c r="F303" s="6" t="s">
        <v>17</v>
      </c>
      <c r="G303" s="6" t="s">
        <v>17</v>
      </c>
      <c r="H303" s="6" t="s">
        <v>1252</v>
      </c>
      <c r="I303" s="6" t="s">
        <v>16</v>
      </c>
      <c r="J303" s="6" t="s">
        <v>1250</v>
      </c>
      <c r="K303" s="6" t="s">
        <v>1212</v>
      </c>
      <c r="L303" s="6" t="s">
        <v>1212</v>
      </c>
      <c r="M303" s="14">
        <v>45911.612500000003</v>
      </c>
      <c r="N303" s="6" t="s">
        <v>1253</v>
      </c>
      <c r="O303" s="6" t="s">
        <v>91</v>
      </c>
      <c r="P303" s="6" t="s">
        <v>252</v>
      </c>
      <c r="Q303" s="6" t="s">
        <v>253</v>
      </c>
      <c r="R303" s="6" t="s">
        <v>253</v>
      </c>
      <c r="S303" s="6" t="s">
        <v>9</v>
      </c>
      <c r="T303" s="6" t="s">
        <v>254</v>
      </c>
      <c r="U303" s="6" t="s">
        <v>118</v>
      </c>
      <c r="V303" s="6" t="s">
        <v>1214</v>
      </c>
      <c r="W303" s="6" t="s">
        <v>91</v>
      </c>
      <c r="X303" s="6" t="s">
        <v>91</v>
      </c>
      <c r="Y303" s="6" t="s">
        <v>91</v>
      </c>
      <c r="Z303" s="6" t="s">
        <v>58</v>
      </c>
      <c r="AA303" s="6" t="s">
        <v>91</v>
      </c>
      <c r="AB303" s="6">
        <v>265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288</v>
      </c>
      <c r="AJ303" s="6" t="s">
        <v>257</v>
      </c>
      <c r="AK303" s="6" t="s">
        <v>16</v>
      </c>
      <c r="AL303" s="6" t="s">
        <v>48</v>
      </c>
      <c r="AM303" s="6" t="s">
        <v>258</v>
      </c>
      <c r="AN303" s="6" t="s">
        <v>20</v>
      </c>
      <c r="AO303" s="6" t="s">
        <v>272</v>
      </c>
      <c r="AP303" s="6" t="s">
        <v>273</v>
      </c>
      <c r="AQ303" s="6" t="s">
        <v>18</v>
      </c>
    </row>
    <row r="304" spans="1:43" x14ac:dyDescent="0.25">
      <c r="A304" s="6">
        <v>22911534</v>
      </c>
      <c r="B304" s="6">
        <v>23684691</v>
      </c>
      <c r="C304" s="6" t="s">
        <v>248</v>
      </c>
      <c r="D304" s="14">
        <v>45911.815104166657</v>
      </c>
      <c r="E304" s="14">
        <v>45911.820439814823</v>
      </c>
      <c r="F304" s="6" t="s">
        <v>17</v>
      </c>
      <c r="G304" s="6" t="s">
        <v>17</v>
      </c>
      <c r="H304" s="6" t="s">
        <v>1254</v>
      </c>
      <c r="I304" s="6" t="s">
        <v>16</v>
      </c>
      <c r="J304" s="6" t="s">
        <v>1255</v>
      </c>
      <c r="K304" s="6" t="s">
        <v>1212</v>
      </c>
      <c r="L304" s="6" t="s">
        <v>1212</v>
      </c>
      <c r="M304" s="14">
        <v>45911.629861111112</v>
      </c>
      <c r="N304" s="6" t="s">
        <v>1256</v>
      </c>
      <c r="O304" s="6" t="s">
        <v>91</v>
      </c>
      <c r="P304" s="6" t="s">
        <v>276</v>
      </c>
      <c r="Q304" s="6" t="s">
        <v>253</v>
      </c>
      <c r="R304" s="6" t="s">
        <v>253</v>
      </c>
      <c r="S304" s="6" t="s">
        <v>9</v>
      </c>
      <c r="T304" s="6" t="s">
        <v>254</v>
      </c>
      <c r="U304" s="6" t="s">
        <v>118</v>
      </c>
      <c r="V304" s="6" t="s">
        <v>1214</v>
      </c>
      <c r="W304" s="6" t="s">
        <v>91</v>
      </c>
      <c r="X304" s="6" t="s">
        <v>91</v>
      </c>
      <c r="Y304" s="6" t="s">
        <v>91</v>
      </c>
      <c r="Z304" s="6" t="s">
        <v>58</v>
      </c>
      <c r="AA304" s="6" t="s">
        <v>91</v>
      </c>
      <c r="AB304" s="6">
        <v>295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288</v>
      </c>
      <c r="AJ304" s="6" t="s">
        <v>257</v>
      </c>
      <c r="AK304" s="6" t="s">
        <v>16</v>
      </c>
      <c r="AL304" s="6" t="s">
        <v>48</v>
      </c>
      <c r="AM304" s="6" t="s">
        <v>258</v>
      </c>
      <c r="AN304" s="6" t="s">
        <v>20</v>
      </c>
      <c r="AO304" s="6" t="s">
        <v>272</v>
      </c>
      <c r="AP304" s="6" t="s">
        <v>273</v>
      </c>
      <c r="AQ304" s="6" t="s">
        <v>90</v>
      </c>
    </row>
    <row r="305" spans="1:43" x14ac:dyDescent="0.25">
      <c r="A305" s="6">
        <v>22911536</v>
      </c>
      <c r="B305" s="6">
        <v>23684693</v>
      </c>
      <c r="C305" s="6" t="s">
        <v>248</v>
      </c>
      <c r="D305" s="14">
        <v>45911.815150462957</v>
      </c>
      <c r="E305" s="14">
        <v>45911.820439814823</v>
      </c>
      <c r="F305" s="6" t="s">
        <v>17</v>
      </c>
      <c r="G305" s="6" t="s">
        <v>17</v>
      </c>
      <c r="H305" s="6" t="s">
        <v>1257</v>
      </c>
      <c r="I305" s="6" t="s">
        <v>16</v>
      </c>
      <c r="J305" s="6" t="s">
        <v>1258</v>
      </c>
      <c r="K305" s="6" t="s">
        <v>1212</v>
      </c>
      <c r="L305" s="6" t="s">
        <v>1212</v>
      </c>
      <c r="M305" s="14">
        <v>45911.631249999999</v>
      </c>
      <c r="N305" s="6" t="s">
        <v>1259</v>
      </c>
      <c r="O305" s="6" t="s">
        <v>91</v>
      </c>
      <c r="P305" s="6" t="s">
        <v>252</v>
      </c>
      <c r="Q305" s="6" t="s">
        <v>253</v>
      </c>
      <c r="R305" s="6" t="s">
        <v>253</v>
      </c>
      <c r="S305" s="6" t="s">
        <v>9</v>
      </c>
      <c r="T305" s="6" t="s">
        <v>254</v>
      </c>
      <c r="U305" s="6" t="s">
        <v>118</v>
      </c>
      <c r="V305" s="6" t="s">
        <v>1214</v>
      </c>
      <c r="W305" s="6" t="s">
        <v>91</v>
      </c>
      <c r="X305" s="6" t="s">
        <v>91</v>
      </c>
      <c r="Y305" s="6" t="s">
        <v>91</v>
      </c>
      <c r="Z305" s="6" t="s">
        <v>58</v>
      </c>
      <c r="AA305" s="6" t="s">
        <v>91</v>
      </c>
      <c r="AB305" s="6">
        <v>295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288</v>
      </c>
      <c r="AJ305" s="6" t="s">
        <v>257</v>
      </c>
      <c r="AK305" s="6" t="s">
        <v>16</v>
      </c>
      <c r="AL305" s="6" t="s">
        <v>48</v>
      </c>
      <c r="AM305" s="6" t="s">
        <v>258</v>
      </c>
      <c r="AN305" s="6" t="s">
        <v>20</v>
      </c>
      <c r="AO305" s="6" t="s">
        <v>272</v>
      </c>
      <c r="AP305" s="6" t="s">
        <v>273</v>
      </c>
      <c r="AQ305" s="6" t="s">
        <v>18</v>
      </c>
    </row>
    <row r="306" spans="1:43" x14ac:dyDescent="0.25">
      <c r="A306" s="6">
        <v>22911545</v>
      </c>
      <c r="B306" s="6">
        <v>23684699</v>
      </c>
      <c r="C306" s="6" t="s">
        <v>248</v>
      </c>
      <c r="D306" s="14">
        <v>45911.815243055556</v>
      </c>
      <c r="E306" s="14">
        <v>45911.820486111108</v>
      </c>
      <c r="F306" s="6" t="s">
        <v>17</v>
      </c>
      <c r="G306" s="6" t="s">
        <v>17</v>
      </c>
      <c r="H306" s="6" t="s">
        <v>1260</v>
      </c>
      <c r="I306" s="6" t="s">
        <v>16</v>
      </c>
      <c r="J306" s="6" t="s">
        <v>1261</v>
      </c>
      <c r="K306" s="6" t="s">
        <v>1212</v>
      </c>
      <c r="L306" s="6" t="s">
        <v>1212</v>
      </c>
      <c r="M306" s="14">
        <v>45911.644444444442</v>
      </c>
      <c r="N306" s="6" t="s">
        <v>1262</v>
      </c>
      <c r="O306" s="6" t="s">
        <v>91</v>
      </c>
      <c r="P306" s="6" t="s">
        <v>252</v>
      </c>
      <c r="Q306" s="6" t="s">
        <v>253</v>
      </c>
      <c r="R306" s="6" t="s">
        <v>253</v>
      </c>
      <c r="S306" s="6" t="s">
        <v>9</v>
      </c>
      <c r="T306" s="6" t="s">
        <v>254</v>
      </c>
      <c r="U306" s="6" t="s">
        <v>118</v>
      </c>
      <c r="V306" s="6" t="s">
        <v>1214</v>
      </c>
      <c r="W306" s="6" t="s">
        <v>91</v>
      </c>
      <c r="X306" s="6" t="s">
        <v>91</v>
      </c>
      <c r="Y306" s="6" t="s">
        <v>91</v>
      </c>
      <c r="Z306" s="6" t="s">
        <v>58</v>
      </c>
      <c r="AA306" s="6" t="s">
        <v>91</v>
      </c>
      <c r="AB306" s="6">
        <v>1622.4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288</v>
      </c>
      <c r="AJ306" s="6" t="s">
        <v>257</v>
      </c>
      <c r="AK306" s="6" t="s">
        <v>16</v>
      </c>
      <c r="AL306" s="6" t="s">
        <v>48</v>
      </c>
      <c r="AM306" s="6" t="s">
        <v>258</v>
      </c>
      <c r="AN306" s="6" t="s">
        <v>20</v>
      </c>
      <c r="AO306" s="6" t="s">
        <v>272</v>
      </c>
      <c r="AP306" s="6" t="s">
        <v>273</v>
      </c>
      <c r="AQ306" s="6" t="s">
        <v>18</v>
      </c>
    </row>
    <row r="307" spans="1:43" x14ac:dyDescent="0.25">
      <c r="A307" s="6">
        <v>22905635</v>
      </c>
      <c r="B307" s="6">
        <v>23679583</v>
      </c>
      <c r="C307" s="6" t="s">
        <v>248</v>
      </c>
      <c r="D307" s="14">
        <v>45910.948275462957</v>
      </c>
      <c r="E307" s="14">
        <v>45910.953368055547</v>
      </c>
      <c r="F307" s="6" t="s">
        <v>17</v>
      </c>
      <c r="G307" s="6" t="s">
        <v>17</v>
      </c>
      <c r="H307" s="6" t="s">
        <v>1263</v>
      </c>
      <c r="I307" s="6" t="s">
        <v>16</v>
      </c>
      <c r="J307" s="6" t="s">
        <v>1264</v>
      </c>
      <c r="K307" s="6" t="s">
        <v>1212</v>
      </c>
      <c r="L307" s="6" t="s">
        <v>1212</v>
      </c>
      <c r="M307" s="14">
        <v>45909.393055555563</v>
      </c>
      <c r="N307" s="6" t="s">
        <v>1265</v>
      </c>
      <c r="O307" s="6" t="s">
        <v>91</v>
      </c>
      <c r="P307" s="6" t="s">
        <v>252</v>
      </c>
      <c r="Q307" s="6" t="s">
        <v>253</v>
      </c>
      <c r="R307" s="6" t="s">
        <v>253</v>
      </c>
      <c r="S307" s="6" t="s">
        <v>9</v>
      </c>
      <c r="T307" s="6" t="s">
        <v>254</v>
      </c>
      <c r="U307" s="6" t="s">
        <v>118</v>
      </c>
      <c r="V307" s="6" t="s">
        <v>1214</v>
      </c>
      <c r="W307" s="6" t="s">
        <v>91</v>
      </c>
      <c r="X307" s="6" t="s">
        <v>91</v>
      </c>
      <c r="Y307" s="6" t="s">
        <v>91</v>
      </c>
      <c r="Z307" s="6" t="s">
        <v>58</v>
      </c>
      <c r="AA307" s="6" t="s">
        <v>91</v>
      </c>
      <c r="AB307" s="6">
        <v>530.44000000000005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288</v>
      </c>
      <c r="AJ307" s="6" t="s">
        <v>257</v>
      </c>
      <c r="AK307" s="6" t="s">
        <v>16</v>
      </c>
      <c r="AL307" s="6" t="s">
        <v>48</v>
      </c>
      <c r="AM307" s="6" t="s">
        <v>258</v>
      </c>
      <c r="AN307" s="6" t="s">
        <v>20</v>
      </c>
      <c r="AO307" s="6" t="s">
        <v>272</v>
      </c>
      <c r="AP307" s="6" t="s">
        <v>273</v>
      </c>
      <c r="AQ307" s="6" t="s">
        <v>18</v>
      </c>
    </row>
    <row r="308" spans="1:43" x14ac:dyDescent="0.25">
      <c r="A308" s="6">
        <v>22905638</v>
      </c>
      <c r="B308" s="6">
        <v>23679588</v>
      </c>
      <c r="C308" s="6" t="s">
        <v>248</v>
      </c>
      <c r="D308" s="14">
        <v>45910.948472222219</v>
      </c>
      <c r="E308" s="14">
        <v>45910.953553240739</v>
      </c>
      <c r="F308" s="6" t="s">
        <v>17</v>
      </c>
      <c r="G308" s="6" t="s">
        <v>17</v>
      </c>
      <c r="H308" s="6" t="s">
        <v>1266</v>
      </c>
      <c r="I308" s="6" t="s">
        <v>16</v>
      </c>
      <c r="J308" s="6" t="s">
        <v>1258</v>
      </c>
      <c r="K308" s="6" t="s">
        <v>1212</v>
      </c>
      <c r="L308" s="6" t="s">
        <v>1212</v>
      </c>
      <c r="M308" s="14">
        <v>45905.595138888893</v>
      </c>
      <c r="N308" s="6" t="s">
        <v>1267</v>
      </c>
      <c r="O308" s="6" t="s">
        <v>91</v>
      </c>
      <c r="P308" s="6" t="s">
        <v>252</v>
      </c>
      <c r="Q308" s="6" t="s">
        <v>253</v>
      </c>
      <c r="R308" s="6" t="s">
        <v>253</v>
      </c>
      <c r="S308" s="6" t="s">
        <v>9</v>
      </c>
      <c r="T308" s="6" t="s">
        <v>254</v>
      </c>
      <c r="U308" s="6" t="s">
        <v>118</v>
      </c>
      <c r="V308" s="6" t="s">
        <v>1214</v>
      </c>
      <c r="W308" s="6" t="s">
        <v>91</v>
      </c>
      <c r="X308" s="6" t="s">
        <v>91</v>
      </c>
      <c r="Y308" s="6" t="s">
        <v>91</v>
      </c>
      <c r="Z308" s="6" t="s">
        <v>58</v>
      </c>
      <c r="AA308" s="6" t="s">
        <v>91</v>
      </c>
      <c r="AB308" s="6">
        <v>795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288</v>
      </c>
      <c r="AJ308" s="6" t="s">
        <v>257</v>
      </c>
      <c r="AK308" s="6" t="s">
        <v>16</v>
      </c>
      <c r="AL308" s="6" t="s">
        <v>48</v>
      </c>
      <c r="AM308" s="6" t="s">
        <v>258</v>
      </c>
      <c r="AN308" s="6" t="s">
        <v>20</v>
      </c>
      <c r="AO308" s="6" t="s">
        <v>272</v>
      </c>
      <c r="AP308" s="6" t="s">
        <v>273</v>
      </c>
      <c r="AQ308" s="6" t="s">
        <v>18</v>
      </c>
    </row>
    <row r="309" spans="1:43" x14ac:dyDescent="0.25">
      <c r="A309" s="6">
        <v>22905638</v>
      </c>
      <c r="B309" s="6">
        <v>23679592</v>
      </c>
      <c r="C309" s="6" t="s">
        <v>1268</v>
      </c>
      <c r="D309" s="14">
        <v>45910.948472222219</v>
      </c>
      <c r="E309" s="14">
        <v>45910.953553240739</v>
      </c>
      <c r="F309" s="6" t="s">
        <v>17</v>
      </c>
      <c r="G309" s="6" t="s">
        <v>17</v>
      </c>
      <c r="H309" s="6" t="s">
        <v>1266</v>
      </c>
      <c r="I309" s="6" t="s">
        <v>16</v>
      </c>
      <c r="J309" s="6" t="s">
        <v>1258</v>
      </c>
      <c r="K309" s="6" t="s">
        <v>1212</v>
      </c>
      <c r="L309" s="6" t="s">
        <v>1212</v>
      </c>
      <c r="M309" s="14">
        <v>45905.595138888893</v>
      </c>
      <c r="N309" s="6" t="s">
        <v>1267</v>
      </c>
      <c r="O309" s="6" t="s">
        <v>91</v>
      </c>
      <c r="P309" s="6" t="s">
        <v>252</v>
      </c>
      <c r="Q309" s="6" t="s">
        <v>253</v>
      </c>
      <c r="R309" s="6" t="s">
        <v>253</v>
      </c>
      <c r="S309" s="6" t="s">
        <v>9</v>
      </c>
      <c r="T309" s="6" t="s">
        <v>254</v>
      </c>
      <c r="U309" s="6" t="s">
        <v>118</v>
      </c>
      <c r="V309" s="6" t="s">
        <v>1214</v>
      </c>
      <c r="W309" s="6" t="s">
        <v>91</v>
      </c>
      <c r="X309" s="6" t="s">
        <v>91</v>
      </c>
      <c r="Y309" s="6" t="s">
        <v>91</v>
      </c>
      <c r="Z309" s="6" t="s">
        <v>58</v>
      </c>
      <c r="AA309" s="6" t="s">
        <v>91</v>
      </c>
      <c r="AB309" s="6">
        <v>795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 t="s">
        <v>288</v>
      </c>
      <c r="AJ309" s="6" t="s">
        <v>257</v>
      </c>
      <c r="AK309" s="6" t="s">
        <v>16</v>
      </c>
      <c r="AL309" s="6" t="s">
        <v>48</v>
      </c>
      <c r="AM309" s="6" t="s">
        <v>258</v>
      </c>
      <c r="AN309" s="6" t="s">
        <v>20</v>
      </c>
      <c r="AO309" s="6" t="s">
        <v>272</v>
      </c>
      <c r="AP309" s="6" t="s">
        <v>273</v>
      </c>
      <c r="AQ309" s="6" t="s">
        <v>18</v>
      </c>
    </row>
    <row r="310" spans="1:43" x14ac:dyDescent="0.25">
      <c r="A310" s="6">
        <v>22905639</v>
      </c>
      <c r="B310" s="6">
        <v>23679593</v>
      </c>
      <c r="C310" s="6" t="s">
        <v>248</v>
      </c>
      <c r="D310" s="14">
        <v>45910.948564814818</v>
      </c>
      <c r="E310" s="14">
        <v>45910.953553240739</v>
      </c>
      <c r="F310" s="6" t="s">
        <v>17</v>
      </c>
      <c r="G310" s="6" t="s">
        <v>17</v>
      </c>
      <c r="H310" s="6" t="s">
        <v>1269</v>
      </c>
      <c r="I310" s="6" t="s">
        <v>16</v>
      </c>
      <c r="J310" s="6" t="s">
        <v>1258</v>
      </c>
      <c r="K310" s="6" t="s">
        <v>1212</v>
      </c>
      <c r="L310" s="6" t="s">
        <v>1212</v>
      </c>
      <c r="M310" s="14">
        <v>45909.45</v>
      </c>
      <c r="N310" s="6" t="s">
        <v>1270</v>
      </c>
      <c r="O310" s="6" t="s">
        <v>91</v>
      </c>
      <c r="P310" s="6" t="s">
        <v>252</v>
      </c>
      <c r="Q310" s="6" t="s">
        <v>253</v>
      </c>
      <c r="R310" s="6" t="s">
        <v>253</v>
      </c>
      <c r="S310" s="6" t="s">
        <v>9</v>
      </c>
      <c r="T310" s="6" t="s">
        <v>254</v>
      </c>
      <c r="U310" s="6" t="s">
        <v>118</v>
      </c>
      <c r="V310" s="6" t="s">
        <v>1214</v>
      </c>
      <c r="W310" s="6" t="s">
        <v>91</v>
      </c>
      <c r="X310" s="6" t="s">
        <v>91</v>
      </c>
      <c r="Y310" s="6" t="s">
        <v>91</v>
      </c>
      <c r="Z310" s="6" t="s">
        <v>58</v>
      </c>
      <c r="AA310" s="6" t="s">
        <v>91</v>
      </c>
      <c r="AB310" s="6">
        <v>215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288</v>
      </c>
      <c r="AJ310" s="6" t="s">
        <v>257</v>
      </c>
      <c r="AK310" s="6" t="s">
        <v>16</v>
      </c>
      <c r="AL310" s="6" t="s">
        <v>48</v>
      </c>
      <c r="AM310" s="6" t="s">
        <v>258</v>
      </c>
      <c r="AN310" s="6" t="s">
        <v>20</v>
      </c>
      <c r="AO310" s="6" t="s">
        <v>272</v>
      </c>
      <c r="AP310" s="6" t="s">
        <v>273</v>
      </c>
      <c r="AQ310" s="6" t="s">
        <v>18</v>
      </c>
    </row>
    <row r="311" spans="1:43" x14ac:dyDescent="0.25">
      <c r="A311" s="6">
        <v>22905640</v>
      </c>
      <c r="B311" s="6">
        <v>23679594</v>
      </c>
      <c r="C311" s="6" t="s">
        <v>248</v>
      </c>
      <c r="D311" s="14">
        <v>45910.948611111111</v>
      </c>
      <c r="E311" s="14">
        <v>45910.953564814823</v>
      </c>
      <c r="F311" s="6" t="s">
        <v>17</v>
      </c>
      <c r="G311" s="6" t="s">
        <v>17</v>
      </c>
      <c r="H311" s="6" t="s">
        <v>1271</v>
      </c>
      <c r="I311" s="6" t="s">
        <v>16</v>
      </c>
      <c r="J311" s="6" t="s">
        <v>1272</v>
      </c>
      <c r="K311" s="6" t="s">
        <v>1212</v>
      </c>
      <c r="L311" s="6" t="s">
        <v>1212</v>
      </c>
      <c r="M311" s="14">
        <v>45905.57708333333</v>
      </c>
      <c r="N311" s="6" t="s">
        <v>1273</v>
      </c>
      <c r="O311" s="6" t="s">
        <v>91</v>
      </c>
      <c r="P311" s="6" t="s">
        <v>252</v>
      </c>
      <c r="Q311" s="6" t="s">
        <v>253</v>
      </c>
      <c r="R311" s="6" t="s">
        <v>253</v>
      </c>
      <c r="S311" s="6" t="s">
        <v>9</v>
      </c>
      <c r="T311" s="6" t="s">
        <v>254</v>
      </c>
      <c r="U311" s="6" t="s">
        <v>118</v>
      </c>
      <c r="V311" s="6" t="s">
        <v>1214</v>
      </c>
      <c r="W311" s="6" t="s">
        <v>91</v>
      </c>
      <c r="X311" s="6" t="s">
        <v>91</v>
      </c>
      <c r="Y311" s="6" t="s">
        <v>91</v>
      </c>
      <c r="Z311" s="6" t="s">
        <v>58</v>
      </c>
      <c r="AA311" s="6" t="s">
        <v>91</v>
      </c>
      <c r="AB311" s="6">
        <v>252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288</v>
      </c>
      <c r="AJ311" s="6" t="s">
        <v>257</v>
      </c>
      <c r="AK311" s="6" t="s">
        <v>16</v>
      </c>
      <c r="AL311" s="6" t="s">
        <v>48</v>
      </c>
      <c r="AM311" s="6" t="s">
        <v>258</v>
      </c>
      <c r="AN311" s="6" t="s">
        <v>20</v>
      </c>
      <c r="AO311" s="6" t="s">
        <v>272</v>
      </c>
      <c r="AP311" s="6" t="s">
        <v>273</v>
      </c>
      <c r="AQ311" s="6" t="s">
        <v>18</v>
      </c>
    </row>
    <row r="312" spans="1:43" x14ac:dyDescent="0.25">
      <c r="A312" s="6">
        <v>22905634</v>
      </c>
      <c r="B312" s="6">
        <v>23679580</v>
      </c>
      <c r="C312" s="6" t="s">
        <v>248</v>
      </c>
      <c r="D312" s="14">
        <v>45910.948217592602</v>
      </c>
      <c r="E312" s="14">
        <v>45910.953356481477</v>
      </c>
      <c r="F312" s="6" t="s">
        <v>17</v>
      </c>
      <c r="G312" s="6" t="s">
        <v>17</v>
      </c>
      <c r="H312" s="6" t="s">
        <v>1274</v>
      </c>
      <c r="I312" s="6" t="s">
        <v>16</v>
      </c>
      <c r="J312" s="6" t="s">
        <v>1275</v>
      </c>
      <c r="K312" s="6" t="s">
        <v>1212</v>
      </c>
      <c r="L312" s="6" t="s">
        <v>1212</v>
      </c>
      <c r="M312" s="14">
        <v>45909.375694444447</v>
      </c>
      <c r="N312" s="6" t="s">
        <v>1276</v>
      </c>
      <c r="O312" s="6" t="s">
        <v>91</v>
      </c>
      <c r="P312" s="6" t="s">
        <v>252</v>
      </c>
      <c r="Q312" s="6" t="s">
        <v>253</v>
      </c>
      <c r="R312" s="6" t="s">
        <v>253</v>
      </c>
      <c r="S312" s="6" t="s">
        <v>9</v>
      </c>
      <c r="T312" s="6" t="s">
        <v>254</v>
      </c>
      <c r="U312" s="6" t="s">
        <v>118</v>
      </c>
      <c r="V312" s="6" t="s">
        <v>1214</v>
      </c>
      <c r="W312" s="6" t="s">
        <v>91</v>
      </c>
      <c r="X312" s="6" t="s">
        <v>91</v>
      </c>
      <c r="Y312" s="6" t="s">
        <v>91</v>
      </c>
      <c r="Z312" s="6" t="s">
        <v>58</v>
      </c>
      <c r="AA312" s="6" t="s">
        <v>91</v>
      </c>
      <c r="AB312" s="6">
        <v>525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288</v>
      </c>
      <c r="AJ312" s="6" t="s">
        <v>257</v>
      </c>
      <c r="AK312" s="6" t="s">
        <v>16</v>
      </c>
      <c r="AL312" s="6" t="s">
        <v>48</v>
      </c>
      <c r="AM312" s="6" t="s">
        <v>258</v>
      </c>
      <c r="AN312" s="6" t="s">
        <v>20</v>
      </c>
      <c r="AO312" s="6" t="s">
        <v>272</v>
      </c>
      <c r="AP312" s="6" t="s">
        <v>273</v>
      </c>
      <c r="AQ312" s="6" t="s">
        <v>18</v>
      </c>
    </row>
    <row r="313" spans="1:43" x14ac:dyDescent="0.25">
      <c r="A313" s="6">
        <v>22905634</v>
      </c>
      <c r="B313" s="6">
        <v>23679581</v>
      </c>
      <c r="C313" s="6" t="s">
        <v>637</v>
      </c>
      <c r="D313" s="14">
        <v>45910.948217592602</v>
      </c>
      <c r="E313" s="14">
        <v>45910.953356481477</v>
      </c>
      <c r="F313" s="6" t="s">
        <v>17</v>
      </c>
      <c r="G313" s="6" t="s">
        <v>17</v>
      </c>
      <c r="H313" s="6" t="s">
        <v>1274</v>
      </c>
      <c r="I313" s="6" t="s">
        <v>16</v>
      </c>
      <c r="J313" s="6" t="s">
        <v>1275</v>
      </c>
      <c r="K313" s="6" t="s">
        <v>1212</v>
      </c>
      <c r="L313" s="6" t="s">
        <v>1212</v>
      </c>
      <c r="M313" s="14">
        <v>45909.375694444447</v>
      </c>
      <c r="N313" s="6" t="s">
        <v>1276</v>
      </c>
      <c r="O313" s="6" t="s">
        <v>91</v>
      </c>
      <c r="P313" s="6" t="s">
        <v>252</v>
      </c>
      <c r="Q313" s="6" t="s">
        <v>253</v>
      </c>
      <c r="R313" s="6" t="s">
        <v>253</v>
      </c>
      <c r="S313" s="6" t="s">
        <v>9</v>
      </c>
      <c r="T313" s="6" t="s">
        <v>254</v>
      </c>
      <c r="U313" s="6" t="s">
        <v>118</v>
      </c>
      <c r="V313" s="6" t="s">
        <v>1214</v>
      </c>
      <c r="W313" s="6" t="s">
        <v>91</v>
      </c>
      <c r="X313" s="6" t="s">
        <v>91</v>
      </c>
      <c r="Y313" s="6" t="s">
        <v>91</v>
      </c>
      <c r="Z313" s="6" t="s">
        <v>58</v>
      </c>
      <c r="AA313" s="6" t="s">
        <v>91</v>
      </c>
      <c r="AB313" s="6">
        <v>585.9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288</v>
      </c>
      <c r="AJ313" s="6" t="s">
        <v>257</v>
      </c>
      <c r="AK313" s="6" t="s">
        <v>16</v>
      </c>
      <c r="AL313" s="6" t="s">
        <v>48</v>
      </c>
      <c r="AM313" s="6" t="s">
        <v>258</v>
      </c>
      <c r="AN313" s="6" t="s">
        <v>20</v>
      </c>
      <c r="AO313" s="6" t="s">
        <v>272</v>
      </c>
      <c r="AP313" s="6" t="s">
        <v>273</v>
      </c>
      <c r="AQ313" s="6" t="s">
        <v>18</v>
      </c>
    </row>
    <row r="314" spans="1:43" x14ac:dyDescent="0.25">
      <c r="A314" s="6">
        <v>22815024</v>
      </c>
      <c r="B314" s="6">
        <v>23601790</v>
      </c>
      <c r="C314" s="6" t="s">
        <v>637</v>
      </c>
      <c r="D314" s="14">
        <v>45895.689432870371</v>
      </c>
      <c r="E314" s="14">
        <v>45895.694224537037</v>
      </c>
      <c r="F314" s="46" t="s">
        <v>25</v>
      </c>
      <c r="G314" s="46" t="s">
        <v>25</v>
      </c>
      <c r="H314" s="6" t="s">
        <v>1277</v>
      </c>
      <c r="I314" s="6" t="s">
        <v>16</v>
      </c>
      <c r="J314" s="6" t="s">
        <v>1275</v>
      </c>
      <c r="K314" s="6" t="s">
        <v>1212</v>
      </c>
      <c r="L314" s="6" t="s">
        <v>1212</v>
      </c>
      <c r="M314" s="14">
        <v>45895.6</v>
      </c>
      <c r="N314" s="6" t="s">
        <v>1278</v>
      </c>
      <c r="O314" s="6" t="s">
        <v>91</v>
      </c>
      <c r="P314" s="6" t="s">
        <v>252</v>
      </c>
      <c r="Q314" s="6" t="s">
        <v>253</v>
      </c>
      <c r="R314" s="6" t="s">
        <v>253</v>
      </c>
      <c r="S314" s="6" t="s">
        <v>9</v>
      </c>
      <c r="T314" s="6" t="s">
        <v>254</v>
      </c>
      <c r="U314" s="6" t="s">
        <v>118</v>
      </c>
      <c r="V314" s="6" t="s">
        <v>1214</v>
      </c>
      <c r="W314" s="6" t="s">
        <v>91</v>
      </c>
      <c r="X314" s="6" t="s">
        <v>91</v>
      </c>
      <c r="Y314" s="6" t="s">
        <v>91</v>
      </c>
      <c r="Z314" s="6" t="s">
        <v>58</v>
      </c>
      <c r="AA314" s="6" t="s">
        <v>91</v>
      </c>
      <c r="AB314" s="6">
        <v>292.95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288</v>
      </c>
      <c r="AJ314" s="6" t="s">
        <v>692</v>
      </c>
      <c r="AK314" s="6" t="s">
        <v>16</v>
      </c>
      <c r="AL314" s="6" t="s">
        <v>48</v>
      </c>
      <c r="AM314" s="6" t="s">
        <v>258</v>
      </c>
      <c r="AN314" s="6" t="s">
        <v>20</v>
      </c>
      <c r="AO314" s="6" t="s">
        <v>272</v>
      </c>
      <c r="AP314" s="6" t="s">
        <v>273</v>
      </c>
      <c r="AQ314" s="6" t="s">
        <v>18</v>
      </c>
    </row>
    <row r="315" spans="1:43" x14ac:dyDescent="0.25">
      <c r="A315" s="6">
        <v>22874357</v>
      </c>
      <c r="B315" s="6">
        <v>23652914</v>
      </c>
      <c r="C315" s="6" t="s">
        <v>248</v>
      </c>
      <c r="D315" s="14">
        <v>45905.482685185183</v>
      </c>
      <c r="E315" s="14">
        <v>45905.488032407397</v>
      </c>
      <c r="F315" s="6" t="s">
        <v>21</v>
      </c>
      <c r="G315" s="6" t="s">
        <v>21</v>
      </c>
      <c r="H315" s="6" t="s">
        <v>1279</v>
      </c>
      <c r="I315" s="6" t="s">
        <v>16</v>
      </c>
      <c r="J315" s="6" t="s">
        <v>1272</v>
      </c>
      <c r="K315" s="6" t="s">
        <v>1212</v>
      </c>
      <c r="L315" s="6" t="s">
        <v>1212</v>
      </c>
      <c r="M315" s="14">
        <v>45905.359027777777</v>
      </c>
      <c r="N315" s="6" t="s">
        <v>1280</v>
      </c>
      <c r="O315" s="6" t="s">
        <v>91</v>
      </c>
      <c r="P315" s="6" t="s">
        <v>252</v>
      </c>
      <c r="Q315" s="6" t="s">
        <v>253</v>
      </c>
      <c r="R315" s="6" t="s">
        <v>253</v>
      </c>
      <c r="S315" s="6" t="s">
        <v>9</v>
      </c>
      <c r="T315" s="6" t="s">
        <v>254</v>
      </c>
      <c r="U315" s="6" t="s">
        <v>118</v>
      </c>
      <c r="V315" s="6" t="s">
        <v>1214</v>
      </c>
      <c r="W315" s="6" t="s">
        <v>91</v>
      </c>
      <c r="X315" s="6" t="s">
        <v>91</v>
      </c>
      <c r="Y315" s="6" t="s">
        <v>91</v>
      </c>
      <c r="Z315" s="6" t="s">
        <v>58</v>
      </c>
      <c r="AA315" s="6" t="s">
        <v>91</v>
      </c>
      <c r="AB315" s="6">
        <v>405.6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288</v>
      </c>
      <c r="AJ315" s="6" t="s">
        <v>257</v>
      </c>
      <c r="AK315" s="6" t="s">
        <v>16</v>
      </c>
      <c r="AL315" s="6" t="s">
        <v>48</v>
      </c>
      <c r="AM315" s="6" t="s">
        <v>258</v>
      </c>
      <c r="AN315" s="6" t="s">
        <v>20</v>
      </c>
      <c r="AO315" s="6" t="s">
        <v>272</v>
      </c>
      <c r="AP315" s="6" t="s">
        <v>273</v>
      </c>
      <c r="AQ315" s="6" t="s">
        <v>18</v>
      </c>
    </row>
    <row r="316" spans="1:43" x14ac:dyDescent="0.25">
      <c r="A316" s="6">
        <v>22874361</v>
      </c>
      <c r="B316" s="6">
        <v>23652917</v>
      </c>
      <c r="C316" s="6" t="s">
        <v>248</v>
      </c>
      <c r="D316" s="14">
        <v>45905.482731481483</v>
      </c>
      <c r="E316" s="14">
        <v>45905.488043981481</v>
      </c>
      <c r="F316" s="6" t="s">
        <v>21</v>
      </c>
      <c r="G316" s="6" t="s">
        <v>21</v>
      </c>
      <c r="H316" s="6" t="s">
        <v>1281</v>
      </c>
      <c r="I316" s="6" t="s">
        <v>16</v>
      </c>
      <c r="J316" s="6" t="s">
        <v>1282</v>
      </c>
      <c r="K316" s="6" t="s">
        <v>1212</v>
      </c>
      <c r="L316" s="6" t="s">
        <v>1212</v>
      </c>
      <c r="M316" s="14">
        <v>45905.367361111108</v>
      </c>
      <c r="N316" s="6" t="s">
        <v>1283</v>
      </c>
      <c r="O316" s="6" t="s">
        <v>91</v>
      </c>
      <c r="P316" s="6" t="s">
        <v>252</v>
      </c>
      <c r="Q316" s="6" t="s">
        <v>253</v>
      </c>
      <c r="R316" s="6" t="s">
        <v>253</v>
      </c>
      <c r="S316" s="6" t="s">
        <v>9</v>
      </c>
      <c r="T316" s="6" t="s">
        <v>254</v>
      </c>
      <c r="U316" s="6" t="s">
        <v>118</v>
      </c>
      <c r="V316" s="6" t="s">
        <v>1214</v>
      </c>
      <c r="W316" s="6" t="s">
        <v>91</v>
      </c>
      <c r="X316" s="6" t="s">
        <v>91</v>
      </c>
      <c r="Y316" s="6" t="s">
        <v>91</v>
      </c>
      <c r="Z316" s="6" t="s">
        <v>58</v>
      </c>
      <c r="AA316" s="6" t="s">
        <v>91</v>
      </c>
      <c r="AB316" s="6">
        <v>488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288</v>
      </c>
      <c r="AJ316" s="6" t="s">
        <v>257</v>
      </c>
      <c r="AK316" s="6" t="s">
        <v>16</v>
      </c>
      <c r="AL316" s="6" t="s">
        <v>48</v>
      </c>
      <c r="AM316" s="6" t="s">
        <v>258</v>
      </c>
      <c r="AN316" s="6" t="s">
        <v>20</v>
      </c>
      <c r="AO316" s="6" t="s">
        <v>272</v>
      </c>
      <c r="AP316" s="6" t="s">
        <v>273</v>
      </c>
      <c r="AQ316" s="6" t="s">
        <v>18</v>
      </c>
    </row>
    <row r="317" spans="1:43" x14ac:dyDescent="0.25">
      <c r="A317" s="6">
        <v>22876130</v>
      </c>
      <c r="B317" s="6">
        <v>23654679</v>
      </c>
      <c r="C317" s="6" t="s">
        <v>248</v>
      </c>
      <c r="D317" s="14">
        <v>45905.690034722233</v>
      </c>
      <c r="E317" s="14">
        <v>45905.694247685176</v>
      </c>
      <c r="F317" s="6" t="s">
        <v>21</v>
      </c>
      <c r="G317" s="6" t="s">
        <v>21</v>
      </c>
      <c r="H317" s="6" t="s">
        <v>1284</v>
      </c>
      <c r="I317" s="6" t="s">
        <v>16</v>
      </c>
      <c r="J317" s="6" t="s">
        <v>1285</v>
      </c>
      <c r="K317" s="6" t="s">
        <v>1212</v>
      </c>
      <c r="L317" s="6" t="s">
        <v>1212</v>
      </c>
      <c r="M317" s="14">
        <v>45905.579861111109</v>
      </c>
      <c r="N317" s="6" t="s">
        <v>1286</v>
      </c>
      <c r="O317" s="6" t="s">
        <v>91</v>
      </c>
      <c r="P317" s="6" t="s">
        <v>252</v>
      </c>
      <c r="Q317" s="6" t="s">
        <v>253</v>
      </c>
      <c r="R317" s="6" t="s">
        <v>253</v>
      </c>
      <c r="S317" s="6" t="s">
        <v>9</v>
      </c>
      <c r="T317" s="6" t="s">
        <v>254</v>
      </c>
      <c r="U317" s="6" t="s">
        <v>118</v>
      </c>
      <c r="V317" s="6" t="s">
        <v>1214</v>
      </c>
      <c r="W317" s="6" t="s">
        <v>91</v>
      </c>
      <c r="X317" s="6" t="s">
        <v>91</v>
      </c>
      <c r="Y317" s="6" t="s">
        <v>91</v>
      </c>
      <c r="Z317" s="6" t="s">
        <v>58</v>
      </c>
      <c r="AA317" s="6" t="s">
        <v>91</v>
      </c>
      <c r="AB317" s="6">
        <v>380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288</v>
      </c>
      <c r="AJ317" s="6" t="s">
        <v>257</v>
      </c>
      <c r="AK317" s="6" t="s">
        <v>16</v>
      </c>
      <c r="AL317" s="6" t="s">
        <v>48</v>
      </c>
      <c r="AM317" s="6" t="s">
        <v>258</v>
      </c>
      <c r="AN317" s="6" t="s">
        <v>20</v>
      </c>
      <c r="AO317" s="6" t="s">
        <v>272</v>
      </c>
      <c r="AP317" s="6" t="s">
        <v>273</v>
      </c>
      <c r="AQ317" s="6" t="s">
        <v>18</v>
      </c>
    </row>
    <row r="318" spans="1:43" x14ac:dyDescent="0.25">
      <c r="A318" s="6">
        <v>22876132</v>
      </c>
      <c r="B318" s="6">
        <v>23654681</v>
      </c>
      <c r="C318" s="6" t="s">
        <v>248</v>
      </c>
      <c r="D318" s="14">
        <v>45905.690092592587</v>
      </c>
      <c r="E318" s="14">
        <v>45905.69425925926</v>
      </c>
      <c r="F318" s="6" t="s">
        <v>21</v>
      </c>
      <c r="G318" s="6" t="s">
        <v>21</v>
      </c>
      <c r="H318" s="6" t="s">
        <v>1287</v>
      </c>
      <c r="I318" s="6" t="s">
        <v>16</v>
      </c>
      <c r="J318" s="6" t="s">
        <v>1288</v>
      </c>
      <c r="K318" s="6" t="s">
        <v>1212</v>
      </c>
      <c r="L318" s="6" t="s">
        <v>1212</v>
      </c>
      <c r="M318" s="14">
        <v>45905.585416666669</v>
      </c>
      <c r="N318" s="6" t="s">
        <v>1289</v>
      </c>
      <c r="O318" s="6" t="s">
        <v>91</v>
      </c>
      <c r="P318" s="6" t="s">
        <v>252</v>
      </c>
      <c r="Q318" s="6" t="s">
        <v>253</v>
      </c>
      <c r="R318" s="6" t="s">
        <v>253</v>
      </c>
      <c r="S318" s="6" t="s">
        <v>9</v>
      </c>
      <c r="T318" s="6" t="s">
        <v>254</v>
      </c>
      <c r="U318" s="6" t="s">
        <v>118</v>
      </c>
      <c r="V318" s="6" t="s">
        <v>1214</v>
      </c>
      <c r="W318" s="6" t="s">
        <v>91</v>
      </c>
      <c r="X318" s="6" t="s">
        <v>91</v>
      </c>
      <c r="Y318" s="6" t="s">
        <v>91</v>
      </c>
      <c r="Z318" s="6" t="s">
        <v>58</v>
      </c>
      <c r="AA318" s="6" t="s">
        <v>91</v>
      </c>
      <c r="AB318" s="6">
        <v>6888.96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288</v>
      </c>
      <c r="AJ318" s="6" t="s">
        <v>257</v>
      </c>
      <c r="AK318" s="6" t="s">
        <v>16</v>
      </c>
      <c r="AL318" s="6" t="s">
        <v>48</v>
      </c>
      <c r="AM318" s="6" t="s">
        <v>258</v>
      </c>
      <c r="AN318" s="6" t="s">
        <v>20</v>
      </c>
      <c r="AO318" s="6" t="s">
        <v>272</v>
      </c>
      <c r="AP318" s="6" t="s">
        <v>273</v>
      </c>
      <c r="AQ318" s="6" t="s">
        <v>18</v>
      </c>
    </row>
    <row r="319" spans="1:43" x14ac:dyDescent="0.25">
      <c r="A319" s="6">
        <v>22867471</v>
      </c>
      <c r="B319" s="6">
        <v>23646580</v>
      </c>
      <c r="C319" s="6" t="s">
        <v>248</v>
      </c>
      <c r="D319" s="14">
        <v>45904.472071759257</v>
      </c>
      <c r="E319" s="14">
        <v>45904.481793981482</v>
      </c>
      <c r="F319" s="6" t="s">
        <v>21</v>
      </c>
      <c r="G319" s="6" t="s">
        <v>21</v>
      </c>
      <c r="H319" s="6" t="s">
        <v>1290</v>
      </c>
      <c r="I319" s="6" t="s">
        <v>16</v>
      </c>
      <c r="J319" s="6" t="s">
        <v>1291</v>
      </c>
      <c r="K319" s="6" t="s">
        <v>1212</v>
      </c>
      <c r="L319" s="6" t="s">
        <v>1212</v>
      </c>
      <c r="M319" s="14">
        <v>45904.356944444437</v>
      </c>
      <c r="N319" s="6" t="s">
        <v>1292</v>
      </c>
      <c r="O319" s="6" t="s">
        <v>91</v>
      </c>
      <c r="P319" s="6" t="s">
        <v>252</v>
      </c>
      <c r="Q319" s="6" t="s">
        <v>253</v>
      </c>
      <c r="R319" s="6" t="s">
        <v>253</v>
      </c>
      <c r="S319" s="6" t="s">
        <v>9</v>
      </c>
      <c r="T319" s="6" t="s">
        <v>254</v>
      </c>
      <c r="U319" s="6" t="s">
        <v>118</v>
      </c>
      <c r="V319" s="6" t="s">
        <v>1214</v>
      </c>
      <c r="W319" s="6" t="s">
        <v>91</v>
      </c>
      <c r="X319" s="6" t="s">
        <v>91</v>
      </c>
      <c r="Y319" s="6" t="s">
        <v>91</v>
      </c>
      <c r="Z319" s="6" t="s">
        <v>58</v>
      </c>
      <c r="AA319" s="6" t="s">
        <v>91</v>
      </c>
      <c r="AB319" s="6">
        <v>254.1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288</v>
      </c>
      <c r="AJ319" s="6" t="s">
        <v>257</v>
      </c>
      <c r="AK319" s="6" t="s">
        <v>16</v>
      </c>
      <c r="AL319" s="6" t="s">
        <v>48</v>
      </c>
      <c r="AM319" s="6" t="s">
        <v>258</v>
      </c>
      <c r="AN319" s="6" t="s">
        <v>20</v>
      </c>
      <c r="AO319" s="6" t="s">
        <v>272</v>
      </c>
      <c r="AP319" s="6" t="s">
        <v>273</v>
      </c>
      <c r="AQ319" s="6" t="s">
        <v>18</v>
      </c>
    </row>
    <row r="320" spans="1:43" x14ac:dyDescent="0.25">
      <c r="A320" s="6">
        <v>22867472</v>
      </c>
      <c r="B320" s="6">
        <v>23646581</v>
      </c>
      <c r="C320" s="6" t="s">
        <v>248</v>
      </c>
      <c r="D320" s="14">
        <v>45904.472141203703</v>
      </c>
      <c r="E320" s="14">
        <v>45904.481817129628</v>
      </c>
      <c r="F320" s="6" t="s">
        <v>21</v>
      </c>
      <c r="G320" s="6" t="s">
        <v>21</v>
      </c>
      <c r="H320" s="6" t="s">
        <v>1293</v>
      </c>
      <c r="I320" s="6" t="s">
        <v>16</v>
      </c>
      <c r="J320" s="6" t="s">
        <v>1294</v>
      </c>
      <c r="K320" s="6" t="s">
        <v>1212</v>
      </c>
      <c r="L320" s="6" t="s">
        <v>1212</v>
      </c>
      <c r="M320" s="14">
        <v>45904.365972222222</v>
      </c>
      <c r="N320" s="6" t="s">
        <v>1295</v>
      </c>
      <c r="O320" s="6" t="s">
        <v>91</v>
      </c>
      <c r="P320" s="6" t="s">
        <v>252</v>
      </c>
      <c r="Q320" s="6" t="s">
        <v>253</v>
      </c>
      <c r="R320" s="6" t="s">
        <v>253</v>
      </c>
      <c r="S320" s="6" t="s">
        <v>9</v>
      </c>
      <c r="T320" s="6" t="s">
        <v>254</v>
      </c>
      <c r="U320" s="6" t="s">
        <v>118</v>
      </c>
      <c r="V320" s="6" t="s">
        <v>1214</v>
      </c>
      <c r="W320" s="6" t="s">
        <v>91</v>
      </c>
      <c r="X320" s="6" t="s">
        <v>91</v>
      </c>
      <c r="Y320" s="6" t="s">
        <v>91</v>
      </c>
      <c r="Z320" s="6" t="s">
        <v>58</v>
      </c>
      <c r="AA320" s="6" t="s">
        <v>91</v>
      </c>
      <c r="AB320" s="6">
        <v>240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288</v>
      </c>
      <c r="AJ320" s="6" t="s">
        <v>257</v>
      </c>
      <c r="AK320" s="6" t="s">
        <v>16</v>
      </c>
      <c r="AL320" s="6" t="s">
        <v>48</v>
      </c>
      <c r="AM320" s="6" t="s">
        <v>258</v>
      </c>
      <c r="AN320" s="6" t="s">
        <v>20</v>
      </c>
      <c r="AO320" s="6" t="s">
        <v>272</v>
      </c>
      <c r="AP320" s="6" t="s">
        <v>273</v>
      </c>
      <c r="AQ320" s="6" t="s">
        <v>18</v>
      </c>
    </row>
    <row r="321" spans="1:43" x14ac:dyDescent="0.25">
      <c r="A321" s="6">
        <v>22870159</v>
      </c>
      <c r="B321" s="6">
        <v>23649433</v>
      </c>
      <c r="C321" s="6" t="s">
        <v>248</v>
      </c>
      <c r="D321" s="14">
        <v>45904.765381944453</v>
      </c>
      <c r="E321" s="14">
        <v>45904.781898148147</v>
      </c>
      <c r="F321" s="6" t="s">
        <v>21</v>
      </c>
      <c r="G321" s="6" t="s">
        <v>21</v>
      </c>
      <c r="H321" s="6" t="s">
        <v>1296</v>
      </c>
      <c r="I321" s="6" t="s">
        <v>16</v>
      </c>
      <c r="J321" s="6" t="s">
        <v>1297</v>
      </c>
      <c r="K321" s="6" t="s">
        <v>1212</v>
      </c>
      <c r="L321" s="6" t="s">
        <v>1212</v>
      </c>
      <c r="M321" s="14">
        <v>45904.65347222222</v>
      </c>
      <c r="N321" s="6" t="s">
        <v>1298</v>
      </c>
      <c r="O321" s="6" t="s">
        <v>91</v>
      </c>
      <c r="P321" s="6" t="s">
        <v>252</v>
      </c>
      <c r="Q321" s="6" t="s">
        <v>253</v>
      </c>
      <c r="R321" s="6" t="s">
        <v>253</v>
      </c>
      <c r="S321" s="6" t="s">
        <v>9</v>
      </c>
      <c r="T321" s="6" t="s">
        <v>254</v>
      </c>
      <c r="U321" s="6" t="s">
        <v>118</v>
      </c>
      <c r="V321" s="6" t="s">
        <v>1214</v>
      </c>
      <c r="W321" s="6" t="s">
        <v>91</v>
      </c>
      <c r="X321" s="6" t="s">
        <v>91</v>
      </c>
      <c r="Y321" s="6" t="s">
        <v>91</v>
      </c>
      <c r="Z321" s="6" t="s">
        <v>58</v>
      </c>
      <c r="AA321" s="6" t="s">
        <v>91</v>
      </c>
      <c r="AB321" s="6">
        <v>288.75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288</v>
      </c>
      <c r="AJ321" s="6" t="s">
        <v>257</v>
      </c>
      <c r="AK321" s="6" t="s">
        <v>16</v>
      </c>
      <c r="AL321" s="6" t="s">
        <v>48</v>
      </c>
      <c r="AM321" s="6" t="s">
        <v>258</v>
      </c>
      <c r="AN321" s="6" t="s">
        <v>20</v>
      </c>
      <c r="AO321" s="6" t="s">
        <v>272</v>
      </c>
      <c r="AP321" s="6" t="s">
        <v>273</v>
      </c>
      <c r="AQ321" s="6" t="s">
        <v>18</v>
      </c>
    </row>
    <row r="322" spans="1:43" x14ac:dyDescent="0.25">
      <c r="A322" s="6">
        <v>22873949</v>
      </c>
      <c r="B322" s="6">
        <v>23652497</v>
      </c>
      <c r="C322" s="6" t="s">
        <v>248</v>
      </c>
      <c r="D322" s="14">
        <v>45905.43209490741</v>
      </c>
      <c r="E322" s="14">
        <v>45905.438449074078</v>
      </c>
      <c r="F322" s="6" t="s">
        <v>21</v>
      </c>
      <c r="G322" s="6" t="s">
        <v>21</v>
      </c>
      <c r="H322" s="6" t="s">
        <v>1299</v>
      </c>
      <c r="I322" s="6" t="s">
        <v>16</v>
      </c>
      <c r="J322" s="6" t="s">
        <v>1291</v>
      </c>
      <c r="K322" s="6" t="s">
        <v>1212</v>
      </c>
      <c r="L322" s="6" t="s">
        <v>1212</v>
      </c>
      <c r="M322" s="14">
        <v>45905.30972222222</v>
      </c>
      <c r="N322" s="6" t="s">
        <v>1300</v>
      </c>
      <c r="O322" s="6" t="s">
        <v>91</v>
      </c>
      <c r="P322" s="6" t="s">
        <v>252</v>
      </c>
      <c r="Q322" s="6" t="s">
        <v>253</v>
      </c>
      <c r="R322" s="6" t="s">
        <v>253</v>
      </c>
      <c r="S322" s="6" t="s">
        <v>9</v>
      </c>
      <c r="T322" s="6" t="s">
        <v>254</v>
      </c>
      <c r="U322" s="6" t="s">
        <v>118</v>
      </c>
      <c r="V322" s="6" t="s">
        <v>1214</v>
      </c>
      <c r="W322" s="6" t="s">
        <v>91</v>
      </c>
      <c r="X322" s="6" t="s">
        <v>91</v>
      </c>
      <c r="Y322" s="6" t="s">
        <v>91</v>
      </c>
      <c r="Z322" s="6" t="s">
        <v>58</v>
      </c>
      <c r="AA322" s="6" t="s">
        <v>91</v>
      </c>
      <c r="AB322" s="6">
        <v>275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288</v>
      </c>
      <c r="AJ322" s="6" t="s">
        <v>257</v>
      </c>
      <c r="AK322" s="6" t="s">
        <v>16</v>
      </c>
      <c r="AL322" s="6" t="s">
        <v>48</v>
      </c>
      <c r="AM322" s="6" t="s">
        <v>258</v>
      </c>
      <c r="AN322" s="6" t="s">
        <v>20</v>
      </c>
      <c r="AO322" s="6" t="s">
        <v>272</v>
      </c>
      <c r="AP322" s="6" t="s">
        <v>273</v>
      </c>
      <c r="AQ322" s="6" t="s">
        <v>18</v>
      </c>
    </row>
    <row r="323" spans="1:43" x14ac:dyDescent="0.25">
      <c r="A323" s="6">
        <v>22873953</v>
      </c>
      <c r="B323" s="6">
        <v>23652500</v>
      </c>
      <c r="C323" s="6" t="s">
        <v>248</v>
      </c>
      <c r="D323" s="14">
        <v>45905.432141203702</v>
      </c>
      <c r="E323" s="14">
        <v>45905.438449074078</v>
      </c>
      <c r="F323" s="6" t="s">
        <v>21</v>
      </c>
      <c r="G323" s="6" t="s">
        <v>21</v>
      </c>
      <c r="H323" s="6" t="s">
        <v>1301</v>
      </c>
      <c r="I323" s="6" t="s">
        <v>16</v>
      </c>
      <c r="J323" s="6" t="s">
        <v>1294</v>
      </c>
      <c r="K323" s="6" t="s">
        <v>1212</v>
      </c>
      <c r="L323" s="6" t="s">
        <v>1212</v>
      </c>
      <c r="M323" s="14">
        <v>45905.311805555553</v>
      </c>
      <c r="N323" s="6" t="s">
        <v>1302</v>
      </c>
      <c r="O323" s="6" t="s">
        <v>91</v>
      </c>
      <c r="P323" s="6" t="s">
        <v>252</v>
      </c>
      <c r="Q323" s="6" t="s">
        <v>253</v>
      </c>
      <c r="R323" s="6" t="s">
        <v>253</v>
      </c>
      <c r="S323" s="6" t="s">
        <v>9</v>
      </c>
      <c r="T323" s="6" t="s">
        <v>254</v>
      </c>
      <c r="U323" s="6" t="s">
        <v>118</v>
      </c>
      <c r="V323" s="6" t="s">
        <v>1214</v>
      </c>
      <c r="W323" s="6" t="s">
        <v>91</v>
      </c>
      <c r="X323" s="6" t="s">
        <v>91</v>
      </c>
      <c r="Y323" s="6" t="s">
        <v>91</v>
      </c>
      <c r="Z323" s="6" t="s">
        <v>58</v>
      </c>
      <c r="AA323" s="6" t="s">
        <v>91</v>
      </c>
      <c r="AB323" s="6">
        <v>578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288</v>
      </c>
      <c r="AJ323" s="6" t="s">
        <v>257</v>
      </c>
      <c r="AK323" s="6" t="s">
        <v>16</v>
      </c>
      <c r="AL323" s="6" t="s">
        <v>48</v>
      </c>
      <c r="AM323" s="6" t="s">
        <v>258</v>
      </c>
      <c r="AN323" s="6" t="s">
        <v>20</v>
      </c>
      <c r="AO323" s="6" t="s">
        <v>272</v>
      </c>
      <c r="AP323" s="6" t="s">
        <v>273</v>
      </c>
      <c r="AQ323" s="6" t="s">
        <v>18</v>
      </c>
    </row>
    <row r="324" spans="1:43" x14ac:dyDescent="0.25">
      <c r="A324" s="6">
        <v>22873957</v>
      </c>
      <c r="B324" s="6">
        <v>23652505</v>
      </c>
      <c r="C324" s="6" t="s">
        <v>248</v>
      </c>
      <c r="D324" s="14">
        <v>45905.432303240741</v>
      </c>
      <c r="E324" s="14">
        <v>45905.438715277778</v>
      </c>
      <c r="F324" s="6" t="s">
        <v>21</v>
      </c>
      <c r="G324" s="6" t="s">
        <v>21</v>
      </c>
      <c r="H324" s="6" t="s">
        <v>1303</v>
      </c>
      <c r="I324" s="6" t="s">
        <v>16</v>
      </c>
      <c r="J324" s="6" t="s">
        <v>1291</v>
      </c>
      <c r="K324" s="6" t="s">
        <v>1212</v>
      </c>
      <c r="L324" s="6" t="s">
        <v>1212</v>
      </c>
      <c r="M324" s="14">
        <v>45905.318749999999</v>
      </c>
      <c r="N324" s="6" t="s">
        <v>1304</v>
      </c>
      <c r="O324" s="6" t="s">
        <v>91</v>
      </c>
      <c r="P324" s="6" t="s">
        <v>252</v>
      </c>
      <c r="Q324" s="6" t="s">
        <v>253</v>
      </c>
      <c r="R324" s="6" t="s">
        <v>253</v>
      </c>
      <c r="S324" s="6" t="s">
        <v>9</v>
      </c>
      <c r="T324" s="6" t="s">
        <v>254</v>
      </c>
      <c r="U324" s="6" t="s">
        <v>118</v>
      </c>
      <c r="V324" s="6" t="s">
        <v>1214</v>
      </c>
      <c r="W324" s="6" t="s">
        <v>91</v>
      </c>
      <c r="X324" s="6" t="s">
        <v>91</v>
      </c>
      <c r="Y324" s="6" t="s">
        <v>91</v>
      </c>
      <c r="Z324" s="6" t="s">
        <v>58</v>
      </c>
      <c r="AA324" s="6" t="s">
        <v>91</v>
      </c>
      <c r="AB324" s="6">
        <v>200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288</v>
      </c>
      <c r="AJ324" s="6" t="s">
        <v>257</v>
      </c>
      <c r="AK324" s="6" t="s">
        <v>16</v>
      </c>
      <c r="AL324" s="6" t="s">
        <v>48</v>
      </c>
      <c r="AM324" s="6" t="s">
        <v>258</v>
      </c>
      <c r="AN324" s="6" t="s">
        <v>20</v>
      </c>
      <c r="AO324" s="6" t="s">
        <v>272</v>
      </c>
      <c r="AP324" s="6" t="s">
        <v>273</v>
      </c>
      <c r="AQ324" s="6" t="s">
        <v>18</v>
      </c>
    </row>
    <row r="325" spans="1:43" x14ac:dyDescent="0.25">
      <c r="A325" s="6">
        <v>22873959</v>
      </c>
      <c r="B325" s="6">
        <v>23652507</v>
      </c>
      <c r="C325" s="6" t="s">
        <v>248</v>
      </c>
      <c r="D325" s="14">
        <v>45905.432395833333</v>
      </c>
      <c r="E325" s="14">
        <v>45905.438773148147</v>
      </c>
      <c r="F325" s="6" t="s">
        <v>21</v>
      </c>
      <c r="G325" s="6" t="s">
        <v>21</v>
      </c>
      <c r="H325" s="6" t="s">
        <v>1305</v>
      </c>
      <c r="I325" s="6" t="s">
        <v>16</v>
      </c>
      <c r="J325" s="6" t="s">
        <v>1291</v>
      </c>
      <c r="K325" s="6" t="s">
        <v>1212</v>
      </c>
      <c r="L325" s="6" t="s">
        <v>1212</v>
      </c>
      <c r="M325" s="14">
        <v>45905.324999999997</v>
      </c>
      <c r="N325" s="6" t="s">
        <v>1306</v>
      </c>
      <c r="O325" s="6" t="s">
        <v>91</v>
      </c>
      <c r="P325" s="6" t="s">
        <v>252</v>
      </c>
      <c r="Q325" s="6" t="s">
        <v>253</v>
      </c>
      <c r="R325" s="6" t="s">
        <v>253</v>
      </c>
      <c r="S325" s="6" t="s">
        <v>9</v>
      </c>
      <c r="T325" s="6" t="s">
        <v>254</v>
      </c>
      <c r="U325" s="6" t="s">
        <v>118</v>
      </c>
      <c r="V325" s="6" t="s">
        <v>1214</v>
      </c>
      <c r="W325" s="6" t="s">
        <v>91</v>
      </c>
      <c r="X325" s="6" t="s">
        <v>91</v>
      </c>
      <c r="Y325" s="6" t="s">
        <v>91</v>
      </c>
      <c r="Z325" s="6" t="s">
        <v>58</v>
      </c>
      <c r="AA325" s="6" t="s">
        <v>91</v>
      </c>
      <c r="AB325" s="6">
        <v>240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288</v>
      </c>
      <c r="AJ325" s="6" t="s">
        <v>257</v>
      </c>
      <c r="AK325" s="6" t="s">
        <v>16</v>
      </c>
      <c r="AL325" s="6" t="s">
        <v>48</v>
      </c>
      <c r="AM325" s="6" t="s">
        <v>258</v>
      </c>
      <c r="AN325" s="6" t="s">
        <v>20</v>
      </c>
      <c r="AO325" s="6" t="s">
        <v>272</v>
      </c>
      <c r="AP325" s="6" t="s">
        <v>273</v>
      </c>
      <c r="AQ325" s="6" t="s">
        <v>18</v>
      </c>
    </row>
    <row r="326" spans="1:43" x14ac:dyDescent="0.25">
      <c r="A326" s="6">
        <v>22873961</v>
      </c>
      <c r="B326" s="6">
        <v>23652509</v>
      </c>
      <c r="C326" s="6" t="s">
        <v>248</v>
      </c>
      <c r="D326" s="14">
        <v>45905.432488425933</v>
      </c>
      <c r="E326" s="14">
        <v>45905.438819444447</v>
      </c>
      <c r="F326" s="6" t="s">
        <v>21</v>
      </c>
      <c r="G326" s="6" t="s">
        <v>21</v>
      </c>
      <c r="H326" s="6" t="s">
        <v>1307</v>
      </c>
      <c r="I326" s="6" t="s">
        <v>16</v>
      </c>
      <c r="J326" s="6" t="s">
        <v>1308</v>
      </c>
      <c r="K326" s="6" t="s">
        <v>1212</v>
      </c>
      <c r="L326" s="6" t="s">
        <v>1212</v>
      </c>
      <c r="M326" s="14">
        <v>45905.32916666667</v>
      </c>
      <c r="N326" s="6" t="s">
        <v>1309</v>
      </c>
      <c r="O326" s="6" t="s">
        <v>91</v>
      </c>
      <c r="P326" s="6" t="s">
        <v>252</v>
      </c>
      <c r="Q326" s="6" t="s">
        <v>253</v>
      </c>
      <c r="R326" s="6" t="s">
        <v>253</v>
      </c>
      <c r="S326" s="6" t="s">
        <v>9</v>
      </c>
      <c r="T326" s="6" t="s">
        <v>254</v>
      </c>
      <c r="U326" s="6" t="s">
        <v>118</v>
      </c>
      <c r="V326" s="6" t="s">
        <v>1214</v>
      </c>
      <c r="W326" s="6" t="s">
        <v>91</v>
      </c>
      <c r="X326" s="6" t="s">
        <v>91</v>
      </c>
      <c r="Y326" s="6" t="s">
        <v>91</v>
      </c>
      <c r="Z326" s="6" t="s">
        <v>58</v>
      </c>
      <c r="AA326" s="6" t="s">
        <v>91</v>
      </c>
      <c r="AB326" s="6">
        <v>225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288</v>
      </c>
      <c r="AJ326" s="6" t="s">
        <v>257</v>
      </c>
      <c r="AK326" s="6" t="s">
        <v>16</v>
      </c>
      <c r="AL326" s="6" t="s">
        <v>48</v>
      </c>
      <c r="AM326" s="6" t="s">
        <v>258</v>
      </c>
      <c r="AN326" s="6" t="s">
        <v>20</v>
      </c>
      <c r="AO326" s="6" t="s">
        <v>272</v>
      </c>
      <c r="AP326" s="6" t="s">
        <v>273</v>
      </c>
      <c r="AQ326" s="6" t="s">
        <v>18</v>
      </c>
    </row>
    <row r="327" spans="1:43" x14ac:dyDescent="0.25">
      <c r="A327" s="6">
        <v>22873962</v>
      </c>
      <c r="B327" s="6">
        <v>23652511</v>
      </c>
      <c r="C327" s="6" t="s">
        <v>248</v>
      </c>
      <c r="D327" s="14">
        <v>45905.432534722233</v>
      </c>
      <c r="E327" s="14">
        <v>45905.438831018517</v>
      </c>
      <c r="F327" s="6" t="s">
        <v>21</v>
      </c>
      <c r="G327" s="6" t="s">
        <v>21</v>
      </c>
      <c r="H327" s="6" t="s">
        <v>1310</v>
      </c>
      <c r="I327" s="6" t="s">
        <v>16</v>
      </c>
      <c r="J327" s="6" t="s">
        <v>1308</v>
      </c>
      <c r="K327" s="6" t="s">
        <v>1212</v>
      </c>
      <c r="L327" s="6" t="s">
        <v>1212</v>
      </c>
      <c r="M327" s="14">
        <v>45905.331250000003</v>
      </c>
      <c r="N327" s="6" t="s">
        <v>1311</v>
      </c>
      <c r="O327" s="6" t="s">
        <v>91</v>
      </c>
      <c r="P327" s="6" t="s">
        <v>252</v>
      </c>
      <c r="Q327" s="6" t="s">
        <v>253</v>
      </c>
      <c r="R327" s="6" t="s">
        <v>253</v>
      </c>
      <c r="S327" s="6" t="s">
        <v>9</v>
      </c>
      <c r="T327" s="6" t="s">
        <v>254</v>
      </c>
      <c r="U327" s="6" t="s">
        <v>118</v>
      </c>
      <c r="V327" s="6" t="s">
        <v>1214</v>
      </c>
      <c r="W327" s="6" t="s">
        <v>91</v>
      </c>
      <c r="X327" s="6" t="s">
        <v>91</v>
      </c>
      <c r="Y327" s="6" t="s">
        <v>91</v>
      </c>
      <c r="Z327" s="6" t="s">
        <v>58</v>
      </c>
      <c r="AA327" s="6" t="s">
        <v>91</v>
      </c>
      <c r="AB327" s="6">
        <v>604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288</v>
      </c>
      <c r="AJ327" s="6" t="s">
        <v>257</v>
      </c>
      <c r="AK327" s="6" t="s">
        <v>16</v>
      </c>
      <c r="AL327" s="6" t="s">
        <v>48</v>
      </c>
      <c r="AM327" s="6" t="s">
        <v>258</v>
      </c>
      <c r="AN327" s="6" t="s">
        <v>20</v>
      </c>
      <c r="AO327" s="6" t="s">
        <v>272</v>
      </c>
      <c r="AP327" s="6" t="s">
        <v>273</v>
      </c>
      <c r="AQ327" s="6" t="s">
        <v>18</v>
      </c>
    </row>
    <row r="328" spans="1:43" x14ac:dyDescent="0.25">
      <c r="A328" s="6">
        <v>22873963</v>
      </c>
      <c r="B328" s="6">
        <v>23652512</v>
      </c>
      <c r="C328" s="6" t="s">
        <v>248</v>
      </c>
      <c r="D328" s="14">
        <v>45905.432581018518</v>
      </c>
      <c r="E328" s="14">
        <v>45905.438831018517</v>
      </c>
      <c r="F328" s="6" t="s">
        <v>21</v>
      </c>
      <c r="G328" s="6" t="s">
        <v>21</v>
      </c>
      <c r="H328" s="6" t="s">
        <v>1312</v>
      </c>
      <c r="I328" s="6" t="s">
        <v>16</v>
      </c>
      <c r="J328" s="6" t="s">
        <v>1313</v>
      </c>
      <c r="K328" s="6" t="s">
        <v>1212</v>
      </c>
      <c r="L328" s="6" t="s">
        <v>1212</v>
      </c>
      <c r="M328" s="14">
        <v>45905.332638888889</v>
      </c>
      <c r="N328" s="6" t="s">
        <v>1314</v>
      </c>
      <c r="O328" s="6" t="s">
        <v>91</v>
      </c>
      <c r="P328" s="6" t="s">
        <v>252</v>
      </c>
      <c r="Q328" s="6" t="s">
        <v>253</v>
      </c>
      <c r="R328" s="6" t="s">
        <v>253</v>
      </c>
      <c r="S328" s="6" t="s">
        <v>9</v>
      </c>
      <c r="T328" s="6" t="s">
        <v>254</v>
      </c>
      <c r="U328" s="6" t="s">
        <v>118</v>
      </c>
      <c r="V328" s="6" t="s">
        <v>1214</v>
      </c>
      <c r="W328" s="6" t="s">
        <v>91</v>
      </c>
      <c r="X328" s="6" t="s">
        <v>91</v>
      </c>
      <c r="Y328" s="6" t="s">
        <v>91</v>
      </c>
      <c r="Z328" s="6" t="s">
        <v>58</v>
      </c>
      <c r="AA328" s="6" t="s">
        <v>91</v>
      </c>
      <c r="AB328" s="6">
        <v>265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288</v>
      </c>
      <c r="AJ328" s="6" t="s">
        <v>257</v>
      </c>
      <c r="AK328" s="6" t="s">
        <v>16</v>
      </c>
      <c r="AL328" s="6" t="s">
        <v>48</v>
      </c>
      <c r="AM328" s="6" t="s">
        <v>258</v>
      </c>
      <c r="AN328" s="6" t="s">
        <v>20</v>
      </c>
      <c r="AO328" s="6" t="s">
        <v>272</v>
      </c>
      <c r="AP328" s="6" t="s">
        <v>273</v>
      </c>
      <c r="AQ328" s="6" t="s">
        <v>18</v>
      </c>
    </row>
    <row r="329" spans="1:43" x14ac:dyDescent="0.25">
      <c r="A329" s="6">
        <v>22873972</v>
      </c>
      <c r="B329" s="6">
        <v>23652524</v>
      </c>
      <c r="C329" s="6" t="s">
        <v>248</v>
      </c>
      <c r="D329" s="14">
        <v>45905.433020833327</v>
      </c>
      <c r="E329" s="14">
        <v>45905.44431712963</v>
      </c>
      <c r="F329" s="6" t="s">
        <v>21</v>
      </c>
      <c r="G329" s="6" t="s">
        <v>21</v>
      </c>
      <c r="H329" s="6" t="s">
        <v>1315</v>
      </c>
      <c r="I329" s="6" t="s">
        <v>16</v>
      </c>
      <c r="J329" s="6" t="s">
        <v>1316</v>
      </c>
      <c r="K329" s="6" t="s">
        <v>1212</v>
      </c>
      <c r="L329" s="6" t="s">
        <v>1212</v>
      </c>
      <c r="M329" s="14">
        <v>45905.337500000001</v>
      </c>
      <c r="N329" s="6" t="s">
        <v>1317</v>
      </c>
      <c r="O329" s="6" t="s">
        <v>91</v>
      </c>
      <c r="P329" s="6" t="s">
        <v>252</v>
      </c>
      <c r="Q329" s="6" t="s">
        <v>253</v>
      </c>
      <c r="R329" s="6" t="s">
        <v>253</v>
      </c>
      <c r="S329" s="6" t="s">
        <v>9</v>
      </c>
      <c r="T329" s="6" t="s">
        <v>254</v>
      </c>
      <c r="U329" s="6" t="s">
        <v>118</v>
      </c>
      <c r="V329" s="6" t="s">
        <v>1214</v>
      </c>
      <c r="W329" s="6" t="s">
        <v>91</v>
      </c>
      <c r="X329" s="6" t="s">
        <v>91</v>
      </c>
      <c r="Y329" s="6" t="s">
        <v>91</v>
      </c>
      <c r="Z329" s="6" t="s">
        <v>58</v>
      </c>
      <c r="AA329" s="6" t="s">
        <v>91</v>
      </c>
      <c r="AB329" s="6">
        <v>400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288</v>
      </c>
      <c r="AJ329" s="6" t="s">
        <v>257</v>
      </c>
      <c r="AK329" s="6" t="s">
        <v>16</v>
      </c>
      <c r="AL329" s="6" t="s">
        <v>48</v>
      </c>
      <c r="AM329" s="6" t="s">
        <v>258</v>
      </c>
      <c r="AN329" s="6" t="s">
        <v>20</v>
      </c>
      <c r="AO329" s="6" t="s">
        <v>272</v>
      </c>
      <c r="AP329" s="6" t="s">
        <v>273</v>
      </c>
      <c r="AQ329" s="6" t="s">
        <v>18</v>
      </c>
    </row>
    <row r="330" spans="1:43" x14ac:dyDescent="0.25">
      <c r="A330" s="6">
        <v>22911550</v>
      </c>
      <c r="B330" s="6">
        <v>23684704</v>
      </c>
      <c r="C330" s="6" t="s">
        <v>248</v>
      </c>
      <c r="D330" s="14">
        <v>45911.815335648149</v>
      </c>
      <c r="E330" s="14">
        <v>45911.817511574067</v>
      </c>
      <c r="F330" s="6" t="s">
        <v>17</v>
      </c>
      <c r="G330" s="6" t="s">
        <v>17</v>
      </c>
      <c r="H330" s="6" t="s">
        <v>1318</v>
      </c>
      <c r="I330" s="6" t="s">
        <v>16</v>
      </c>
      <c r="J330" s="6" t="s">
        <v>1319</v>
      </c>
      <c r="K330" s="6" t="s">
        <v>1320</v>
      </c>
      <c r="L330" s="6" t="s">
        <v>1320</v>
      </c>
      <c r="M330" s="14">
        <v>45911.322222222218</v>
      </c>
      <c r="N330" s="6" t="s">
        <v>1321</v>
      </c>
      <c r="O330" s="6" t="s">
        <v>91</v>
      </c>
      <c r="P330" s="6" t="s">
        <v>276</v>
      </c>
      <c r="Q330" s="6" t="s">
        <v>318</v>
      </c>
      <c r="R330" s="6" t="s">
        <v>318</v>
      </c>
      <c r="S330" s="6" t="s">
        <v>9</v>
      </c>
      <c r="T330" s="6" t="s">
        <v>254</v>
      </c>
      <c r="U330" s="6" t="s">
        <v>118</v>
      </c>
      <c r="V330" s="6" t="s">
        <v>1214</v>
      </c>
      <c r="W330" s="6" t="s">
        <v>91</v>
      </c>
      <c r="X330" s="6" t="s">
        <v>91</v>
      </c>
      <c r="Y330" s="6" t="s">
        <v>91</v>
      </c>
      <c r="Z330" s="6" t="s">
        <v>58</v>
      </c>
      <c r="AA330" s="6" t="s">
        <v>91</v>
      </c>
      <c r="AB330" s="6">
        <v>2728</v>
      </c>
      <c r="AC330" s="6">
        <v>136.4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288</v>
      </c>
      <c r="AJ330" s="6" t="s">
        <v>257</v>
      </c>
      <c r="AK330" s="6" t="s">
        <v>16</v>
      </c>
      <c r="AL330" s="6" t="s">
        <v>48</v>
      </c>
      <c r="AM330" s="6" t="s">
        <v>258</v>
      </c>
      <c r="AN330" s="6" t="s">
        <v>20</v>
      </c>
      <c r="AO330" s="6" t="s">
        <v>272</v>
      </c>
      <c r="AP330" s="6" t="s">
        <v>273</v>
      </c>
      <c r="AQ330" s="6" t="s">
        <v>90</v>
      </c>
    </row>
    <row r="331" spans="1:43" x14ac:dyDescent="0.25">
      <c r="A331" s="6">
        <v>22905709</v>
      </c>
      <c r="B331" s="6">
        <v>23679667</v>
      </c>
      <c r="C331" s="6" t="s">
        <v>248</v>
      </c>
      <c r="D331" s="14">
        <v>45910.952060185176</v>
      </c>
      <c r="E331" s="14">
        <v>45910.962696759263</v>
      </c>
      <c r="F331" s="6" t="s">
        <v>17</v>
      </c>
      <c r="G331" s="6" t="s">
        <v>17</v>
      </c>
      <c r="H331" s="6" t="s">
        <v>1322</v>
      </c>
      <c r="I331" s="6" t="s">
        <v>16</v>
      </c>
      <c r="J331" s="6" t="s">
        <v>1323</v>
      </c>
      <c r="K331" s="6" t="s">
        <v>369</v>
      </c>
      <c r="L331" s="6" t="s">
        <v>369</v>
      </c>
      <c r="M331" s="14">
        <v>45908.656944444447</v>
      </c>
      <c r="N331" s="6" t="s">
        <v>1324</v>
      </c>
      <c r="O331" s="6" t="s">
        <v>91</v>
      </c>
      <c r="P331" s="6" t="s">
        <v>252</v>
      </c>
      <c r="Q331" s="6" t="s">
        <v>268</v>
      </c>
      <c r="R331" s="6" t="s">
        <v>269</v>
      </c>
      <c r="S331" s="6" t="s">
        <v>9</v>
      </c>
      <c r="T331" s="6" t="s">
        <v>254</v>
      </c>
      <c r="U331" s="6" t="s">
        <v>141</v>
      </c>
      <c r="V331" s="6" t="s">
        <v>1325</v>
      </c>
      <c r="W331" s="6" t="s">
        <v>91</v>
      </c>
      <c r="X331" s="6" t="s">
        <v>91</v>
      </c>
      <c r="Y331" s="6" t="s">
        <v>91</v>
      </c>
      <c r="Z331" s="6" t="s">
        <v>82</v>
      </c>
      <c r="AA331" s="6" t="s">
        <v>91</v>
      </c>
      <c r="AB331" s="6">
        <v>2108</v>
      </c>
      <c r="AC331" s="6">
        <v>79.849999999999994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288</v>
      </c>
      <c r="AJ331" s="6" t="s">
        <v>257</v>
      </c>
      <c r="AK331" s="6" t="s">
        <v>16</v>
      </c>
      <c r="AL331" s="6" t="s">
        <v>48</v>
      </c>
      <c r="AM331" s="6" t="s">
        <v>258</v>
      </c>
      <c r="AN331" s="6" t="s">
        <v>20</v>
      </c>
      <c r="AO331" s="6" t="s">
        <v>259</v>
      </c>
      <c r="AP331" s="6" t="s">
        <v>260</v>
      </c>
      <c r="AQ331" s="6" t="s">
        <v>31</v>
      </c>
    </row>
    <row r="332" spans="1:43" x14ac:dyDescent="0.25">
      <c r="A332" s="6">
        <v>22905712</v>
      </c>
      <c r="B332" s="6">
        <v>23679670</v>
      </c>
      <c r="C332" s="6" t="s">
        <v>248</v>
      </c>
      <c r="D332" s="14">
        <v>45910.952199074083</v>
      </c>
      <c r="E332" s="14">
        <v>45910.962696759263</v>
      </c>
      <c r="F332" s="6" t="s">
        <v>17</v>
      </c>
      <c r="G332" s="6" t="s">
        <v>17</v>
      </c>
      <c r="H332" s="6" t="s">
        <v>1326</v>
      </c>
      <c r="I332" s="6" t="s">
        <v>16</v>
      </c>
      <c r="J332" s="6" t="s">
        <v>1327</v>
      </c>
      <c r="K332" s="6" t="s">
        <v>369</v>
      </c>
      <c r="L332" s="6" t="s">
        <v>369</v>
      </c>
      <c r="M332" s="14">
        <v>45908.693749999999</v>
      </c>
      <c r="N332" s="6" t="s">
        <v>1324</v>
      </c>
      <c r="O332" s="6" t="s">
        <v>91</v>
      </c>
      <c r="P332" s="6" t="s">
        <v>252</v>
      </c>
      <c r="Q332" s="6" t="s">
        <v>268</v>
      </c>
      <c r="R332" s="6" t="s">
        <v>269</v>
      </c>
      <c r="S332" s="6" t="s">
        <v>9</v>
      </c>
      <c r="T332" s="6" t="s">
        <v>254</v>
      </c>
      <c r="U332" s="6" t="s">
        <v>141</v>
      </c>
      <c r="V332" s="6" t="s">
        <v>1325</v>
      </c>
      <c r="W332" s="6" t="s">
        <v>91</v>
      </c>
      <c r="X332" s="6" t="s">
        <v>91</v>
      </c>
      <c r="Y332" s="6" t="s">
        <v>91</v>
      </c>
      <c r="Z332" s="6" t="s">
        <v>82</v>
      </c>
      <c r="AA332" s="6" t="s">
        <v>91</v>
      </c>
      <c r="AB332" s="6">
        <v>2108</v>
      </c>
      <c r="AC332" s="6">
        <v>79.849999999999994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288</v>
      </c>
      <c r="AJ332" s="6" t="s">
        <v>257</v>
      </c>
      <c r="AK332" s="6" t="s">
        <v>16</v>
      </c>
      <c r="AL332" s="6" t="s">
        <v>48</v>
      </c>
      <c r="AM332" s="6" t="s">
        <v>258</v>
      </c>
      <c r="AN332" s="6" t="s">
        <v>20</v>
      </c>
      <c r="AO332" s="6" t="s">
        <v>259</v>
      </c>
      <c r="AP332" s="6" t="s">
        <v>260</v>
      </c>
      <c r="AQ332" s="6" t="s">
        <v>31</v>
      </c>
    </row>
    <row r="333" spans="1:43" x14ac:dyDescent="0.25">
      <c r="A333" s="6">
        <v>22905714</v>
      </c>
      <c r="B333" s="6">
        <v>23679672</v>
      </c>
      <c r="C333" s="6" t="s">
        <v>248</v>
      </c>
      <c r="D333" s="14">
        <v>45910.952303240738</v>
      </c>
      <c r="E333" s="14">
        <v>45910.962708333333</v>
      </c>
      <c r="F333" s="6" t="s">
        <v>17</v>
      </c>
      <c r="G333" s="6" t="s">
        <v>17</v>
      </c>
      <c r="H333" s="6" t="s">
        <v>1328</v>
      </c>
      <c r="I333" s="6" t="s">
        <v>16</v>
      </c>
      <c r="J333" s="6" t="s">
        <v>1329</v>
      </c>
      <c r="K333" s="6" t="s">
        <v>369</v>
      </c>
      <c r="L333" s="6" t="s">
        <v>369</v>
      </c>
      <c r="M333" s="14">
        <v>45908.675000000003</v>
      </c>
      <c r="N333" s="6" t="s">
        <v>1324</v>
      </c>
      <c r="O333" s="6" t="s">
        <v>91</v>
      </c>
      <c r="P333" s="6" t="s">
        <v>252</v>
      </c>
      <c r="Q333" s="6" t="s">
        <v>268</v>
      </c>
      <c r="R333" s="6" t="s">
        <v>269</v>
      </c>
      <c r="S333" s="6" t="s">
        <v>9</v>
      </c>
      <c r="T333" s="6" t="s">
        <v>254</v>
      </c>
      <c r="U333" s="6" t="s">
        <v>141</v>
      </c>
      <c r="V333" s="6" t="s">
        <v>1325</v>
      </c>
      <c r="W333" s="6" t="s">
        <v>91</v>
      </c>
      <c r="X333" s="6" t="s">
        <v>91</v>
      </c>
      <c r="Y333" s="6" t="s">
        <v>91</v>
      </c>
      <c r="Z333" s="6" t="s">
        <v>82</v>
      </c>
      <c r="AA333" s="6" t="s">
        <v>91</v>
      </c>
      <c r="AB333" s="6">
        <v>2108</v>
      </c>
      <c r="AC333" s="6">
        <v>79.849999999999994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288</v>
      </c>
      <c r="AJ333" s="6" t="s">
        <v>257</v>
      </c>
      <c r="AK333" s="6" t="s">
        <v>16</v>
      </c>
      <c r="AL333" s="6" t="s">
        <v>48</v>
      </c>
      <c r="AM333" s="6" t="s">
        <v>258</v>
      </c>
      <c r="AN333" s="6" t="s">
        <v>20</v>
      </c>
      <c r="AO333" s="6" t="s">
        <v>259</v>
      </c>
      <c r="AP333" s="6" t="s">
        <v>260</v>
      </c>
      <c r="AQ333" s="6" t="s">
        <v>31</v>
      </c>
    </row>
    <row r="334" spans="1:43" x14ac:dyDescent="0.25">
      <c r="A334" s="6">
        <v>22905718</v>
      </c>
      <c r="B334" s="6">
        <v>23679676</v>
      </c>
      <c r="C334" s="6" t="s">
        <v>248</v>
      </c>
      <c r="D334" s="14">
        <v>45910.952534722222</v>
      </c>
      <c r="E334" s="14">
        <v>45910.96297453704</v>
      </c>
      <c r="F334" s="6" t="s">
        <v>17</v>
      </c>
      <c r="G334" s="6" t="s">
        <v>17</v>
      </c>
      <c r="H334" s="6" t="s">
        <v>1330</v>
      </c>
      <c r="I334" s="6" t="s">
        <v>16</v>
      </c>
      <c r="J334" s="6" t="s">
        <v>1331</v>
      </c>
      <c r="K334" s="6" t="s">
        <v>369</v>
      </c>
      <c r="L334" s="6" t="s">
        <v>369</v>
      </c>
      <c r="M334" s="14">
        <v>45910.411111111112</v>
      </c>
      <c r="N334" s="6" t="s">
        <v>1332</v>
      </c>
      <c r="O334" s="6" t="s">
        <v>91</v>
      </c>
      <c r="P334" s="6" t="s">
        <v>276</v>
      </c>
      <c r="Q334" s="6" t="s">
        <v>253</v>
      </c>
      <c r="R334" s="6" t="s">
        <v>253</v>
      </c>
      <c r="S334" s="6" t="s">
        <v>9</v>
      </c>
      <c r="T334" s="6" t="s">
        <v>254</v>
      </c>
      <c r="U334" s="6" t="s">
        <v>141</v>
      </c>
      <c r="V334" s="6" t="s">
        <v>1325</v>
      </c>
      <c r="W334" s="6" t="s">
        <v>91</v>
      </c>
      <c r="X334" s="6" t="s">
        <v>91</v>
      </c>
      <c r="Y334" s="6" t="s">
        <v>91</v>
      </c>
      <c r="Z334" s="6" t="s">
        <v>82</v>
      </c>
      <c r="AA334" s="6" t="s">
        <v>91</v>
      </c>
      <c r="AB334" s="6">
        <v>808</v>
      </c>
      <c r="AC334" s="6">
        <v>37.200000000000003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288</v>
      </c>
      <c r="AJ334" s="6" t="s">
        <v>257</v>
      </c>
      <c r="AK334" s="6" t="s">
        <v>16</v>
      </c>
      <c r="AL334" s="6" t="s">
        <v>48</v>
      </c>
      <c r="AM334" s="6" t="s">
        <v>258</v>
      </c>
      <c r="AN334" s="6" t="s">
        <v>20</v>
      </c>
      <c r="AO334" s="6" t="s">
        <v>259</v>
      </c>
      <c r="AP334" s="6" t="s">
        <v>260</v>
      </c>
      <c r="AQ334" s="6" t="s">
        <v>31</v>
      </c>
    </row>
    <row r="335" spans="1:43" x14ac:dyDescent="0.25">
      <c r="A335" s="6">
        <v>22905719</v>
      </c>
      <c r="B335" s="6">
        <v>23679677</v>
      </c>
      <c r="C335" s="6" t="s">
        <v>248</v>
      </c>
      <c r="D335" s="14">
        <v>45910.952581018522</v>
      </c>
      <c r="E335" s="14">
        <v>45910.96303240741</v>
      </c>
      <c r="F335" s="6" t="s">
        <v>17</v>
      </c>
      <c r="G335" s="6" t="s">
        <v>17</v>
      </c>
      <c r="H335" s="6" t="s">
        <v>1333</v>
      </c>
      <c r="I335" s="6" t="s">
        <v>16</v>
      </c>
      <c r="J335" s="6" t="s">
        <v>1334</v>
      </c>
      <c r="K335" s="6" t="s">
        <v>369</v>
      </c>
      <c r="L335" s="6" t="s">
        <v>369</v>
      </c>
      <c r="M335" s="14">
        <v>45910.416666666657</v>
      </c>
      <c r="N335" s="6" t="s">
        <v>1335</v>
      </c>
      <c r="O335" s="6" t="s">
        <v>91</v>
      </c>
      <c r="P335" s="6" t="s">
        <v>276</v>
      </c>
      <c r="Q335" s="6" t="s">
        <v>253</v>
      </c>
      <c r="R335" s="6" t="s">
        <v>253</v>
      </c>
      <c r="S335" s="6" t="s">
        <v>9</v>
      </c>
      <c r="T335" s="6" t="s">
        <v>254</v>
      </c>
      <c r="U335" s="6" t="s">
        <v>141</v>
      </c>
      <c r="V335" s="6" t="s">
        <v>1325</v>
      </c>
      <c r="W335" s="6" t="s">
        <v>91</v>
      </c>
      <c r="X335" s="6" t="s">
        <v>91</v>
      </c>
      <c r="Y335" s="6" t="s">
        <v>91</v>
      </c>
      <c r="Z335" s="6" t="s">
        <v>82</v>
      </c>
      <c r="AA335" s="6" t="s">
        <v>91</v>
      </c>
      <c r="AB335" s="6">
        <v>808</v>
      </c>
      <c r="AC335" s="6">
        <v>37.200000000000003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288</v>
      </c>
      <c r="AJ335" s="6" t="s">
        <v>257</v>
      </c>
      <c r="AK335" s="6" t="s">
        <v>16</v>
      </c>
      <c r="AL335" s="6" t="s">
        <v>48</v>
      </c>
      <c r="AM335" s="6" t="s">
        <v>258</v>
      </c>
      <c r="AN335" s="6" t="s">
        <v>20</v>
      </c>
      <c r="AO335" s="6" t="s">
        <v>259</v>
      </c>
      <c r="AP335" s="6" t="s">
        <v>260</v>
      </c>
      <c r="AQ335" s="6" t="s">
        <v>31</v>
      </c>
    </row>
    <row r="336" spans="1:43" x14ac:dyDescent="0.25">
      <c r="A336" s="6">
        <v>22905720</v>
      </c>
      <c r="B336" s="6">
        <v>23679678</v>
      </c>
      <c r="C336" s="6" t="s">
        <v>248</v>
      </c>
      <c r="D336" s="14">
        <v>45910.952638888892</v>
      </c>
      <c r="E336" s="14">
        <v>45910.963043981479</v>
      </c>
      <c r="F336" s="6" t="s">
        <v>17</v>
      </c>
      <c r="G336" s="6" t="s">
        <v>17</v>
      </c>
      <c r="H336" s="6" t="s">
        <v>1336</v>
      </c>
      <c r="I336" s="6" t="s">
        <v>16</v>
      </c>
      <c r="J336" s="6" t="s">
        <v>1337</v>
      </c>
      <c r="K336" s="6" t="s">
        <v>369</v>
      </c>
      <c r="L336" s="6" t="s">
        <v>369</v>
      </c>
      <c r="M336" s="14">
        <v>45910.424305555563</v>
      </c>
      <c r="N336" s="6" t="s">
        <v>1338</v>
      </c>
      <c r="O336" s="6" t="s">
        <v>91</v>
      </c>
      <c r="P336" s="6" t="s">
        <v>276</v>
      </c>
      <c r="Q336" s="6" t="s">
        <v>253</v>
      </c>
      <c r="R336" s="6" t="s">
        <v>253</v>
      </c>
      <c r="S336" s="6" t="s">
        <v>9</v>
      </c>
      <c r="T336" s="6" t="s">
        <v>254</v>
      </c>
      <c r="U336" s="6" t="s">
        <v>141</v>
      </c>
      <c r="V336" s="6" t="s">
        <v>1325</v>
      </c>
      <c r="W336" s="6" t="s">
        <v>91</v>
      </c>
      <c r="X336" s="6" t="s">
        <v>91</v>
      </c>
      <c r="Y336" s="6" t="s">
        <v>91</v>
      </c>
      <c r="Z336" s="6" t="s">
        <v>82</v>
      </c>
      <c r="AA336" s="6" t="s">
        <v>91</v>
      </c>
      <c r="AB336" s="6">
        <v>808</v>
      </c>
      <c r="AC336" s="6">
        <v>37.200000000000003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288</v>
      </c>
      <c r="AJ336" s="6" t="s">
        <v>257</v>
      </c>
      <c r="AK336" s="6" t="s">
        <v>16</v>
      </c>
      <c r="AL336" s="6" t="s">
        <v>48</v>
      </c>
      <c r="AM336" s="6" t="s">
        <v>258</v>
      </c>
      <c r="AN336" s="6" t="s">
        <v>20</v>
      </c>
      <c r="AO336" s="6" t="s">
        <v>259</v>
      </c>
      <c r="AP336" s="6" t="s">
        <v>260</v>
      </c>
      <c r="AQ336" s="6" t="s">
        <v>31</v>
      </c>
    </row>
    <row r="337" spans="1:43" x14ac:dyDescent="0.25">
      <c r="A337" s="6">
        <v>22891319</v>
      </c>
      <c r="B337" s="6">
        <v>23666878</v>
      </c>
      <c r="C337" s="6" t="s">
        <v>248</v>
      </c>
      <c r="D337" s="14">
        <v>45908.78056712963</v>
      </c>
      <c r="E337" s="14">
        <v>45911.425011574072</v>
      </c>
      <c r="F337" s="6" t="s">
        <v>17</v>
      </c>
      <c r="G337" s="6" t="s">
        <v>19</v>
      </c>
      <c r="H337" s="6" t="s">
        <v>1339</v>
      </c>
      <c r="I337" s="6" t="s">
        <v>16</v>
      </c>
      <c r="J337" s="6" t="s">
        <v>1340</v>
      </c>
      <c r="K337" s="6" t="s">
        <v>1341</v>
      </c>
      <c r="L337" s="6" t="s">
        <v>1341</v>
      </c>
      <c r="M337" s="14">
        <v>45882.442361111112</v>
      </c>
      <c r="N337" s="6">
        <v>9999</v>
      </c>
      <c r="O337" s="6" t="s">
        <v>91</v>
      </c>
      <c r="P337" s="6" t="s">
        <v>252</v>
      </c>
      <c r="Q337" s="6" t="s">
        <v>268</v>
      </c>
      <c r="R337" s="6" t="s">
        <v>269</v>
      </c>
      <c r="S337" s="6" t="s">
        <v>9</v>
      </c>
      <c r="T337" s="6" t="s">
        <v>254</v>
      </c>
      <c r="U337" s="6" t="s">
        <v>141</v>
      </c>
      <c r="V337" s="6" t="s">
        <v>1325</v>
      </c>
      <c r="W337" s="6" t="s">
        <v>91</v>
      </c>
      <c r="X337" s="6" t="s">
        <v>91</v>
      </c>
      <c r="Y337" s="6" t="s">
        <v>91</v>
      </c>
      <c r="Z337" s="6" t="s">
        <v>82</v>
      </c>
      <c r="AA337" s="6" t="s">
        <v>91</v>
      </c>
      <c r="AB337" s="6">
        <v>31938.48</v>
      </c>
      <c r="AC337" s="6">
        <v>330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288</v>
      </c>
      <c r="AJ337" s="6" t="s">
        <v>257</v>
      </c>
      <c r="AK337" s="6" t="s">
        <v>16</v>
      </c>
      <c r="AL337" s="6" t="s">
        <v>48</v>
      </c>
      <c r="AM337" s="6" t="s">
        <v>258</v>
      </c>
      <c r="AN337" s="6" t="s">
        <v>20</v>
      </c>
      <c r="AO337" s="6" t="s">
        <v>272</v>
      </c>
      <c r="AP337" s="6" t="s">
        <v>273</v>
      </c>
      <c r="AQ337" s="6" t="s">
        <v>18</v>
      </c>
    </row>
    <row r="338" spans="1:43" x14ac:dyDescent="0.25">
      <c r="A338" s="6">
        <v>22891319</v>
      </c>
      <c r="B338" s="6">
        <v>23666880</v>
      </c>
      <c r="C338" s="6" t="s">
        <v>637</v>
      </c>
      <c r="D338" s="14">
        <v>45908.78056712963</v>
      </c>
      <c r="E338" s="14">
        <v>45911.425011574072</v>
      </c>
      <c r="F338" s="6" t="s">
        <v>17</v>
      </c>
      <c r="G338" s="6" t="s">
        <v>19</v>
      </c>
      <c r="H338" s="6" t="s">
        <v>1339</v>
      </c>
      <c r="I338" s="6" t="s">
        <v>16</v>
      </c>
      <c r="J338" s="6" t="s">
        <v>1340</v>
      </c>
      <c r="K338" s="6" t="s">
        <v>1341</v>
      </c>
      <c r="L338" s="6" t="s">
        <v>1341</v>
      </c>
      <c r="M338" s="14">
        <v>45882.442361111112</v>
      </c>
      <c r="N338" s="6">
        <v>9999</v>
      </c>
      <c r="O338" s="6" t="s">
        <v>91</v>
      </c>
      <c r="P338" s="6" t="s">
        <v>252</v>
      </c>
      <c r="Q338" s="6" t="s">
        <v>268</v>
      </c>
      <c r="R338" s="6" t="s">
        <v>269</v>
      </c>
      <c r="S338" s="6" t="s">
        <v>9</v>
      </c>
      <c r="T338" s="6" t="s">
        <v>254</v>
      </c>
      <c r="U338" s="6" t="s">
        <v>141</v>
      </c>
      <c r="V338" s="6" t="s">
        <v>1325</v>
      </c>
      <c r="W338" s="6" t="s">
        <v>91</v>
      </c>
      <c r="X338" s="6" t="s">
        <v>91</v>
      </c>
      <c r="Y338" s="6" t="s">
        <v>91</v>
      </c>
      <c r="Z338" s="6" t="s">
        <v>82</v>
      </c>
      <c r="AA338" s="6" t="s">
        <v>91</v>
      </c>
      <c r="AB338" s="6">
        <v>2680.5509999999999</v>
      </c>
      <c r="AC338" s="6">
        <v>42.3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288</v>
      </c>
      <c r="AJ338" s="6" t="s">
        <v>257</v>
      </c>
      <c r="AK338" s="6" t="s">
        <v>16</v>
      </c>
      <c r="AL338" s="6" t="s">
        <v>48</v>
      </c>
      <c r="AM338" s="6" t="s">
        <v>258</v>
      </c>
      <c r="AN338" s="6" t="s">
        <v>20</v>
      </c>
      <c r="AO338" s="6" t="s">
        <v>272</v>
      </c>
      <c r="AP338" s="6" t="s">
        <v>273</v>
      </c>
      <c r="AQ338" s="6" t="s">
        <v>18</v>
      </c>
    </row>
    <row r="339" spans="1:43" x14ac:dyDescent="0.25">
      <c r="A339" s="6">
        <v>22897792</v>
      </c>
      <c r="B339" s="6">
        <v>23672677</v>
      </c>
      <c r="C339" s="6" t="s">
        <v>248</v>
      </c>
      <c r="D339" s="14">
        <v>45909.790879629632</v>
      </c>
      <c r="E339" s="14">
        <v>45911.596099537041</v>
      </c>
      <c r="F339" s="6" t="s">
        <v>17</v>
      </c>
      <c r="G339" s="6" t="s">
        <v>19</v>
      </c>
      <c r="H339" s="6" t="s">
        <v>1342</v>
      </c>
      <c r="I339" s="6" t="s">
        <v>337</v>
      </c>
      <c r="J339" s="6" t="s">
        <v>1343</v>
      </c>
      <c r="K339" s="6" t="s">
        <v>344</v>
      </c>
      <c r="L339" s="6" t="s">
        <v>344</v>
      </c>
      <c r="M339" s="14">
        <v>45909.569444444453</v>
      </c>
      <c r="N339" s="6">
        <v>2389</v>
      </c>
      <c r="O339" s="6" t="s">
        <v>91</v>
      </c>
      <c r="P339" s="6" t="s">
        <v>276</v>
      </c>
      <c r="Q339" s="6" t="s">
        <v>253</v>
      </c>
      <c r="R339" s="6" t="s">
        <v>253</v>
      </c>
      <c r="S339" s="6" t="s">
        <v>9</v>
      </c>
      <c r="T339" s="6" t="s">
        <v>254</v>
      </c>
      <c r="U339" s="6" t="s">
        <v>200</v>
      </c>
      <c r="V339" s="6" t="s">
        <v>1344</v>
      </c>
      <c r="W339" s="6" t="s">
        <v>91</v>
      </c>
      <c r="X339" s="6" t="s">
        <v>91</v>
      </c>
      <c r="Y339" s="6" t="s">
        <v>91</v>
      </c>
      <c r="Z339" s="6" t="s">
        <v>131</v>
      </c>
      <c r="AA339" s="6" t="s">
        <v>91</v>
      </c>
      <c r="AB339" s="6">
        <v>4375.4399999999996</v>
      </c>
      <c r="AC339" s="6">
        <v>0</v>
      </c>
      <c r="AD339" s="6">
        <v>0</v>
      </c>
      <c r="AE339" s="6">
        <v>0</v>
      </c>
      <c r="AF339" s="6">
        <v>0</v>
      </c>
      <c r="AG339" s="6">
        <v>831.32</v>
      </c>
      <c r="AH339" s="6">
        <v>0</v>
      </c>
      <c r="AI339" s="6" t="s">
        <v>1345</v>
      </c>
      <c r="AJ339" s="6" t="s">
        <v>257</v>
      </c>
      <c r="AK339" s="6" t="s">
        <v>12</v>
      </c>
      <c r="AL339" s="6" t="s">
        <v>48</v>
      </c>
      <c r="AM339" s="6" t="s">
        <v>258</v>
      </c>
      <c r="AN339" s="6" t="s">
        <v>20</v>
      </c>
      <c r="AO339" s="6" t="s">
        <v>259</v>
      </c>
      <c r="AP339" s="6" t="s">
        <v>260</v>
      </c>
      <c r="AQ339" s="6" t="s">
        <v>31</v>
      </c>
    </row>
    <row r="340" spans="1:43" x14ac:dyDescent="0.25">
      <c r="A340" s="6">
        <v>22908559</v>
      </c>
      <c r="B340" s="6">
        <v>23681842</v>
      </c>
      <c r="C340" s="6" t="s">
        <v>248</v>
      </c>
      <c r="D340" s="14">
        <v>45911.518692129634</v>
      </c>
      <c r="E340" s="14">
        <v>45911.615127314813</v>
      </c>
      <c r="F340" s="6" t="s">
        <v>17</v>
      </c>
      <c r="G340" s="6" t="s">
        <v>17</v>
      </c>
      <c r="H340" s="6" t="s">
        <v>1346</v>
      </c>
      <c r="I340" s="6" t="s">
        <v>337</v>
      </c>
      <c r="J340" s="6" t="s">
        <v>1347</v>
      </c>
      <c r="K340" s="6" t="s">
        <v>344</v>
      </c>
      <c r="L340" s="6" t="s">
        <v>344</v>
      </c>
      <c r="M340" s="14">
        <v>45911.434027777781</v>
      </c>
      <c r="N340" s="6">
        <v>2438</v>
      </c>
      <c r="O340" s="6" t="s">
        <v>91</v>
      </c>
      <c r="P340" s="6" t="s">
        <v>276</v>
      </c>
      <c r="Q340" s="6" t="s">
        <v>253</v>
      </c>
      <c r="R340" s="6" t="s">
        <v>253</v>
      </c>
      <c r="S340" s="6" t="s">
        <v>9</v>
      </c>
      <c r="T340" s="6" t="s">
        <v>254</v>
      </c>
      <c r="U340" s="6" t="s">
        <v>200</v>
      </c>
      <c r="V340" s="6" t="s">
        <v>1344</v>
      </c>
      <c r="W340" s="6" t="s">
        <v>91</v>
      </c>
      <c r="X340" s="6" t="s">
        <v>91</v>
      </c>
      <c r="Y340" s="6" t="s">
        <v>91</v>
      </c>
      <c r="Z340" s="6" t="s">
        <v>131</v>
      </c>
      <c r="AA340" s="6" t="s">
        <v>91</v>
      </c>
      <c r="AB340" s="6">
        <v>4292.2395999999999</v>
      </c>
      <c r="AC340" s="6">
        <v>0</v>
      </c>
      <c r="AD340" s="6">
        <v>0</v>
      </c>
      <c r="AE340" s="6">
        <v>0</v>
      </c>
      <c r="AF340" s="6">
        <v>0</v>
      </c>
      <c r="AG340" s="6">
        <v>815.52</v>
      </c>
      <c r="AH340" s="6">
        <v>0</v>
      </c>
      <c r="AI340" s="6" t="s">
        <v>1348</v>
      </c>
      <c r="AJ340" s="6" t="s">
        <v>257</v>
      </c>
      <c r="AK340" s="6" t="s">
        <v>12</v>
      </c>
      <c r="AL340" s="6" t="s">
        <v>48</v>
      </c>
      <c r="AM340" s="6" t="s">
        <v>258</v>
      </c>
      <c r="AN340" s="6" t="s">
        <v>20</v>
      </c>
      <c r="AO340" s="6" t="s">
        <v>259</v>
      </c>
      <c r="AP340" s="6" t="s">
        <v>260</v>
      </c>
      <c r="AQ340" s="6" t="s">
        <v>31</v>
      </c>
    </row>
    <row r="341" spans="1:43" x14ac:dyDescent="0.25">
      <c r="A341" s="6">
        <v>22910484</v>
      </c>
      <c r="B341" s="6">
        <v>23683679</v>
      </c>
      <c r="C341" s="6" t="s">
        <v>248</v>
      </c>
      <c r="D341" s="14">
        <v>45911.759398148148</v>
      </c>
      <c r="E341" s="14">
        <v>45911.806030092594</v>
      </c>
      <c r="F341" s="6" t="s">
        <v>17</v>
      </c>
      <c r="G341" s="6" t="s">
        <v>17</v>
      </c>
      <c r="H341" s="6" t="s">
        <v>1349</v>
      </c>
      <c r="I341" s="6" t="s">
        <v>337</v>
      </c>
      <c r="J341" s="6" t="s">
        <v>1350</v>
      </c>
      <c r="K341" s="6" t="s">
        <v>344</v>
      </c>
      <c r="L341" s="6" t="s">
        <v>344</v>
      </c>
      <c r="M341" s="14">
        <v>45911.737500000003</v>
      </c>
      <c r="N341" s="6">
        <v>4173</v>
      </c>
      <c r="O341" s="6" t="s">
        <v>91</v>
      </c>
      <c r="P341" s="6" t="s">
        <v>276</v>
      </c>
      <c r="Q341" s="6" t="s">
        <v>253</v>
      </c>
      <c r="R341" s="6" t="s">
        <v>269</v>
      </c>
      <c r="S341" s="6" t="s">
        <v>9</v>
      </c>
      <c r="T341" s="6" t="s">
        <v>254</v>
      </c>
      <c r="U341" s="6" t="s">
        <v>127</v>
      </c>
      <c r="V341" s="6" t="s">
        <v>1351</v>
      </c>
      <c r="W341" s="6" t="s">
        <v>91</v>
      </c>
      <c r="X341" s="6" t="s">
        <v>91</v>
      </c>
      <c r="Y341" s="6" t="s">
        <v>91</v>
      </c>
      <c r="Z341" s="6" t="s">
        <v>70</v>
      </c>
      <c r="AA341" s="6" t="s">
        <v>91</v>
      </c>
      <c r="AB341" s="6">
        <v>432.73</v>
      </c>
      <c r="AC341" s="6">
        <v>0</v>
      </c>
      <c r="AD341" s="6">
        <v>0</v>
      </c>
      <c r="AE341" s="6">
        <v>0</v>
      </c>
      <c r="AF341" s="6">
        <v>0</v>
      </c>
      <c r="AG341" s="6">
        <v>21.64</v>
      </c>
      <c r="AH341" s="6">
        <v>0</v>
      </c>
      <c r="AI341" s="6" t="s">
        <v>1352</v>
      </c>
      <c r="AJ341" s="6" t="s">
        <v>257</v>
      </c>
      <c r="AK341" s="6" t="s">
        <v>12</v>
      </c>
      <c r="AL341" s="6" t="s">
        <v>48</v>
      </c>
      <c r="AM341" s="6" t="s">
        <v>258</v>
      </c>
      <c r="AN341" s="6" t="s">
        <v>20</v>
      </c>
      <c r="AO341" s="6" t="s">
        <v>259</v>
      </c>
      <c r="AP341" s="6" t="s">
        <v>260</v>
      </c>
      <c r="AQ341" s="6" t="s">
        <v>31</v>
      </c>
    </row>
    <row r="342" spans="1:43" x14ac:dyDescent="0.25">
      <c r="A342" s="6">
        <v>22910486</v>
      </c>
      <c r="B342" s="6">
        <v>23683681</v>
      </c>
      <c r="C342" s="6" t="s">
        <v>248</v>
      </c>
      <c r="D342" s="14">
        <v>45911.75949074074</v>
      </c>
      <c r="E342" s="14">
        <v>45911.806041666663</v>
      </c>
      <c r="F342" s="6" t="s">
        <v>17</v>
      </c>
      <c r="G342" s="6" t="s">
        <v>17</v>
      </c>
      <c r="H342" s="6" t="s">
        <v>1353</v>
      </c>
      <c r="I342" s="6" t="s">
        <v>337</v>
      </c>
      <c r="J342" s="6" t="s">
        <v>1354</v>
      </c>
      <c r="K342" s="6" t="s">
        <v>344</v>
      </c>
      <c r="L342" s="6" t="s">
        <v>344</v>
      </c>
      <c r="M342" s="14">
        <v>45911.737500000003</v>
      </c>
      <c r="N342" s="6">
        <v>4172</v>
      </c>
      <c r="O342" s="6" t="s">
        <v>91</v>
      </c>
      <c r="P342" s="6" t="s">
        <v>276</v>
      </c>
      <c r="Q342" s="6" t="s">
        <v>253</v>
      </c>
      <c r="R342" s="6" t="s">
        <v>269</v>
      </c>
      <c r="S342" s="6" t="s">
        <v>9</v>
      </c>
      <c r="T342" s="6" t="s">
        <v>254</v>
      </c>
      <c r="U342" s="6" t="s">
        <v>127</v>
      </c>
      <c r="V342" s="6" t="s">
        <v>1351</v>
      </c>
      <c r="W342" s="6" t="s">
        <v>91</v>
      </c>
      <c r="X342" s="6" t="s">
        <v>91</v>
      </c>
      <c r="Y342" s="6" t="s">
        <v>91</v>
      </c>
      <c r="Z342" s="6" t="s">
        <v>70</v>
      </c>
      <c r="AA342" s="6" t="s">
        <v>91</v>
      </c>
      <c r="AB342" s="6">
        <v>432.73</v>
      </c>
      <c r="AC342" s="6">
        <v>0</v>
      </c>
      <c r="AD342" s="6">
        <v>0</v>
      </c>
      <c r="AE342" s="6">
        <v>0</v>
      </c>
      <c r="AF342" s="6">
        <v>0</v>
      </c>
      <c r="AG342" s="6">
        <v>21.64</v>
      </c>
      <c r="AH342" s="6">
        <v>0</v>
      </c>
      <c r="AI342" s="6" t="s">
        <v>1355</v>
      </c>
      <c r="AJ342" s="6" t="s">
        <v>257</v>
      </c>
      <c r="AK342" s="6" t="s">
        <v>12</v>
      </c>
      <c r="AL342" s="6" t="s">
        <v>48</v>
      </c>
      <c r="AM342" s="6" t="s">
        <v>258</v>
      </c>
      <c r="AN342" s="6" t="s">
        <v>20</v>
      </c>
      <c r="AO342" s="6" t="s">
        <v>259</v>
      </c>
      <c r="AP342" s="6" t="s">
        <v>260</v>
      </c>
      <c r="AQ342" s="6" t="s">
        <v>31</v>
      </c>
    </row>
    <row r="343" spans="1:43" x14ac:dyDescent="0.25">
      <c r="A343" s="6">
        <v>22910488</v>
      </c>
      <c r="B343" s="6">
        <v>23683683</v>
      </c>
      <c r="C343" s="6" t="s">
        <v>248</v>
      </c>
      <c r="D343" s="14">
        <v>45911.759571759263</v>
      </c>
      <c r="E343" s="14">
        <v>45911.806041666663</v>
      </c>
      <c r="F343" s="6" t="s">
        <v>17</v>
      </c>
      <c r="G343" s="6" t="s">
        <v>17</v>
      </c>
      <c r="H343" s="6" t="s">
        <v>1356</v>
      </c>
      <c r="I343" s="6" t="s">
        <v>337</v>
      </c>
      <c r="J343" s="6" t="s">
        <v>1357</v>
      </c>
      <c r="K343" s="6" t="s">
        <v>344</v>
      </c>
      <c r="L343" s="6" t="s">
        <v>344</v>
      </c>
      <c r="M343" s="14">
        <v>45911.71597222222</v>
      </c>
      <c r="N343" s="6">
        <v>4171</v>
      </c>
      <c r="O343" s="6" t="s">
        <v>91</v>
      </c>
      <c r="P343" s="6" t="s">
        <v>276</v>
      </c>
      <c r="Q343" s="6" t="s">
        <v>253</v>
      </c>
      <c r="R343" s="6" t="s">
        <v>269</v>
      </c>
      <c r="S343" s="6" t="s">
        <v>9</v>
      </c>
      <c r="T343" s="6" t="s">
        <v>254</v>
      </c>
      <c r="U343" s="6" t="s">
        <v>127</v>
      </c>
      <c r="V343" s="6" t="s">
        <v>1351</v>
      </c>
      <c r="W343" s="6" t="s">
        <v>91</v>
      </c>
      <c r="X343" s="6" t="s">
        <v>91</v>
      </c>
      <c r="Y343" s="6" t="s">
        <v>91</v>
      </c>
      <c r="Z343" s="6" t="s">
        <v>70</v>
      </c>
      <c r="AA343" s="6" t="s">
        <v>91</v>
      </c>
      <c r="AB343" s="6">
        <v>432.73</v>
      </c>
      <c r="AC343" s="6">
        <v>0</v>
      </c>
      <c r="AD343" s="6">
        <v>0</v>
      </c>
      <c r="AE343" s="6">
        <v>0</v>
      </c>
      <c r="AF343" s="6">
        <v>0</v>
      </c>
      <c r="AG343" s="6">
        <v>21.64</v>
      </c>
      <c r="AH343" s="6">
        <v>0</v>
      </c>
      <c r="AI343" s="6" t="s">
        <v>1358</v>
      </c>
      <c r="AJ343" s="6" t="s">
        <v>257</v>
      </c>
      <c r="AK343" s="6" t="s">
        <v>12</v>
      </c>
      <c r="AL343" s="6" t="s">
        <v>48</v>
      </c>
      <c r="AM343" s="6" t="s">
        <v>258</v>
      </c>
      <c r="AN343" s="6" t="s">
        <v>20</v>
      </c>
      <c r="AO343" s="6" t="s">
        <v>259</v>
      </c>
      <c r="AP343" s="6" t="s">
        <v>260</v>
      </c>
      <c r="AQ343" s="6" t="s">
        <v>31</v>
      </c>
    </row>
    <row r="344" spans="1:43" x14ac:dyDescent="0.25">
      <c r="A344" s="6">
        <v>22910508</v>
      </c>
      <c r="B344" s="6">
        <v>23683699</v>
      </c>
      <c r="C344" s="6" t="s">
        <v>248</v>
      </c>
      <c r="D344" s="14">
        <v>45911.760196759264</v>
      </c>
      <c r="E344" s="14">
        <v>45911.809641203698</v>
      </c>
      <c r="F344" s="6" t="s">
        <v>17</v>
      </c>
      <c r="G344" s="6" t="s">
        <v>17</v>
      </c>
      <c r="H344" s="6" t="s">
        <v>1359</v>
      </c>
      <c r="I344" s="6" t="s">
        <v>337</v>
      </c>
      <c r="J344" s="6" t="s">
        <v>1360</v>
      </c>
      <c r="K344" s="6" t="s">
        <v>344</v>
      </c>
      <c r="L344" s="6" t="s">
        <v>344</v>
      </c>
      <c r="M344" s="14">
        <v>45911.535416666673</v>
      </c>
      <c r="N344" s="6">
        <v>4133</v>
      </c>
      <c r="O344" s="6" t="s">
        <v>1361</v>
      </c>
      <c r="P344" s="6" t="s">
        <v>276</v>
      </c>
      <c r="Q344" s="6" t="s">
        <v>268</v>
      </c>
      <c r="R344" s="6" t="s">
        <v>269</v>
      </c>
      <c r="S344" s="6" t="s">
        <v>8</v>
      </c>
      <c r="T344" s="6" t="s">
        <v>254</v>
      </c>
      <c r="U344" s="6" t="s">
        <v>127</v>
      </c>
      <c r="V344" s="6" t="s">
        <v>1351</v>
      </c>
      <c r="W344" s="6" t="s">
        <v>91</v>
      </c>
      <c r="X344" s="6" t="s">
        <v>91</v>
      </c>
      <c r="Y344" s="6" t="s">
        <v>91</v>
      </c>
      <c r="Z344" s="6" t="s">
        <v>70</v>
      </c>
      <c r="AA344" s="6" t="s">
        <v>91</v>
      </c>
      <c r="AB344" s="6">
        <v>437.10239999999999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1362</v>
      </c>
      <c r="AJ344" s="6" t="s">
        <v>257</v>
      </c>
      <c r="AK344" s="6" t="s">
        <v>12</v>
      </c>
      <c r="AL344" s="6" t="s">
        <v>48</v>
      </c>
      <c r="AM344" s="6" t="s">
        <v>258</v>
      </c>
      <c r="AN344" s="6" t="s">
        <v>20</v>
      </c>
      <c r="AO344" s="6" t="s">
        <v>272</v>
      </c>
      <c r="AP344" s="6" t="s">
        <v>273</v>
      </c>
      <c r="AQ344" s="6" t="s">
        <v>18</v>
      </c>
    </row>
    <row r="345" spans="1:43" x14ac:dyDescent="0.25">
      <c r="A345" s="6">
        <v>22910506</v>
      </c>
      <c r="B345" s="6">
        <v>23683698</v>
      </c>
      <c r="C345" s="6" t="s">
        <v>248</v>
      </c>
      <c r="D345" s="14">
        <v>45911.760162037041</v>
      </c>
      <c r="E345" s="14">
        <v>45911.809641203698</v>
      </c>
      <c r="F345" s="6" t="s">
        <v>17</v>
      </c>
      <c r="G345" s="6" t="s">
        <v>17</v>
      </c>
      <c r="H345" s="6" t="s">
        <v>1363</v>
      </c>
      <c r="I345" s="6" t="s">
        <v>337</v>
      </c>
      <c r="J345" s="6" t="s">
        <v>1360</v>
      </c>
      <c r="K345" s="6" t="s">
        <v>1364</v>
      </c>
      <c r="L345" s="6" t="s">
        <v>1364</v>
      </c>
      <c r="M345" s="14">
        <v>45911.633333333331</v>
      </c>
      <c r="N345" s="6">
        <v>4134</v>
      </c>
      <c r="O345" s="6" t="s">
        <v>91</v>
      </c>
      <c r="P345" s="6" t="s">
        <v>252</v>
      </c>
      <c r="Q345" s="6" t="s">
        <v>268</v>
      </c>
      <c r="R345" s="6" t="s">
        <v>269</v>
      </c>
      <c r="S345" s="6" t="s">
        <v>9</v>
      </c>
      <c r="T345" s="6" t="s">
        <v>254</v>
      </c>
      <c r="U345" s="6" t="s">
        <v>127</v>
      </c>
      <c r="V345" s="6" t="s">
        <v>1351</v>
      </c>
      <c r="W345" s="6" t="s">
        <v>91</v>
      </c>
      <c r="X345" s="6" t="s">
        <v>91</v>
      </c>
      <c r="Y345" s="6" t="s">
        <v>91</v>
      </c>
      <c r="Z345" s="6" t="s">
        <v>70</v>
      </c>
      <c r="AA345" s="6" t="s">
        <v>91</v>
      </c>
      <c r="AB345" s="6">
        <v>1065.5999999999999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1365</v>
      </c>
      <c r="AJ345" s="6" t="s">
        <v>257</v>
      </c>
      <c r="AK345" s="6" t="s">
        <v>12</v>
      </c>
      <c r="AL345" s="6" t="s">
        <v>48</v>
      </c>
      <c r="AM345" s="6" t="s">
        <v>258</v>
      </c>
      <c r="AN345" s="6" t="s">
        <v>20</v>
      </c>
      <c r="AO345" s="6" t="s">
        <v>272</v>
      </c>
      <c r="AP345" s="6" t="s">
        <v>273</v>
      </c>
      <c r="AQ345" s="6" t="s">
        <v>18</v>
      </c>
    </row>
    <row r="346" spans="1:43" x14ac:dyDescent="0.25">
      <c r="A346" s="6">
        <v>22837895</v>
      </c>
      <c r="B346" s="6">
        <v>23622324</v>
      </c>
      <c r="C346" s="6" t="s">
        <v>248</v>
      </c>
      <c r="D346" s="14">
        <v>45899.006840277783</v>
      </c>
      <c r="E346" s="14">
        <v>45912.257430555554</v>
      </c>
      <c r="F346" s="6" t="s">
        <v>17</v>
      </c>
      <c r="G346" s="6" t="s">
        <v>23</v>
      </c>
      <c r="H346" s="6" t="s">
        <v>1366</v>
      </c>
      <c r="I346" s="6" t="s">
        <v>337</v>
      </c>
      <c r="J346" s="6" t="s">
        <v>1367</v>
      </c>
      <c r="K346" s="6" t="s">
        <v>1368</v>
      </c>
      <c r="L346" s="6" t="s">
        <v>1364</v>
      </c>
      <c r="M346" s="14">
        <v>45898.761111111111</v>
      </c>
      <c r="N346" s="6">
        <v>3601</v>
      </c>
      <c r="O346" s="6" t="s">
        <v>91</v>
      </c>
      <c r="P346" s="6" t="s">
        <v>252</v>
      </c>
      <c r="Q346" s="6" t="s">
        <v>268</v>
      </c>
      <c r="R346" s="6" t="s">
        <v>269</v>
      </c>
      <c r="S346" s="6" t="s">
        <v>3</v>
      </c>
      <c r="T346" s="6" t="s">
        <v>254</v>
      </c>
      <c r="U346" s="6" t="s">
        <v>127</v>
      </c>
      <c r="V346" s="6" t="s">
        <v>1369</v>
      </c>
      <c r="W346" s="6" t="s">
        <v>91</v>
      </c>
      <c r="X346" s="6" t="s">
        <v>91</v>
      </c>
      <c r="Y346" s="6" t="s">
        <v>91</v>
      </c>
      <c r="Z346" s="6" t="s">
        <v>70</v>
      </c>
      <c r="AA346" s="6" t="s">
        <v>91</v>
      </c>
      <c r="AB346" s="6">
        <v>318.60000000000002</v>
      </c>
      <c r="AC346" s="6">
        <v>10.95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 t="s">
        <v>1370</v>
      </c>
      <c r="AJ346" s="6" t="s">
        <v>257</v>
      </c>
      <c r="AK346" s="6" t="s">
        <v>12</v>
      </c>
      <c r="AL346" s="6" t="s">
        <v>48</v>
      </c>
      <c r="AM346" s="6" t="s">
        <v>258</v>
      </c>
      <c r="AN346" s="6" t="s">
        <v>20</v>
      </c>
      <c r="AO346" s="6" t="s">
        <v>272</v>
      </c>
      <c r="AP346" s="6" t="s">
        <v>273</v>
      </c>
      <c r="AQ346" s="6" t="s">
        <v>18</v>
      </c>
    </row>
    <row r="347" spans="1:43" x14ac:dyDescent="0.25">
      <c r="A347" s="6">
        <v>22849637</v>
      </c>
      <c r="B347" s="6">
        <v>23631201</v>
      </c>
      <c r="C347" s="6" t="s">
        <v>248</v>
      </c>
      <c r="D347" s="14">
        <v>45901.757372685177</v>
      </c>
      <c r="E347" s="14">
        <v>45911.567465277767</v>
      </c>
      <c r="F347" s="6" t="s">
        <v>17</v>
      </c>
      <c r="G347" s="6" t="s">
        <v>23</v>
      </c>
      <c r="H347" s="6" t="s">
        <v>1371</v>
      </c>
      <c r="I347" s="6" t="s">
        <v>337</v>
      </c>
      <c r="J347" s="6" t="s">
        <v>1372</v>
      </c>
      <c r="K347" s="6" t="s">
        <v>344</v>
      </c>
      <c r="L347" s="6" t="s">
        <v>344</v>
      </c>
      <c r="M347" s="14">
        <v>45901.722222222219</v>
      </c>
      <c r="N347" s="6">
        <v>3756</v>
      </c>
      <c r="O347" s="6" t="s">
        <v>91</v>
      </c>
      <c r="P347" s="6" t="s">
        <v>276</v>
      </c>
      <c r="Q347" s="6" t="s">
        <v>253</v>
      </c>
      <c r="R347" s="6" t="s">
        <v>269</v>
      </c>
      <c r="S347" s="6" t="s">
        <v>9</v>
      </c>
      <c r="T347" s="6" t="s">
        <v>254</v>
      </c>
      <c r="U347" s="6" t="s">
        <v>127</v>
      </c>
      <c r="V347" s="6" t="s">
        <v>1369</v>
      </c>
      <c r="W347" s="6" t="s">
        <v>91</v>
      </c>
      <c r="X347" s="6" t="s">
        <v>91</v>
      </c>
      <c r="Y347" s="6" t="s">
        <v>91</v>
      </c>
      <c r="Z347" s="6" t="s">
        <v>70</v>
      </c>
      <c r="AA347" s="6" t="s">
        <v>91</v>
      </c>
      <c r="AB347" s="6">
        <v>243.51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1373</v>
      </c>
      <c r="AJ347" s="6" t="s">
        <v>257</v>
      </c>
      <c r="AK347" s="6" t="s">
        <v>12</v>
      </c>
      <c r="AL347" s="6" t="s">
        <v>48</v>
      </c>
      <c r="AM347" s="6" t="s">
        <v>258</v>
      </c>
      <c r="AN347" s="6" t="s">
        <v>20</v>
      </c>
      <c r="AO347" s="6" t="s">
        <v>259</v>
      </c>
      <c r="AP347" s="6" t="s">
        <v>260</v>
      </c>
      <c r="AQ347" s="6" t="s">
        <v>31</v>
      </c>
    </row>
    <row r="348" spans="1:43" x14ac:dyDescent="0.25">
      <c r="A348" s="6">
        <v>22798596</v>
      </c>
      <c r="B348" s="6">
        <v>23588492</v>
      </c>
      <c r="C348" s="6" t="s">
        <v>248</v>
      </c>
      <c r="D348" s="14">
        <v>45892.501180555562</v>
      </c>
      <c r="E348" s="14">
        <v>45911.560046296298</v>
      </c>
      <c r="F348" s="6" t="s">
        <v>17</v>
      </c>
      <c r="G348" s="6" t="s">
        <v>25</v>
      </c>
      <c r="H348" s="6" t="s">
        <v>1374</v>
      </c>
      <c r="I348" s="6" t="s">
        <v>337</v>
      </c>
      <c r="J348" s="6" t="s">
        <v>1375</v>
      </c>
      <c r="K348" s="6" t="s">
        <v>344</v>
      </c>
      <c r="L348" s="6" t="s">
        <v>344</v>
      </c>
      <c r="M348" s="14">
        <v>45892.328472222223</v>
      </c>
      <c r="N348" s="6">
        <v>3439</v>
      </c>
      <c r="O348" s="6" t="s">
        <v>91</v>
      </c>
      <c r="P348" s="6" t="s">
        <v>276</v>
      </c>
      <c r="Q348" s="6" t="s">
        <v>253</v>
      </c>
      <c r="R348" s="6" t="s">
        <v>269</v>
      </c>
      <c r="S348" s="6" t="s">
        <v>9</v>
      </c>
      <c r="T348" s="6" t="s">
        <v>254</v>
      </c>
      <c r="U348" s="6" t="s">
        <v>127</v>
      </c>
      <c r="V348" s="6" t="s">
        <v>1369</v>
      </c>
      <c r="W348" s="6" t="s">
        <v>91</v>
      </c>
      <c r="X348" s="6" t="s">
        <v>91</v>
      </c>
      <c r="Y348" s="6" t="s">
        <v>91</v>
      </c>
      <c r="Z348" s="6" t="s">
        <v>70</v>
      </c>
      <c r="AA348" s="6" t="s">
        <v>91</v>
      </c>
      <c r="AB348" s="6">
        <v>435</v>
      </c>
      <c r="AC348" s="6">
        <v>0</v>
      </c>
      <c r="AD348" s="6">
        <v>0</v>
      </c>
      <c r="AE348" s="6">
        <v>0</v>
      </c>
      <c r="AF348" s="6">
        <v>0</v>
      </c>
      <c r="AG348" s="6">
        <v>21.76</v>
      </c>
      <c r="AH348" s="6">
        <v>0</v>
      </c>
      <c r="AI348" s="6" t="s">
        <v>1376</v>
      </c>
      <c r="AJ348" s="6" t="s">
        <v>257</v>
      </c>
      <c r="AK348" s="6" t="s">
        <v>12</v>
      </c>
      <c r="AL348" s="6" t="s">
        <v>48</v>
      </c>
      <c r="AM348" s="6" t="s">
        <v>258</v>
      </c>
      <c r="AN348" s="6" t="s">
        <v>20</v>
      </c>
      <c r="AO348" s="6" t="s">
        <v>259</v>
      </c>
      <c r="AP348" s="6" t="s">
        <v>260</v>
      </c>
      <c r="AQ348" s="6" t="s">
        <v>31</v>
      </c>
    </row>
    <row r="349" spans="1:43" x14ac:dyDescent="0.25">
      <c r="A349" s="6">
        <v>22910517</v>
      </c>
      <c r="B349" s="6">
        <v>23683707</v>
      </c>
      <c r="C349" s="6" t="s">
        <v>248</v>
      </c>
      <c r="D349" s="14">
        <v>45911.760358796288</v>
      </c>
      <c r="E349" s="14">
        <v>45911.809710648151</v>
      </c>
      <c r="F349" s="6" t="s">
        <v>17</v>
      </c>
      <c r="G349" s="6" t="s">
        <v>17</v>
      </c>
      <c r="H349" s="6" t="s">
        <v>1377</v>
      </c>
      <c r="I349" s="6" t="s">
        <v>337</v>
      </c>
      <c r="J349" s="6" t="s">
        <v>1378</v>
      </c>
      <c r="K349" s="6" t="s">
        <v>344</v>
      </c>
      <c r="L349" s="6" t="s">
        <v>344</v>
      </c>
      <c r="M349" s="14">
        <v>45911.534722222219</v>
      </c>
      <c r="N349" s="6">
        <v>4119</v>
      </c>
      <c r="O349" s="6" t="s">
        <v>1379</v>
      </c>
      <c r="P349" s="6" t="s">
        <v>276</v>
      </c>
      <c r="Q349" s="6" t="s">
        <v>268</v>
      </c>
      <c r="R349" s="6" t="s">
        <v>269</v>
      </c>
      <c r="S349" s="6" t="s">
        <v>8</v>
      </c>
      <c r="T349" s="6" t="s">
        <v>254</v>
      </c>
      <c r="U349" s="6" t="s">
        <v>127</v>
      </c>
      <c r="V349" s="6" t="s">
        <v>1369</v>
      </c>
      <c r="W349" s="6" t="s">
        <v>91</v>
      </c>
      <c r="X349" s="6" t="s">
        <v>91</v>
      </c>
      <c r="Y349" s="6" t="s">
        <v>91</v>
      </c>
      <c r="Z349" s="6" t="s">
        <v>70</v>
      </c>
      <c r="AA349" s="6" t="s">
        <v>91</v>
      </c>
      <c r="AB349" s="6">
        <v>396.04320000000001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1380</v>
      </c>
      <c r="AJ349" s="6" t="s">
        <v>257</v>
      </c>
      <c r="AK349" s="6" t="s">
        <v>12</v>
      </c>
      <c r="AL349" s="6" t="s">
        <v>48</v>
      </c>
      <c r="AM349" s="6" t="s">
        <v>258</v>
      </c>
      <c r="AN349" s="6" t="s">
        <v>20</v>
      </c>
      <c r="AO349" s="6" t="s">
        <v>272</v>
      </c>
      <c r="AP349" s="6" t="s">
        <v>273</v>
      </c>
      <c r="AQ349" s="6" t="s">
        <v>18</v>
      </c>
    </row>
    <row r="350" spans="1:43" x14ac:dyDescent="0.25">
      <c r="A350" s="6">
        <v>22910492</v>
      </c>
      <c r="B350" s="6">
        <v>23683687</v>
      </c>
      <c r="C350" s="6" t="s">
        <v>248</v>
      </c>
      <c r="D350" s="14">
        <v>45911.759780092587</v>
      </c>
      <c r="E350" s="14">
        <v>45911.809560185182</v>
      </c>
      <c r="F350" s="6" t="s">
        <v>17</v>
      </c>
      <c r="G350" s="6" t="s">
        <v>17</v>
      </c>
      <c r="H350" s="6" t="s">
        <v>1381</v>
      </c>
      <c r="I350" s="6" t="s">
        <v>337</v>
      </c>
      <c r="J350" s="6" t="s">
        <v>1382</v>
      </c>
      <c r="K350" s="6" t="s">
        <v>344</v>
      </c>
      <c r="L350" s="6" t="s">
        <v>344</v>
      </c>
      <c r="M350" s="14">
        <v>45911.535416666673</v>
      </c>
      <c r="N350" s="6">
        <v>4158</v>
      </c>
      <c r="O350" s="6" t="s">
        <v>1383</v>
      </c>
      <c r="P350" s="6" t="s">
        <v>276</v>
      </c>
      <c r="Q350" s="6" t="s">
        <v>268</v>
      </c>
      <c r="R350" s="6" t="s">
        <v>269</v>
      </c>
      <c r="S350" s="6" t="s">
        <v>8</v>
      </c>
      <c r="T350" s="6" t="s">
        <v>254</v>
      </c>
      <c r="U350" s="6" t="s">
        <v>127</v>
      </c>
      <c r="V350" s="6" t="s">
        <v>1369</v>
      </c>
      <c r="W350" s="6" t="s">
        <v>91</v>
      </c>
      <c r="X350" s="6" t="s">
        <v>91</v>
      </c>
      <c r="Y350" s="6" t="s">
        <v>91</v>
      </c>
      <c r="Z350" s="6" t="s">
        <v>70</v>
      </c>
      <c r="AA350" s="6" t="s">
        <v>91</v>
      </c>
      <c r="AB350" s="6">
        <v>875.89599999999996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1384</v>
      </c>
      <c r="AJ350" s="6" t="s">
        <v>257</v>
      </c>
      <c r="AK350" s="6" t="s">
        <v>12</v>
      </c>
      <c r="AL350" s="6" t="s">
        <v>48</v>
      </c>
      <c r="AM350" s="6" t="s">
        <v>258</v>
      </c>
      <c r="AN350" s="6" t="s">
        <v>20</v>
      </c>
      <c r="AO350" s="6" t="s">
        <v>272</v>
      </c>
      <c r="AP350" s="6" t="s">
        <v>273</v>
      </c>
      <c r="AQ350" s="6" t="s">
        <v>18</v>
      </c>
    </row>
    <row r="351" spans="1:43" x14ac:dyDescent="0.25">
      <c r="A351" s="6">
        <v>22910495</v>
      </c>
      <c r="B351" s="6">
        <v>23683690</v>
      </c>
      <c r="C351" s="6" t="s">
        <v>248</v>
      </c>
      <c r="D351" s="14">
        <v>45911.759872685187</v>
      </c>
      <c r="E351" s="14">
        <v>45911.809594907398</v>
      </c>
      <c r="F351" s="6" t="s">
        <v>17</v>
      </c>
      <c r="G351" s="6" t="s">
        <v>17</v>
      </c>
      <c r="H351" s="6" t="s">
        <v>1385</v>
      </c>
      <c r="I351" s="6" t="s">
        <v>337</v>
      </c>
      <c r="J351" s="6" t="s">
        <v>1386</v>
      </c>
      <c r="K351" s="6" t="s">
        <v>344</v>
      </c>
      <c r="L351" s="6" t="s">
        <v>344</v>
      </c>
      <c r="M351" s="14">
        <v>45911.534722222219</v>
      </c>
      <c r="N351" s="6">
        <v>4153</v>
      </c>
      <c r="O351" s="6" t="s">
        <v>1379</v>
      </c>
      <c r="P351" s="6" t="s">
        <v>276</v>
      </c>
      <c r="Q351" s="6" t="s">
        <v>268</v>
      </c>
      <c r="R351" s="6" t="s">
        <v>269</v>
      </c>
      <c r="S351" s="6" t="s">
        <v>8</v>
      </c>
      <c r="T351" s="6" t="s">
        <v>254</v>
      </c>
      <c r="U351" s="6" t="s">
        <v>127</v>
      </c>
      <c r="V351" s="6" t="s">
        <v>1369</v>
      </c>
      <c r="W351" s="6" t="s">
        <v>91</v>
      </c>
      <c r="X351" s="6" t="s">
        <v>91</v>
      </c>
      <c r="Y351" s="6" t="s">
        <v>91</v>
      </c>
      <c r="Z351" s="6" t="s">
        <v>70</v>
      </c>
      <c r="AA351" s="6" t="s">
        <v>91</v>
      </c>
      <c r="AB351" s="6">
        <v>809.81600000000003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1387</v>
      </c>
      <c r="AJ351" s="6" t="s">
        <v>257</v>
      </c>
      <c r="AK351" s="6" t="s">
        <v>12</v>
      </c>
      <c r="AL351" s="6" t="s">
        <v>48</v>
      </c>
      <c r="AM351" s="6" t="s">
        <v>258</v>
      </c>
      <c r="AN351" s="6" t="s">
        <v>20</v>
      </c>
      <c r="AO351" s="6" t="s">
        <v>272</v>
      </c>
      <c r="AP351" s="6" t="s">
        <v>273</v>
      </c>
      <c r="AQ351" s="6" t="s">
        <v>18</v>
      </c>
    </row>
    <row r="352" spans="1:43" x14ac:dyDescent="0.25">
      <c r="A352" s="6">
        <v>22910501</v>
      </c>
      <c r="B352" s="6">
        <v>23683694</v>
      </c>
      <c r="C352" s="6" t="s">
        <v>248</v>
      </c>
      <c r="D352" s="14">
        <v>45911.760046296287</v>
      </c>
      <c r="E352" s="14">
        <v>45911.809606481482</v>
      </c>
      <c r="F352" s="6" t="s">
        <v>17</v>
      </c>
      <c r="G352" s="6" t="s">
        <v>17</v>
      </c>
      <c r="H352" s="6" t="s">
        <v>1388</v>
      </c>
      <c r="I352" s="6" t="s">
        <v>337</v>
      </c>
      <c r="J352" s="6" t="s">
        <v>1389</v>
      </c>
      <c r="K352" s="6" t="s">
        <v>344</v>
      </c>
      <c r="L352" s="6" t="s">
        <v>344</v>
      </c>
      <c r="M352" s="14">
        <v>45911.534722222219</v>
      </c>
      <c r="N352" s="6">
        <v>4140</v>
      </c>
      <c r="O352" s="6" t="s">
        <v>1390</v>
      </c>
      <c r="P352" s="6" t="s">
        <v>276</v>
      </c>
      <c r="Q352" s="6" t="s">
        <v>268</v>
      </c>
      <c r="R352" s="6" t="s">
        <v>269</v>
      </c>
      <c r="S352" s="6" t="s">
        <v>8</v>
      </c>
      <c r="T352" s="6" t="s">
        <v>254</v>
      </c>
      <c r="U352" s="6" t="s">
        <v>127</v>
      </c>
      <c r="V352" s="6" t="s">
        <v>1369</v>
      </c>
      <c r="W352" s="6" t="s">
        <v>91</v>
      </c>
      <c r="X352" s="6" t="s">
        <v>91</v>
      </c>
      <c r="Y352" s="6" t="s">
        <v>91</v>
      </c>
      <c r="Z352" s="6" t="s">
        <v>70</v>
      </c>
      <c r="AA352" s="6" t="s">
        <v>91</v>
      </c>
      <c r="AB352" s="6">
        <v>570.16959999999995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 t="s">
        <v>1391</v>
      </c>
      <c r="AJ352" s="6" t="s">
        <v>257</v>
      </c>
      <c r="AK352" s="6" t="s">
        <v>12</v>
      </c>
      <c r="AL352" s="6" t="s">
        <v>48</v>
      </c>
      <c r="AM352" s="6" t="s">
        <v>258</v>
      </c>
      <c r="AN352" s="6" t="s">
        <v>20</v>
      </c>
      <c r="AO352" s="6" t="s">
        <v>272</v>
      </c>
      <c r="AP352" s="6" t="s">
        <v>273</v>
      </c>
      <c r="AQ352" s="6" t="s">
        <v>18</v>
      </c>
    </row>
    <row r="353" spans="1:43" x14ac:dyDescent="0.25">
      <c r="A353" s="6">
        <v>22910503</v>
      </c>
      <c r="B353" s="6">
        <v>23683696</v>
      </c>
      <c r="C353" s="6" t="s">
        <v>248</v>
      </c>
      <c r="D353" s="14">
        <v>45911.760081018518</v>
      </c>
      <c r="E353" s="14">
        <v>45911.809606481482</v>
      </c>
      <c r="F353" s="6" t="s">
        <v>17</v>
      </c>
      <c r="G353" s="6" t="s">
        <v>17</v>
      </c>
      <c r="H353" s="6" t="s">
        <v>1392</v>
      </c>
      <c r="I353" s="6" t="s">
        <v>337</v>
      </c>
      <c r="J353" s="6" t="s">
        <v>1389</v>
      </c>
      <c r="K353" s="6" t="s">
        <v>344</v>
      </c>
      <c r="L353" s="6" t="s">
        <v>344</v>
      </c>
      <c r="M353" s="14">
        <v>45911.534722222219</v>
      </c>
      <c r="N353" s="6">
        <v>4138</v>
      </c>
      <c r="O353" s="6" t="s">
        <v>1390</v>
      </c>
      <c r="P353" s="6" t="s">
        <v>276</v>
      </c>
      <c r="Q353" s="6" t="s">
        <v>268</v>
      </c>
      <c r="R353" s="6" t="s">
        <v>269</v>
      </c>
      <c r="S353" s="6" t="s">
        <v>8</v>
      </c>
      <c r="T353" s="6" t="s">
        <v>254</v>
      </c>
      <c r="U353" s="6" t="s">
        <v>127</v>
      </c>
      <c r="V353" s="6" t="s">
        <v>1369</v>
      </c>
      <c r="W353" s="6" t="s">
        <v>91</v>
      </c>
      <c r="X353" s="6" t="s">
        <v>91</v>
      </c>
      <c r="Y353" s="6" t="s">
        <v>91</v>
      </c>
      <c r="Z353" s="6" t="s">
        <v>70</v>
      </c>
      <c r="AA353" s="6" t="s">
        <v>91</v>
      </c>
      <c r="AB353" s="6">
        <v>329.30239999999998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1393</v>
      </c>
      <c r="AJ353" s="6" t="s">
        <v>257</v>
      </c>
      <c r="AK353" s="6" t="s">
        <v>12</v>
      </c>
      <c r="AL353" s="6" t="s">
        <v>48</v>
      </c>
      <c r="AM353" s="6" t="s">
        <v>258</v>
      </c>
      <c r="AN353" s="6" t="s">
        <v>20</v>
      </c>
      <c r="AO353" s="6" t="s">
        <v>272</v>
      </c>
      <c r="AP353" s="6" t="s">
        <v>273</v>
      </c>
      <c r="AQ353" s="6" t="s">
        <v>18</v>
      </c>
    </row>
    <row r="354" spans="1:43" x14ac:dyDescent="0.25">
      <c r="A354" s="6">
        <v>22892804</v>
      </c>
      <c r="B354" s="6">
        <v>23668166</v>
      </c>
      <c r="C354" s="6" t="s">
        <v>248</v>
      </c>
      <c r="D354" s="14">
        <v>45909.004108796304</v>
      </c>
      <c r="E354" s="14">
        <v>45911.590821759259</v>
      </c>
      <c r="F354" s="6" t="s">
        <v>17</v>
      </c>
      <c r="G354" s="6" t="s">
        <v>19</v>
      </c>
      <c r="H354" s="6" t="s">
        <v>1394</v>
      </c>
      <c r="I354" s="6" t="s">
        <v>337</v>
      </c>
      <c r="J354" s="6" t="s">
        <v>1395</v>
      </c>
      <c r="K354" s="6" t="s">
        <v>344</v>
      </c>
      <c r="L354" s="6" t="s">
        <v>344</v>
      </c>
      <c r="M354" s="14">
        <v>45908.792361111111</v>
      </c>
      <c r="N354" s="6">
        <v>4006</v>
      </c>
      <c r="O354" s="6" t="s">
        <v>91</v>
      </c>
      <c r="P354" s="6" t="s">
        <v>276</v>
      </c>
      <c r="Q354" s="6" t="s">
        <v>253</v>
      </c>
      <c r="R354" s="6" t="s">
        <v>269</v>
      </c>
      <c r="S354" s="6" t="s">
        <v>9</v>
      </c>
      <c r="T354" s="6" t="s">
        <v>254</v>
      </c>
      <c r="U354" s="6" t="s">
        <v>127</v>
      </c>
      <c r="V354" s="6" t="s">
        <v>1369</v>
      </c>
      <c r="W354" s="6" t="s">
        <v>91</v>
      </c>
      <c r="X354" s="6" t="s">
        <v>91</v>
      </c>
      <c r="Y354" s="6" t="s">
        <v>91</v>
      </c>
      <c r="Z354" s="6" t="s">
        <v>70</v>
      </c>
      <c r="AA354" s="6" t="s">
        <v>91</v>
      </c>
      <c r="AB354" s="6">
        <v>883.29</v>
      </c>
      <c r="AC354" s="6">
        <v>0</v>
      </c>
      <c r="AD354" s="6">
        <v>0</v>
      </c>
      <c r="AE354" s="6">
        <v>0</v>
      </c>
      <c r="AF354" s="6">
        <v>0</v>
      </c>
      <c r="AG354" s="6">
        <v>44.16</v>
      </c>
      <c r="AH354" s="6">
        <v>0</v>
      </c>
      <c r="AI354" s="6" t="s">
        <v>1396</v>
      </c>
      <c r="AJ354" s="6" t="s">
        <v>257</v>
      </c>
      <c r="AK354" s="6" t="s">
        <v>12</v>
      </c>
      <c r="AL354" s="6" t="s">
        <v>48</v>
      </c>
      <c r="AM354" s="6" t="s">
        <v>258</v>
      </c>
      <c r="AN354" s="6" t="s">
        <v>20</v>
      </c>
      <c r="AO354" s="6" t="s">
        <v>259</v>
      </c>
      <c r="AP354" s="6" t="s">
        <v>260</v>
      </c>
      <c r="AQ354" s="6" t="s">
        <v>31</v>
      </c>
    </row>
    <row r="355" spans="1:43" x14ac:dyDescent="0.25">
      <c r="A355" s="6">
        <v>22858205</v>
      </c>
      <c r="B355" s="6">
        <v>23638717</v>
      </c>
      <c r="C355" s="6" t="s">
        <v>248</v>
      </c>
      <c r="D355" s="14">
        <v>45903.015844907408</v>
      </c>
      <c r="E355" s="14">
        <v>45911.569907407407</v>
      </c>
      <c r="F355" s="6" t="s">
        <v>17</v>
      </c>
      <c r="G355" s="6" t="s">
        <v>23</v>
      </c>
      <c r="H355" s="6" t="s">
        <v>1397</v>
      </c>
      <c r="I355" s="6" t="s">
        <v>337</v>
      </c>
      <c r="J355" s="6" t="s">
        <v>1398</v>
      </c>
      <c r="K355" s="6" t="s">
        <v>344</v>
      </c>
      <c r="L355" s="6" t="s">
        <v>344</v>
      </c>
      <c r="M355" s="14">
        <v>45902.853472222218</v>
      </c>
      <c r="N355" s="6">
        <v>3819</v>
      </c>
      <c r="O355" s="6" t="s">
        <v>91</v>
      </c>
      <c r="P355" s="6" t="s">
        <v>276</v>
      </c>
      <c r="Q355" s="6" t="s">
        <v>253</v>
      </c>
      <c r="R355" s="6" t="s">
        <v>269</v>
      </c>
      <c r="S355" s="6" t="s">
        <v>9</v>
      </c>
      <c r="T355" s="6" t="s">
        <v>254</v>
      </c>
      <c r="U355" s="6" t="s">
        <v>127</v>
      </c>
      <c r="V355" s="6" t="s">
        <v>1369</v>
      </c>
      <c r="W355" s="6" t="s">
        <v>91</v>
      </c>
      <c r="X355" s="6" t="s">
        <v>91</v>
      </c>
      <c r="Y355" s="6" t="s">
        <v>91</v>
      </c>
      <c r="Z355" s="6" t="s">
        <v>70</v>
      </c>
      <c r="AA355" s="6" t="s">
        <v>91</v>
      </c>
      <c r="AB355" s="6">
        <v>478.55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 t="s">
        <v>1399</v>
      </c>
      <c r="AJ355" s="6" t="s">
        <v>257</v>
      </c>
      <c r="AK355" s="6" t="s">
        <v>12</v>
      </c>
      <c r="AL355" s="6" t="s">
        <v>48</v>
      </c>
      <c r="AM355" s="6" t="s">
        <v>258</v>
      </c>
      <c r="AN355" s="6" t="s">
        <v>20</v>
      </c>
      <c r="AO355" s="6" t="s">
        <v>259</v>
      </c>
      <c r="AP355" s="6" t="s">
        <v>260</v>
      </c>
      <c r="AQ355" s="6" t="s">
        <v>31</v>
      </c>
    </row>
    <row r="356" spans="1:43" x14ac:dyDescent="0.25">
      <c r="A356" s="6">
        <v>22858206</v>
      </c>
      <c r="B356" s="6">
        <v>23638718</v>
      </c>
      <c r="C356" s="6" t="s">
        <v>248</v>
      </c>
      <c r="D356" s="14">
        <v>45903.015879629631</v>
      </c>
      <c r="E356" s="14">
        <v>45911.569907407407</v>
      </c>
      <c r="F356" s="6" t="s">
        <v>17</v>
      </c>
      <c r="G356" s="6" t="s">
        <v>23</v>
      </c>
      <c r="H356" s="6" t="s">
        <v>1400</v>
      </c>
      <c r="I356" s="6" t="s">
        <v>337</v>
      </c>
      <c r="J356" s="6" t="s">
        <v>1398</v>
      </c>
      <c r="K356" s="6" t="s">
        <v>344</v>
      </c>
      <c r="L356" s="6" t="s">
        <v>344</v>
      </c>
      <c r="M356" s="14">
        <v>45902.853472222218</v>
      </c>
      <c r="N356" s="6">
        <v>3818</v>
      </c>
      <c r="O356" s="6" t="s">
        <v>91</v>
      </c>
      <c r="P356" s="6" t="s">
        <v>276</v>
      </c>
      <c r="Q356" s="6" t="s">
        <v>253</v>
      </c>
      <c r="R356" s="6" t="s">
        <v>269</v>
      </c>
      <c r="S356" s="6" t="s">
        <v>9</v>
      </c>
      <c r="T356" s="6" t="s">
        <v>254</v>
      </c>
      <c r="U356" s="6" t="s">
        <v>127</v>
      </c>
      <c r="V356" s="6" t="s">
        <v>1369</v>
      </c>
      <c r="W356" s="6" t="s">
        <v>91</v>
      </c>
      <c r="X356" s="6" t="s">
        <v>91</v>
      </c>
      <c r="Y356" s="6" t="s">
        <v>91</v>
      </c>
      <c r="Z356" s="6" t="s">
        <v>70</v>
      </c>
      <c r="AA356" s="6" t="s">
        <v>91</v>
      </c>
      <c r="AB356" s="6">
        <v>636.36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0</v>
      </c>
      <c r="AI356" s="6" t="s">
        <v>1401</v>
      </c>
      <c r="AJ356" s="6" t="s">
        <v>257</v>
      </c>
      <c r="AK356" s="6" t="s">
        <v>12</v>
      </c>
      <c r="AL356" s="6" t="s">
        <v>48</v>
      </c>
      <c r="AM356" s="6" t="s">
        <v>258</v>
      </c>
      <c r="AN356" s="6" t="s">
        <v>20</v>
      </c>
      <c r="AO356" s="6" t="s">
        <v>259</v>
      </c>
      <c r="AP356" s="6" t="s">
        <v>260</v>
      </c>
      <c r="AQ356" s="6" t="s">
        <v>31</v>
      </c>
    </row>
    <row r="357" spans="1:43" x14ac:dyDescent="0.25">
      <c r="A357" s="6">
        <v>22895317</v>
      </c>
      <c r="B357" s="6">
        <v>23670313</v>
      </c>
      <c r="C357" s="6" t="s">
        <v>248</v>
      </c>
      <c r="D357" s="14">
        <v>45909.527708333328</v>
      </c>
      <c r="E357" s="14">
        <v>45911.592349537037</v>
      </c>
      <c r="F357" s="6" t="s">
        <v>17</v>
      </c>
      <c r="G357" s="6" t="s">
        <v>19</v>
      </c>
      <c r="H357" s="6" t="s">
        <v>1402</v>
      </c>
      <c r="I357" s="6" t="s">
        <v>337</v>
      </c>
      <c r="J357" s="6" t="s">
        <v>1403</v>
      </c>
      <c r="K357" s="6" t="s">
        <v>344</v>
      </c>
      <c r="L357" s="6" t="s">
        <v>344</v>
      </c>
      <c r="M357" s="14">
        <v>45909.438194444447</v>
      </c>
      <c r="N357" s="6">
        <v>42198</v>
      </c>
      <c r="O357" s="6" t="s">
        <v>91</v>
      </c>
      <c r="P357" s="6" t="s">
        <v>276</v>
      </c>
      <c r="Q357" s="6" t="s">
        <v>253</v>
      </c>
      <c r="R357" s="6" t="s">
        <v>253</v>
      </c>
      <c r="S357" s="6" t="s">
        <v>9</v>
      </c>
      <c r="T357" s="6" t="s">
        <v>254</v>
      </c>
      <c r="U357" s="6" t="s">
        <v>122</v>
      </c>
      <c r="V357" s="6" t="s">
        <v>1404</v>
      </c>
      <c r="W357" s="6" t="s">
        <v>91</v>
      </c>
      <c r="X357" s="6" t="s">
        <v>91</v>
      </c>
      <c r="Y357" s="6" t="s">
        <v>91</v>
      </c>
      <c r="Z357" s="6" t="s">
        <v>64</v>
      </c>
      <c r="AA357" s="6" t="s">
        <v>91</v>
      </c>
      <c r="AB357" s="6">
        <v>615</v>
      </c>
      <c r="AC357" s="6">
        <v>0</v>
      </c>
      <c r="AD357" s="6">
        <v>0</v>
      </c>
      <c r="AE357" s="6">
        <v>0</v>
      </c>
      <c r="AF357" s="6">
        <v>0</v>
      </c>
      <c r="AG357" s="6">
        <v>30.75</v>
      </c>
      <c r="AH357" s="6">
        <v>0</v>
      </c>
      <c r="AI357" s="6" t="s">
        <v>1405</v>
      </c>
      <c r="AJ357" s="6" t="s">
        <v>257</v>
      </c>
      <c r="AK357" s="6" t="s">
        <v>12</v>
      </c>
      <c r="AL357" s="6" t="s">
        <v>48</v>
      </c>
      <c r="AM357" s="6" t="s">
        <v>258</v>
      </c>
      <c r="AN357" s="6" t="s">
        <v>20</v>
      </c>
      <c r="AO357" s="6" t="s">
        <v>259</v>
      </c>
      <c r="AP357" s="6" t="s">
        <v>260</v>
      </c>
      <c r="AQ357" s="6" t="s">
        <v>31</v>
      </c>
    </row>
    <row r="358" spans="1:43" x14ac:dyDescent="0.25">
      <c r="A358" s="6">
        <v>22911025</v>
      </c>
      <c r="B358" s="6">
        <v>23684209</v>
      </c>
      <c r="C358" s="6" t="s">
        <v>248</v>
      </c>
      <c r="D358" s="14">
        <v>45911.787245370368</v>
      </c>
      <c r="E358" s="14">
        <v>45911.844629629632</v>
      </c>
      <c r="F358" s="6" t="s">
        <v>17</v>
      </c>
      <c r="G358" s="6" t="s">
        <v>17</v>
      </c>
      <c r="H358" s="6" t="s">
        <v>1406</v>
      </c>
      <c r="I358" s="6" t="s">
        <v>337</v>
      </c>
      <c r="J358" s="6" t="s">
        <v>1407</v>
      </c>
      <c r="K358" s="6" t="s">
        <v>344</v>
      </c>
      <c r="L358" s="6" t="s">
        <v>344</v>
      </c>
      <c r="M358" s="14">
        <v>45911.568055555559</v>
      </c>
      <c r="N358" s="6">
        <v>42215</v>
      </c>
      <c r="O358" s="6" t="s">
        <v>1379</v>
      </c>
      <c r="P358" s="6" t="s">
        <v>276</v>
      </c>
      <c r="Q358" s="6" t="s">
        <v>268</v>
      </c>
      <c r="R358" s="6" t="s">
        <v>269</v>
      </c>
      <c r="S358" s="6" t="s">
        <v>8</v>
      </c>
      <c r="T358" s="6" t="s">
        <v>254</v>
      </c>
      <c r="U358" s="6" t="s">
        <v>122</v>
      </c>
      <c r="V358" s="6" t="s">
        <v>1408</v>
      </c>
      <c r="W358" s="6" t="s">
        <v>91</v>
      </c>
      <c r="X358" s="6" t="s">
        <v>91</v>
      </c>
      <c r="Y358" s="6" t="s">
        <v>91</v>
      </c>
      <c r="Z358" s="6" t="s">
        <v>64</v>
      </c>
      <c r="AA358" s="6" t="s">
        <v>91</v>
      </c>
      <c r="AB358" s="6">
        <v>1737.5300999999999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1409</v>
      </c>
      <c r="AJ358" s="6" t="s">
        <v>257</v>
      </c>
      <c r="AK358" s="6" t="s">
        <v>12</v>
      </c>
      <c r="AL358" s="6" t="s">
        <v>48</v>
      </c>
      <c r="AM358" s="6" t="s">
        <v>258</v>
      </c>
      <c r="AN358" s="6" t="s">
        <v>20</v>
      </c>
      <c r="AO358" s="6" t="s">
        <v>272</v>
      </c>
      <c r="AP358" s="6" t="s">
        <v>273</v>
      </c>
      <c r="AQ358" s="6" t="s">
        <v>18</v>
      </c>
    </row>
    <row r="359" spans="1:43" x14ac:dyDescent="0.25">
      <c r="A359" s="6">
        <v>22910988</v>
      </c>
      <c r="B359" s="6">
        <v>23684172</v>
      </c>
      <c r="C359" s="6" t="s">
        <v>248</v>
      </c>
      <c r="D359" s="14">
        <v>45911.785219907397</v>
      </c>
      <c r="E359" s="14">
        <v>45911.841006944444</v>
      </c>
      <c r="F359" s="6" t="s">
        <v>17</v>
      </c>
      <c r="G359" s="6" t="s">
        <v>17</v>
      </c>
      <c r="H359" s="6" t="s">
        <v>1410</v>
      </c>
      <c r="I359" s="6" t="s">
        <v>337</v>
      </c>
      <c r="J359" s="6" t="s">
        <v>1411</v>
      </c>
      <c r="K359" s="6" t="s">
        <v>344</v>
      </c>
      <c r="L359" s="6" t="s">
        <v>344</v>
      </c>
      <c r="M359" s="14">
        <v>45911.694444444453</v>
      </c>
      <c r="N359" s="6">
        <v>42433</v>
      </c>
      <c r="O359" s="6" t="s">
        <v>1412</v>
      </c>
      <c r="P359" s="6" t="s">
        <v>276</v>
      </c>
      <c r="Q359" s="6" t="s">
        <v>268</v>
      </c>
      <c r="R359" s="6" t="s">
        <v>269</v>
      </c>
      <c r="S359" s="6" t="s">
        <v>8</v>
      </c>
      <c r="T359" s="6" t="s">
        <v>254</v>
      </c>
      <c r="U359" s="6" t="s">
        <v>122</v>
      </c>
      <c r="V359" s="6" t="s">
        <v>1408</v>
      </c>
      <c r="W359" s="6" t="s">
        <v>91</v>
      </c>
      <c r="X359" s="6" t="s">
        <v>91</v>
      </c>
      <c r="Y359" s="6" t="s">
        <v>91</v>
      </c>
      <c r="Z359" s="6" t="s">
        <v>64</v>
      </c>
      <c r="AA359" s="6" t="s">
        <v>91</v>
      </c>
      <c r="AB359" s="6">
        <v>2479.857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1413</v>
      </c>
      <c r="AJ359" s="6" t="s">
        <v>257</v>
      </c>
      <c r="AK359" s="6" t="s">
        <v>12</v>
      </c>
      <c r="AL359" s="6" t="s">
        <v>48</v>
      </c>
      <c r="AM359" s="6" t="s">
        <v>258</v>
      </c>
      <c r="AN359" s="6" t="s">
        <v>20</v>
      </c>
      <c r="AO359" s="6" t="s">
        <v>272</v>
      </c>
      <c r="AP359" s="6" t="s">
        <v>273</v>
      </c>
      <c r="AQ359" s="6" t="s">
        <v>18</v>
      </c>
    </row>
    <row r="360" spans="1:43" x14ac:dyDescent="0.25">
      <c r="A360" s="6">
        <v>22910994</v>
      </c>
      <c r="B360" s="6">
        <v>23684178</v>
      </c>
      <c r="C360" s="6" t="s">
        <v>248</v>
      </c>
      <c r="D360" s="14">
        <v>45911.785740740743</v>
      </c>
      <c r="E360" s="14">
        <v>45911.841203703712</v>
      </c>
      <c r="F360" s="6" t="s">
        <v>17</v>
      </c>
      <c r="G360" s="6" t="s">
        <v>17</v>
      </c>
      <c r="H360" s="6" t="s">
        <v>1414</v>
      </c>
      <c r="I360" s="6" t="s">
        <v>337</v>
      </c>
      <c r="J360" s="6" t="s">
        <v>1415</v>
      </c>
      <c r="K360" s="6" t="s">
        <v>344</v>
      </c>
      <c r="L360" s="6" t="s">
        <v>344</v>
      </c>
      <c r="M360" s="14">
        <v>45911.669444444437</v>
      </c>
      <c r="N360" s="6">
        <v>42424</v>
      </c>
      <c r="O360" s="6" t="s">
        <v>1416</v>
      </c>
      <c r="P360" s="6" t="s">
        <v>276</v>
      </c>
      <c r="Q360" s="6" t="s">
        <v>268</v>
      </c>
      <c r="R360" s="6" t="s">
        <v>269</v>
      </c>
      <c r="S360" s="6" t="s">
        <v>8</v>
      </c>
      <c r="T360" s="6" t="s">
        <v>254</v>
      </c>
      <c r="U360" s="6" t="s">
        <v>122</v>
      </c>
      <c r="V360" s="6" t="s">
        <v>1408</v>
      </c>
      <c r="W360" s="6" t="s">
        <v>91</v>
      </c>
      <c r="X360" s="6" t="s">
        <v>91</v>
      </c>
      <c r="Y360" s="6" t="s">
        <v>91</v>
      </c>
      <c r="Z360" s="6" t="s">
        <v>64</v>
      </c>
      <c r="AA360" s="6" t="s">
        <v>91</v>
      </c>
      <c r="AB360" s="6">
        <v>1471.3898999999999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1417</v>
      </c>
      <c r="AJ360" s="6" t="s">
        <v>257</v>
      </c>
      <c r="AK360" s="6" t="s">
        <v>12</v>
      </c>
      <c r="AL360" s="6" t="s">
        <v>48</v>
      </c>
      <c r="AM360" s="6" t="s">
        <v>258</v>
      </c>
      <c r="AN360" s="6" t="s">
        <v>20</v>
      </c>
      <c r="AO360" s="6" t="s">
        <v>272</v>
      </c>
      <c r="AP360" s="6" t="s">
        <v>273</v>
      </c>
      <c r="AQ360" s="6" t="s">
        <v>18</v>
      </c>
    </row>
    <row r="361" spans="1:43" x14ac:dyDescent="0.25">
      <c r="A361" s="6">
        <v>22912695</v>
      </c>
      <c r="B361" s="6">
        <v>23685653</v>
      </c>
      <c r="C361" s="6" t="s">
        <v>248</v>
      </c>
      <c r="D361" s="14">
        <v>45912.022013888891</v>
      </c>
      <c r="E361" s="14">
        <v>45912.035555555558</v>
      </c>
      <c r="F361" s="6" t="s">
        <v>17</v>
      </c>
      <c r="G361" s="6" t="s">
        <v>17</v>
      </c>
      <c r="H361" s="6" t="s">
        <v>1418</v>
      </c>
      <c r="I361" s="6" t="s">
        <v>337</v>
      </c>
      <c r="J361" s="6" t="s">
        <v>1419</v>
      </c>
      <c r="K361" s="6" t="s">
        <v>344</v>
      </c>
      <c r="L361" s="6" t="s">
        <v>344</v>
      </c>
      <c r="M361" s="14">
        <v>45911.834027777782</v>
      </c>
      <c r="N361" s="6">
        <v>42443</v>
      </c>
      <c r="O361" s="6" t="s">
        <v>91</v>
      </c>
      <c r="P361" s="6" t="s">
        <v>276</v>
      </c>
      <c r="Q361" s="6" t="s">
        <v>253</v>
      </c>
      <c r="R361" s="6" t="s">
        <v>253</v>
      </c>
      <c r="S361" s="6" t="s">
        <v>9</v>
      </c>
      <c r="T361" s="6" t="s">
        <v>254</v>
      </c>
      <c r="U361" s="6" t="s">
        <v>122</v>
      </c>
      <c r="V361" s="6" t="s">
        <v>1408</v>
      </c>
      <c r="W361" s="6" t="s">
        <v>91</v>
      </c>
      <c r="X361" s="6" t="s">
        <v>91</v>
      </c>
      <c r="Y361" s="6" t="s">
        <v>91</v>
      </c>
      <c r="Z361" s="6" t="s">
        <v>64</v>
      </c>
      <c r="AA361" s="6" t="s">
        <v>91</v>
      </c>
      <c r="AB361" s="6">
        <v>733.32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 t="s">
        <v>1420</v>
      </c>
      <c r="AJ361" s="6" t="s">
        <v>257</v>
      </c>
      <c r="AK361" s="6" t="s">
        <v>12</v>
      </c>
      <c r="AL361" s="6" t="s">
        <v>48</v>
      </c>
      <c r="AM361" s="6" t="s">
        <v>258</v>
      </c>
      <c r="AN361" s="6" t="s">
        <v>20</v>
      </c>
      <c r="AO361" s="6" t="s">
        <v>259</v>
      </c>
      <c r="AP361" s="6" t="s">
        <v>260</v>
      </c>
      <c r="AQ361" s="6" t="s">
        <v>31</v>
      </c>
    </row>
    <row r="362" spans="1:43" x14ac:dyDescent="0.25">
      <c r="A362" s="6">
        <v>22877529</v>
      </c>
      <c r="B362" s="6">
        <v>23656115</v>
      </c>
      <c r="C362" s="6" t="s">
        <v>248</v>
      </c>
      <c r="D362" s="14">
        <v>45905.786828703713</v>
      </c>
      <c r="E362" s="14">
        <v>45911.580034722218</v>
      </c>
      <c r="F362" s="6" t="s">
        <v>17</v>
      </c>
      <c r="G362" s="6" t="s">
        <v>21</v>
      </c>
      <c r="H362" s="6" t="s">
        <v>1421</v>
      </c>
      <c r="I362" s="6" t="s">
        <v>337</v>
      </c>
      <c r="J362" s="6" t="s">
        <v>1422</v>
      </c>
      <c r="K362" s="6" t="s">
        <v>344</v>
      </c>
      <c r="L362" s="6" t="s">
        <v>344</v>
      </c>
      <c r="M362" s="14">
        <v>45905.661805555559</v>
      </c>
      <c r="N362" s="6">
        <v>41957</v>
      </c>
      <c r="O362" s="6" t="s">
        <v>91</v>
      </c>
      <c r="P362" s="6" t="s">
        <v>276</v>
      </c>
      <c r="Q362" s="6" t="s">
        <v>253</v>
      </c>
      <c r="R362" s="6" t="s">
        <v>253</v>
      </c>
      <c r="S362" s="6" t="s">
        <v>9</v>
      </c>
      <c r="T362" s="6" t="s">
        <v>254</v>
      </c>
      <c r="U362" s="6" t="s">
        <v>122</v>
      </c>
      <c r="V362" s="6" t="s">
        <v>1408</v>
      </c>
      <c r="W362" s="6" t="s">
        <v>91</v>
      </c>
      <c r="X362" s="6" t="s">
        <v>91</v>
      </c>
      <c r="Y362" s="6" t="s">
        <v>91</v>
      </c>
      <c r="Z362" s="6" t="s">
        <v>64</v>
      </c>
      <c r="AA362" s="6" t="s">
        <v>91</v>
      </c>
      <c r="AB362" s="6">
        <v>950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1423</v>
      </c>
      <c r="AJ362" s="6" t="s">
        <v>257</v>
      </c>
      <c r="AK362" s="6" t="s">
        <v>12</v>
      </c>
      <c r="AL362" s="6" t="s">
        <v>48</v>
      </c>
      <c r="AM362" s="6" t="s">
        <v>258</v>
      </c>
      <c r="AN362" s="6" t="s">
        <v>20</v>
      </c>
      <c r="AO362" s="6" t="s">
        <v>259</v>
      </c>
      <c r="AP362" s="6" t="s">
        <v>260</v>
      </c>
      <c r="AQ362" s="6" t="s">
        <v>31</v>
      </c>
    </row>
    <row r="363" spans="1:43" x14ac:dyDescent="0.25">
      <c r="A363" s="6">
        <v>22877538</v>
      </c>
      <c r="B363" s="6">
        <v>23656124</v>
      </c>
      <c r="C363" s="6" t="s">
        <v>248</v>
      </c>
      <c r="D363" s="14">
        <v>45905.787164351852</v>
      </c>
      <c r="E363" s="14">
        <v>45911.580046296287</v>
      </c>
      <c r="F363" s="6" t="s">
        <v>17</v>
      </c>
      <c r="G363" s="6" t="s">
        <v>21</v>
      </c>
      <c r="H363" s="6" t="s">
        <v>1424</v>
      </c>
      <c r="I363" s="6" t="s">
        <v>337</v>
      </c>
      <c r="J363" s="6" t="s">
        <v>1425</v>
      </c>
      <c r="K363" s="6" t="s">
        <v>344</v>
      </c>
      <c r="L363" s="6" t="s">
        <v>344</v>
      </c>
      <c r="M363" s="14">
        <v>45905.659722222219</v>
      </c>
      <c r="N363" s="6">
        <v>41947</v>
      </c>
      <c r="O363" s="6" t="s">
        <v>91</v>
      </c>
      <c r="P363" s="6" t="s">
        <v>276</v>
      </c>
      <c r="Q363" s="6" t="s">
        <v>253</v>
      </c>
      <c r="R363" s="6" t="s">
        <v>253</v>
      </c>
      <c r="S363" s="6" t="s">
        <v>9</v>
      </c>
      <c r="T363" s="6" t="s">
        <v>254</v>
      </c>
      <c r="U363" s="6" t="s">
        <v>122</v>
      </c>
      <c r="V363" s="6" t="s">
        <v>1408</v>
      </c>
      <c r="W363" s="6" t="s">
        <v>91</v>
      </c>
      <c r="X363" s="6" t="s">
        <v>91</v>
      </c>
      <c r="Y363" s="6" t="s">
        <v>91</v>
      </c>
      <c r="Z363" s="6" t="s">
        <v>64</v>
      </c>
      <c r="AA363" s="6" t="s">
        <v>91</v>
      </c>
      <c r="AB363" s="6">
        <v>1045</v>
      </c>
      <c r="AC363" s="6">
        <v>0</v>
      </c>
      <c r="AD363" s="6">
        <v>0</v>
      </c>
      <c r="AE363" s="6">
        <v>0</v>
      </c>
      <c r="AF363" s="6">
        <v>0</v>
      </c>
      <c r="AG363" s="6">
        <v>0</v>
      </c>
      <c r="AH363" s="6">
        <v>0</v>
      </c>
      <c r="AI363" s="6" t="s">
        <v>1426</v>
      </c>
      <c r="AJ363" s="6" t="s">
        <v>257</v>
      </c>
      <c r="AK363" s="6" t="s">
        <v>12</v>
      </c>
      <c r="AL363" s="6" t="s">
        <v>48</v>
      </c>
      <c r="AM363" s="6" t="s">
        <v>258</v>
      </c>
      <c r="AN363" s="6" t="s">
        <v>20</v>
      </c>
      <c r="AO363" s="6" t="s">
        <v>259</v>
      </c>
      <c r="AP363" s="6" t="s">
        <v>260</v>
      </c>
      <c r="AQ363" s="6" t="s">
        <v>31</v>
      </c>
    </row>
    <row r="364" spans="1:43" x14ac:dyDescent="0.25">
      <c r="A364" s="6">
        <v>22877584</v>
      </c>
      <c r="B364" s="6">
        <v>23656162</v>
      </c>
      <c r="C364" s="6" t="s">
        <v>248</v>
      </c>
      <c r="D364" s="14">
        <v>45905.788344907407</v>
      </c>
      <c r="E364" s="14">
        <v>45911.580057870371</v>
      </c>
      <c r="F364" s="6" t="s">
        <v>17</v>
      </c>
      <c r="G364" s="6" t="s">
        <v>21</v>
      </c>
      <c r="H364" s="6" t="s">
        <v>1427</v>
      </c>
      <c r="I364" s="6" t="s">
        <v>337</v>
      </c>
      <c r="J364" s="6" t="s">
        <v>1428</v>
      </c>
      <c r="K364" s="6" t="s">
        <v>344</v>
      </c>
      <c r="L364" s="6" t="s">
        <v>344</v>
      </c>
      <c r="M364" s="14">
        <v>45905.655555555553</v>
      </c>
      <c r="N364" s="6">
        <v>41920</v>
      </c>
      <c r="O364" s="6" t="s">
        <v>91</v>
      </c>
      <c r="P364" s="6" t="s">
        <v>276</v>
      </c>
      <c r="Q364" s="6" t="s">
        <v>253</v>
      </c>
      <c r="R364" s="6" t="s">
        <v>253</v>
      </c>
      <c r="S364" s="6" t="s">
        <v>9</v>
      </c>
      <c r="T364" s="6" t="s">
        <v>254</v>
      </c>
      <c r="U364" s="6" t="s">
        <v>122</v>
      </c>
      <c r="V364" s="6" t="s">
        <v>1408</v>
      </c>
      <c r="W364" s="6" t="s">
        <v>91</v>
      </c>
      <c r="X364" s="6" t="s">
        <v>91</v>
      </c>
      <c r="Y364" s="6" t="s">
        <v>91</v>
      </c>
      <c r="Z364" s="6" t="s">
        <v>64</v>
      </c>
      <c r="AA364" s="6" t="s">
        <v>91</v>
      </c>
      <c r="AB364" s="6">
        <v>350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1429</v>
      </c>
      <c r="AJ364" s="6" t="s">
        <v>257</v>
      </c>
      <c r="AK364" s="6" t="s">
        <v>12</v>
      </c>
      <c r="AL364" s="6" t="s">
        <v>48</v>
      </c>
      <c r="AM364" s="6" t="s">
        <v>258</v>
      </c>
      <c r="AN364" s="6" t="s">
        <v>20</v>
      </c>
      <c r="AO364" s="6" t="s">
        <v>259</v>
      </c>
      <c r="AP364" s="6" t="s">
        <v>260</v>
      </c>
      <c r="AQ364" s="6" t="s">
        <v>31</v>
      </c>
    </row>
    <row r="365" spans="1:43" x14ac:dyDescent="0.25">
      <c r="A365" s="6">
        <v>22911002</v>
      </c>
      <c r="B365" s="6">
        <v>23684186</v>
      </c>
      <c r="C365" s="6" t="s">
        <v>248</v>
      </c>
      <c r="D365" s="14">
        <v>45911.786215277767</v>
      </c>
      <c r="E365" s="14">
        <v>45911.841296296298</v>
      </c>
      <c r="F365" s="6" t="s">
        <v>17</v>
      </c>
      <c r="G365" s="6" t="s">
        <v>17</v>
      </c>
      <c r="H365" s="6" t="s">
        <v>1430</v>
      </c>
      <c r="I365" s="6" t="s">
        <v>337</v>
      </c>
      <c r="J365" s="6" t="s">
        <v>1431</v>
      </c>
      <c r="K365" s="6" t="s">
        <v>1432</v>
      </c>
      <c r="L365" s="6" t="s">
        <v>1432</v>
      </c>
      <c r="M365" s="14">
        <v>45911.627083333333</v>
      </c>
      <c r="N365" s="6">
        <v>42406</v>
      </c>
      <c r="O365" s="6" t="s">
        <v>91</v>
      </c>
      <c r="P365" s="6" t="s">
        <v>252</v>
      </c>
      <c r="Q365" s="6" t="s">
        <v>253</v>
      </c>
      <c r="R365" s="6" t="s">
        <v>253</v>
      </c>
      <c r="S365" s="6" t="s">
        <v>9</v>
      </c>
      <c r="T365" s="6" t="s">
        <v>254</v>
      </c>
      <c r="U365" s="6" t="s">
        <v>122</v>
      </c>
      <c r="V365" s="6" t="s">
        <v>1408</v>
      </c>
      <c r="W365" s="6" t="s">
        <v>91</v>
      </c>
      <c r="X365" s="6" t="s">
        <v>91</v>
      </c>
      <c r="Y365" s="6" t="s">
        <v>91</v>
      </c>
      <c r="Z365" s="6" t="s">
        <v>64</v>
      </c>
      <c r="AA365" s="6" t="s">
        <v>91</v>
      </c>
      <c r="AB365" s="6">
        <v>190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1433</v>
      </c>
      <c r="AJ365" s="6" t="s">
        <v>257</v>
      </c>
      <c r="AK365" s="6" t="s">
        <v>12</v>
      </c>
      <c r="AL365" s="6" t="s">
        <v>48</v>
      </c>
      <c r="AM365" s="6" t="s">
        <v>258</v>
      </c>
      <c r="AN365" s="6" t="s">
        <v>20</v>
      </c>
      <c r="AO365" s="6" t="s">
        <v>272</v>
      </c>
      <c r="AP365" s="6" t="s">
        <v>273</v>
      </c>
      <c r="AQ365" s="6" t="s">
        <v>18</v>
      </c>
    </row>
    <row r="366" spans="1:43" x14ac:dyDescent="0.25">
      <c r="A366" s="6">
        <v>22911003</v>
      </c>
      <c r="B366" s="6">
        <v>23684187</v>
      </c>
      <c r="C366" s="6" t="s">
        <v>248</v>
      </c>
      <c r="D366" s="14">
        <v>45911.786273148151</v>
      </c>
      <c r="E366" s="14">
        <v>45911.843969907408</v>
      </c>
      <c r="F366" s="6" t="s">
        <v>17</v>
      </c>
      <c r="G366" s="6" t="s">
        <v>17</v>
      </c>
      <c r="H366" s="6" t="s">
        <v>1434</v>
      </c>
      <c r="I366" s="6" t="s">
        <v>337</v>
      </c>
      <c r="J366" s="6" t="s">
        <v>1435</v>
      </c>
      <c r="K366" s="6" t="s">
        <v>1432</v>
      </c>
      <c r="L366" s="6" t="s">
        <v>1432</v>
      </c>
      <c r="M366" s="14">
        <v>45911.629166666673</v>
      </c>
      <c r="N366" s="6">
        <v>42405</v>
      </c>
      <c r="O366" s="6" t="s">
        <v>91</v>
      </c>
      <c r="P366" s="6" t="s">
        <v>252</v>
      </c>
      <c r="Q366" s="6" t="s">
        <v>253</v>
      </c>
      <c r="R366" s="6" t="s">
        <v>253</v>
      </c>
      <c r="S366" s="6" t="s">
        <v>9</v>
      </c>
      <c r="T366" s="6" t="s">
        <v>254</v>
      </c>
      <c r="U366" s="6" t="s">
        <v>122</v>
      </c>
      <c r="V366" s="6" t="s">
        <v>1408</v>
      </c>
      <c r="W366" s="6" t="s">
        <v>91</v>
      </c>
      <c r="X366" s="6" t="s">
        <v>91</v>
      </c>
      <c r="Y366" s="6" t="s">
        <v>91</v>
      </c>
      <c r="Z366" s="6" t="s">
        <v>64</v>
      </c>
      <c r="AA366" s="6" t="s">
        <v>91</v>
      </c>
      <c r="AB366" s="6">
        <v>190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1436</v>
      </c>
      <c r="AJ366" s="6" t="s">
        <v>257</v>
      </c>
      <c r="AK366" s="6" t="s">
        <v>12</v>
      </c>
      <c r="AL366" s="6" t="s">
        <v>48</v>
      </c>
      <c r="AM366" s="6" t="s">
        <v>258</v>
      </c>
      <c r="AN366" s="6" t="s">
        <v>20</v>
      </c>
      <c r="AO366" s="6" t="s">
        <v>272</v>
      </c>
      <c r="AP366" s="6" t="s">
        <v>273</v>
      </c>
      <c r="AQ366" s="6" t="s">
        <v>18</v>
      </c>
    </row>
    <row r="367" spans="1:43" x14ac:dyDescent="0.25">
      <c r="A367" s="6">
        <v>22833882</v>
      </c>
      <c r="B367" s="6">
        <v>23618656</v>
      </c>
      <c r="C367" s="6" t="s">
        <v>638</v>
      </c>
      <c r="D367" s="14">
        <v>45898.534571759257</v>
      </c>
      <c r="E367" s="14">
        <v>45898.537789351853</v>
      </c>
      <c r="F367" s="6" t="s">
        <v>23</v>
      </c>
      <c r="G367" s="6" t="s">
        <v>23</v>
      </c>
      <c r="H367" s="6" t="s">
        <v>1437</v>
      </c>
      <c r="I367" s="6" t="s">
        <v>16</v>
      </c>
      <c r="J367" s="6" t="s">
        <v>1258</v>
      </c>
      <c r="K367" s="6" t="s">
        <v>1212</v>
      </c>
      <c r="L367" s="6" t="s">
        <v>1212</v>
      </c>
      <c r="M367" s="14">
        <v>45897.387499999997</v>
      </c>
      <c r="N367" s="6" t="s">
        <v>1438</v>
      </c>
      <c r="O367" s="6" t="s">
        <v>91</v>
      </c>
      <c r="P367" s="6" t="s">
        <v>252</v>
      </c>
      <c r="Q367" s="6" t="s">
        <v>253</v>
      </c>
      <c r="R367" s="6" t="s">
        <v>253</v>
      </c>
      <c r="S367" s="6" t="s">
        <v>9</v>
      </c>
      <c r="T367" s="6" t="s">
        <v>254</v>
      </c>
      <c r="U367" s="6" t="s">
        <v>118</v>
      </c>
      <c r="V367" s="6" t="s">
        <v>1214</v>
      </c>
      <c r="W367" s="6" t="s">
        <v>91</v>
      </c>
      <c r="X367" s="6" t="s">
        <v>91</v>
      </c>
      <c r="Y367" s="6" t="s">
        <v>91</v>
      </c>
      <c r="Z367" s="6" t="s">
        <v>58</v>
      </c>
      <c r="AA367" s="6" t="s">
        <v>91</v>
      </c>
      <c r="AB367" s="6">
        <v>200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288</v>
      </c>
      <c r="AJ367" s="6" t="s">
        <v>701</v>
      </c>
      <c r="AK367" s="6" t="s">
        <v>16</v>
      </c>
      <c r="AL367" s="6" t="s">
        <v>48</v>
      </c>
      <c r="AM367" s="6" t="s">
        <v>258</v>
      </c>
      <c r="AN367" s="6" t="s">
        <v>20</v>
      </c>
      <c r="AO367" s="6" t="s">
        <v>272</v>
      </c>
      <c r="AP367" s="6" t="s">
        <v>273</v>
      </c>
      <c r="AQ367" s="6" t="s">
        <v>18</v>
      </c>
    </row>
    <row r="368" spans="1:43" x14ac:dyDescent="0.25">
      <c r="A368" s="6">
        <v>22863316</v>
      </c>
      <c r="B368" s="6">
        <v>23643191</v>
      </c>
      <c r="C368" s="6" t="s">
        <v>248</v>
      </c>
      <c r="D368" s="14">
        <v>45903.775995370372</v>
      </c>
      <c r="E368" s="14">
        <v>45911.57172453704</v>
      </c>
      <c r="F368" s="6" t="s">
        <v>17</v>
      </c>
      <c r="G368" s="6" t="s">
        <v>23</v>
      </c>
      <c r="H368" s="6" t="s">
        <v>1439</v>
      </c>
      <c r="I368" s="6" t="s">
        <v>337</v>
      </c>
      <c r="J368" s="6" t="s">
        <v>1440</v>
      </c>
      <c r="K368" s="6" t="s">
        <v>1441</v>
      </c>
      <c r="L368" s="6" t="s">
        <v>1441</v>
      </c>
      <c r="M368" s="14">
        <v>45903.724999999999</v>
      </c>
      <c r="N368" s="6">
        <v>41733</v>
      </c>
      <c r="O368" s="6" t="s">
        <v>1442</v>
      </c>
      <c r="P368" s="6" t="s">
        <v>252</v>
      </c>
      <c r="Q368" s="6" t="s">
        <v>268</v>
      </c>
      <c r="R368" s="6" t="s">
        <v>269</v>
      </c>
      <c r="S368" s="6" t="s">
        <v>8</v>
      </c>
      <c r="T368" s="6" t="s">
        <v>254</v>
      </c>
      <c r="U368" s="6" t="s">
        <v>122</v>
      </c>
      <c r="V368" s="6" t="s">
        <v>1443</v>
      </c>
      <c r="W368" s="6" t="s">
        <v>91</v>
      </c>
      <c r="X368" s="6" t="s">
        <v>91</v>
      </c>
      <c r="Y368" s="6" t="s">
        <v>91</v>
      </c>
      <c r="Z368" s="6" t="s">
        <v>64</v>
      </c>
      <c r="AA368" s="6" t="s">
        <v>91</v>
      </c>
      <c r="AB368" s="6">
        <v>39317.040000000001</v>
      </c>
      <c r="AC368" s="6">
        <v>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1444</v>
      </c>
      <c r="AJ368" s="6" t="s">
        <v>257</v>
      </c>
      <c r="AK368" s="6" t="s">
        <v>12</v>
      </c>
      <c r="AL368" s="6" t="s">
        <v>48</v>
      </c>
      <c r="AM368" s="6" t="s">
        <v>258</v>
      </c>
      <c r="AN368" s="6" t="s">
        <v>20</v>
      </c>
      <c r="AO368" s="6" t="s">
        <v>272</v>
      </c>
      <c r="AP368" s="6" t="s">
        <v>273</v>
      </c>
      <c r="AQ368" s="6" t="s">
        <v>18</v>
      </c>
    </row>
    <row r="369" spans="1:43" x14ac:dyDescent="0.25">
      <c r="A369" s="6">
        <v>22910999</v>
      </c>
      <c r="B369" s="6">
        <v>23684183</v>
      </c>
      <c r="C369" s="6" t="s">
        <v>248</v>
      </c>
      <c r="D369" s="14">
        <v>45911.785995370366</v>
      </c>
      <c r="E369" s="14">
        <v>45911.841249999998</v>
      </c>
      <c r="F369" s="6" t="s">
        <v>17</v>
      </c>
      <c r="G369" s="6" t="s">
        <v>17</v>
      </c>
      <c r="H369" s="6" t="s">
        <v>1445</v>
      </c>
      <c r="I369" s="6" t="s">
        <v>337</v>
      </c>
      <c r="J369" s="6" t="s">
        <v>1446</v>
      </c>
      <c r="K369" s="6" t="s">
        <v>1447</v>
      </c>
      <c r="L369" s="6" t="s">
        <v>1447</v>
      </c>
      <c r="M369" s="14">
        <v>45911.575694444437</v>
      </c>
      <c r="N369" s="6">
        <v>42410</v>
      </c>
      <c r="O369" s="6" t="s">
        <v>1448</v>
      </c>
      <c r="P369" s="6" t="s">
        <v>252</v>
      </c>
      <c r="Q369" s="6" t="s">
        <v>268</v>
      </c>
      <c r="R369" s="6" t="s">
        <v>269</v>
      </c>
      <c r="S369" s="6" t="s">
        <v>8</v>
      </c>
      <c r="T369" s="6" t="s">
        <v>254</v>
      </c>
      <c r="U369" s="6" t="s">
        <v>122</v>
      </c>
      <c r="V369" s="6" t="s">
        <v>1443</v>
      </c>
      <c r="W369" s="6" t="s">
        <v>91</v>
      </c>
      <c r="X369" s="6" t="s">
        <v>91</v>
      </c>
      <c r="Y369" s="6" t="s">
        <v>91</v>
      </c>
      <c r="Z369" s="6" t="s">
        <v>64</v>
      </c>
      <c r="AA369" s="6" t="s">
        <v>91</v>
      </c>
      <c r="AB369" s="6">
        <v>18993.599999999999</v>
      </c>
      <c r="AC369" s="6">
        <v>0</v>
      </c>
      <c r="AD369" s="6">
        <v>4416</v>
      </c>
      <c r="AE369" s="6">
        <v>0</v>
      </c>
      <c r="AF369" s="6">
        <v>0</v>
      </c>
      <c r="AG369" s="6">
        <v>0</v>
      </c>
      <c r="AH369" s="6">
        <v>0</v>
      </c>
      <c r="AI369" s="6" t="s">
        <v>1449</v>
      </c>
      <c r="AJ369" s="6" t="s">
        <v>257</v>
      </c>
      <c r="AK369" s="6" t="s">
        <v>12</v>
      </c>
      <c r="AL369" s="6" t="s">
        <v>48</v>
      </c>
      <c r="AM369" s="6" t="s">
        <v>258</v>
      </c>
      <c r="AN369" s="6" t="s">
        <v>20</v>
      </c>
      <c r="AO369" s="6" t="s">
        <v>272</v>
      </c>
      <c r="AP369" s="6" t="s">
        <v>273</v>
      </c>
      <c r="AQ369" s="6" t="s">
        <v>18</v>
      </c>
    </row>
    <row r="370" spans="1:43" x14ac:dyDescent="0.25">
      <c r="A370" s="6">
        <v>22816113</v>
      </c>
      <c r="B370" s="6">
        <v>23602868</v>
      </c>
      <c r="C370" s="6" t="s">
        <v>248</v>
      </c>
      <c r="D370" s="14">
        <v>45895.778634259259</v>
      </c>
      <c r="E370" s="14">
        <v>45911.561354166668</v>
      </c>
      <c r="F370" s="6" t="s">
        <v>17</v>
      </c>
      <c r="G370" s="6" t="s">
        <v>25</v>
      </c>
      <c r="H370" s="6" t="s">
        <v>1450</v>
      </c>
      <c r="I370" s="6" t="s">
        <v>337</v>
      </c>
      <c r="J370" s="6" t="s">
        <v>1451</v>
      </c>
      <c r="K370" s="6" t="s">
        <v>1452</v>
      </c>
      <c r="L370" s="6" t="s">
        <v>1452</v>
      </c>
      <c r="M370" s="14">
        <v>45895.739583333343</v>
      </c>
      <c r="N370" s="6">
        <v>40908</v>
      </c>
      <c r="O370" s="6" t="s">
        <v>91</v>
      </c>
      <c r="P370" s="6" t="s">
        <v>252</v>
      </c>
      <c r="Q370" s="6" t="s">
        <v>268</v>
      </c>
      <c r="R370" s="6" t="s">
        <v>269</v>
      </c>
      <c r="S370" s="6" t="s">
        <v>3</v>
      </c>
      <c r="T370" s="6" t="s">
        <v>254</v>
      </c>
      <c r="U370" s="6" t="s">
        <v>122</v>
      </c>
      <c r="V370" s="6" t="s">
        <v>1453</v>
      </c>
      <c r="W370" s="6" t="s">
        <v>91</v>
      </c>
      <c r="X370" s="6" t="s">
        <v>91</v>
      </c>
      <c r="Y370" s="6" t="s">
        <v>91</v>
      </c>
      <c r="Z370" s="6" t="s">
        <v>64</v>
      </c>
      <c r="AA370" s="6" t="s">
        <v>91</v>
      </c>
      <c r="AB370" s="6">
        <v>5337.49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 t="s">
        <v>1454</v>
      </c>
      <c r="AJ370" s="6" t="s">
        <v>257</v>
      </c>
      <c r="AK370" s="6" t="s">
        <v>12</v>
      </c>
      <c r="AL370" s="6" t="s">
        <v>48</v>
      </c>
      <c r="AM370" s="6" t="s">
        <v>258</v>
      </c>
      <c r="AN370" s="6" t="s">
        <v>20</v>
      </c>
      <c r="AO370" s="6" t="s">
        <v>272</v>
      </c>
      <c r="AP370" s="6" t="s">
        <v>273</v>
      </c>
      <c r="AQ370" s="6" t="s">
        <v>18</v>
      </c>
    </row>
    <row r="371" spans="1:43" x14ac:dyDescent="0.25">
      <c r="A371" s="6">
        <v>22854434</v>
      </c>
      <c r="B371" s="6">
        <v>23635240</v>
      </c>
      <c r="C371" s="6" t="s">
        <v>248</v>
      </c>
      <c r="D371" s="14">
        <v>45902.532384259262</v>
      </c>
      <c r="E371" s="14">
        <v>45902.753657407397</v>
      </c>
      <c r="F371" s="6" t="s">
        <v>23</v>
      </c>
      <c r="G371" s="6" t="s">
        <v>23</v>
      </c>
      <c r="H371" s="6" t="s">
        <v>1455</v>
      </c>
      <c r="I371" s="6" t="s">
        <v>13</v>
      </c>
      <c r="J371" s="6" t="s">
        <v>1456</v>
      </c>
      <c r="K371" s="6" t="s">
        <v>275</v>
      </c>
      <c r="L371" s="6" t="s">
        <v>275</v>
      </c>
      <c r="M371" s="14">
        <v>45902.524305555547</v>
      </c>
      <c r="N371" s="6">
        <v>4591469</v>
      </c>
      <c r="O371" s="6" t="s">
        <v>1457</v>
      </c>
      <c r="P371" s="6" t="s">
        <v>276</v>
      </c>
      <c r="Q371" s="6" t="s">
        <v>268</v>
      </c>
      <c r="R371" s="6" t="s">
        <v>269</v>
      </c>
      <c r="S371" s="6" t="s">
        <v>8</v>
      </c>
      <c r="T371" s="6" t="s">
        <v>254</v>
      </c>
      <c r="U371" s="6" t="s">
        <v>195</v>
      </c>
      <c r="V371" s="6" t="s">
        <v>1458</v>
      </c>
      <c r="W371" s="6" t="s">
        <v>91</v>
      </c>
      <c r="X371" s="6" t="s">
        <v>91</v>
      </c>
      <c r="Y371" s="6" t="s">
        <v>91</v>
      </c>
      <c r="Z371" s="6" t="s">
        <v>60</v>
      </c>
      <c r="AA371" s="6" t="s">
        <v>91</v>
      </c>
      <c r="AB371" s="6">
        <v>894.53</v>
      </c>
      <c r="AC371" s="6">
        <v>74.58</v>
      </c>
      <c r="AD371" s="6">
        <v>0</v>
      </c>
      <c r="AE371" s="6">
        <v>0</v>
      </c>
      <c r="AF371" s="6">
        <v>0</v>
      </c>
      <c r="AG371" s="6">
        <v>0</v>
      </c>
      <c r="AH371" s="6">
        <v>0</v>
      </c>
      <c r="AI371" s="6" t="s">
        <v>1459</v>
      </c>
      <c r="AJ371" s="6" t="s">
        <v>257</v>
      </c>
      <c r="AK371" s="6" t="s">
        <v>13</v>
      </c>
      <c r="AL371" s="6" t="s">
        <v>48</v>
      </c>
      <c r="AM371" s="6" t="s">
        <v>258</v>
      </c>
      <c r="AN371" s="6" t="s">
        <v>20</v>
      </c>
      <c r="AO371" s="6" t="s">
        <v>259</v>
      </c>
      <c r="AP371" s="6" t="s">
        <v>260</v>
      </c>
      <c r="AQ371" s="6" t="s">
        <v>31</v>
      </c>
    </row>
    <row r="372" spans="1:43" x14ac:dyDescent="0.25">
      <c r="A372" s="6">
        <v>22909826</v>
      </c>
      <c r="B372" s="6">
        <v>23683059</v>
      </c>
      <c r="C372" s="6" t="s">
        <v>248</v>
      </c>
      <c r="D372" s="14">
        <v>45911.692384259259</v>
      </c>
      <c r="E372" s="14">
        <v>45911.697708333333</v>
      </c>
      <c r="F372" s="6" t="s">
        <v>17</v>
      </c>
      <c r="G372" s="6" t="s">
        <v>17</v>
      </c>
      <c r="H372" s="6" t="s">
        <v>1460</v>
      </c>
      <c r="I372" s="6" t="s">
        <v>13</v>
      </c>
      <c r="J372" s="6" t="s">
        <v>1461</v>
      </c>
      <c r="K372" s="6" t="s">
        <v>1462</v>
      </c>
      <c r="L372" s="6" t="s">
        <v>1462</v>
      </c>
      <c r="M372" s="14">
        <v>45911.681944444441</v>
      </c>
      <c r="N372" s="6">
        <v>4594695</v>
      </c>
      <c r="O372" s="6" t="s">
        <v>91</v>
      </c>
      <c r="P372" s="6" t="s">
        <v>252</v>
      </c>
      <c r="Q372" s="6" t="s">
        <v>253</v>
      </c>
      <c r="R372" s="6" t="s">
        <v>1463</v>
      </c>
      <c r="S372" s="6" t="s">
        <v>7</v>
      </c>
      <c r="T372" s="6" t="s">
        <v>254</v>
      </c>
      <c r="U372" s="6" t="s">
        <v>189</v>
      </c>
      <c r="V372" s="6" t="s">
        <v>1464</v>
      </c>
      <c r="W372" s="6" t="s">
        <v>91</v>
      </c>
      <c r="X372" s="6" t="s">
        <v>1465</v>
      </c>
      <c r="Y372" s="6">
        <v>2144310685</v>
      </c>
      <c r="Z372" s="6" t="s">
        <v>105</v>
      </c>
      <c r="AA372" s="6" t="s">
        <v>91</v>
      </c>
      <c r="AB372" s="6">
        <v>0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 t="s">
        <v>1466</v>
      </c>
      <c r="AJ372" s="6" t="s">
        <v>1467</v>
      </c>
      <c r="AK372" s="6" t="s">
        <v>13</v>
      </c>
      <c r="AL372" s="6" t="s">
        <v>53</v>
      </c>
      <c r="AM372" s="6" t="s">
        <v>67</v>
      </c>
      <c r="AN372" s="6" t="s">
        <v>20</v>
      </c>
      <c r="AO372" s="6" t="s">
        <v>272</v>
      </c>
      <c r="AP372" s="6" t="s">
        <v>260</v>
      </c>
      <c r="AQ372" s="6" t="s">
        <v>24</v>
      </c>
    </row>
    <row r="373" spans="1:43" x14ac:dyDescent="0.25">
      <c r="A373" s="6">
        <v>22909827</v>
      </c>
      <c r="B373" s="6">
        <v>23683060</v>
      </c>
      <c r="C373" s="6" t="s">
        <v>248</v>
      </c>
      <c r="D373" s="14">
        <v>45911.692407407398</v>
      </c>
      <c r="E373" s="14">
        <v>45911.69771990741</v>
      </c>
      <c r="F373" s="6" t="s">
        <v>17</v>
      </c>
      <c r="G373" s="6" t="s">
        <v>17</v>
      </c>
      <c r="H373" s="6" t="s">
        <v>1468</v>
      </c>
      <c r="I373" s="6" t="s">
        <v>13</v>
      </c>
      <c r="J373" s="6" t="s">
        <v>1469</v>
      </c>
      <c r="K373" s="6" t="s">
        <v>1462</v>
      </c>
      <c r="L373" s="6" t="s">
        <v>1462</v>
      </c>
      <c r="M373" s="14">
        <v>45911.681944444441</v>
      </c>
      <c r="N373" s="6">
        <v>4594695</v>
      </c>
      <c r="O373" s="6" t="s">
        <v>91</v>
      </c>
      <c r="P373" s="6" t="s">
        <v>252</v>
      </c>
      <c r="Q373" s="6" t="s">
        <v>253</v>
      </c>
      <c r="R373" s="6" t="s">
        <v>1463</v>
      </c>
      <c r="S373" s="6" t="s">
        <v>7</v>
      </c>
      <c r="T373" s="6" t="s">
        <v>254</v>
      </c>
      <c r="U373" s="6" t="s">
        <v>189</v>
      </c>
      <c r="V373" s="6" t="s">
        <v>1464</v>
      </c>
      <c r="W373" s="6" t="s">
        <v>91</v>
      </c>
      <c r="X373" s="6" t="s">
        <v>1465</v>
      </c>
      <c r="Y373" s="6">
        <v>2144312554</v>
      </c>
      <c r="Z373" s="6" t="s">
        <v>105</v>
      </c>
      <c r="AA373" s="6" t="s">
        <v>91</v>
      </c>
      <c r="AB373" s="6">
        <v>0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 t="s">
        <v>1466</v>
      </c>
      <c r="AJ373" s="6" t="s">
        <v>1467</v>
      </c>
      <c r="AK373" s="6" t="s">
        <v>13</v>
      </c>
      <c r="AL373" s="6" t="s">
        <v>53</v>
      </c>
      <c r="AM373" s="6" t="s">
        <v>67</v>
      </c>
      <c r="AN373" s="6" t="s">
        <v>20</v>
      </c>
      <c r="AO373" s="6" t="s">
        <v>272</v>
      </c>
      <c r="AP373" s="6" t="s">
        <v>260</v>
      </c>
      <c r="AQ373" s="6" t="s">
        <v>24</v>
      </c>
    </row>
    <row r="374" spans="1:43" x14ac:dyDescent="0.25">
      <c r="A374" s="6">
        <v>22828482</v>
      </c>
      <c r="B374" s="6">
        <v>23613921</v>
      </c>
      <c r="C374" s="6" t="s">
        <v>248</v>
      </c>
      <c r="D374" s="14">
        <v>45897.707916666674</v>
      </c>
      <c r="E374" s="14">
        <v>45897.723599537043</v>
      </c>
      <c r="F374" s="6" t="s">
        <v>23</v>
      </c>
      <c r="G374" s="6" t="s">
        <v>23</v>
      </c>
      <c r="H374" s="6" t="s">
        <v>1470</v>
      </c>
      <c r="I374" s="6" t="s">
        <v>13</v>
      </c>
      <c r="J374" s="6" t="s">
        <v>1471</v>
      </c>
      <c r="K374" s="6" t="s">
        <v>275</v>
      </c>
      <c r="L374" s="6" t="s">
        <v>275</v>
      </c>
      <c r="M374" s="14">
        <v>45897.695138888892</v>
      </c>
      <c r="N374" s="6">
        <v>4589663</v>
      </c>
      <c r="O374" s="6" t="s">
        <v>91</v>
      </c>
      <c r="P374" s="6" t="s">
        <v>276</v>
      </c>
      <c r="Q374" s="6" t="s">
        <v>253</v>
      </c>
      <c r="R374" s="6" t="s">
        <v>1463</v>
      </c>
      <c r="S374" s="6" t="s">
        <v>7</v>
      </c>
      <c r="T374" s="6" t="s">
        <v>254</v>
      </c>
      <c r="U374" s="6" t="s">
        <v>189</v>
      </c>
      <c r="V374" s="6" t="s">
        <v>1464</v>
      </c>
      <c r="W374" s="6" t="s">
        <v>91</v>
      </c>
      <c r="X374" s="6" t="s">
        <v>1465</v>
      </c>
      <c r="Y374" s="6">
        <v>2144315740</v>
      </c>
      <c r="Z374" s="6" t="s">
        <v>105</v>
      </c>
      <c r="AA374" s="6" t="s">
        <v>91</v>
      </c>
      <c r="AB374" s="6">
        <v>528.61</v>
      </c>
      <c r="AC374" s="6">
        <v>60.62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1472</v>
      </c>
      <c r="AJ374" s="6" t="s">
        <v>1473</v>
      </c>
      <c r="AK374" s="6" t="s">
        <v>13</v>
      </c>
      <c r="AL374" s="6" t="s">
        <v>53</v>
      </c>
      <c r="AM374" s="6" t="s">
        <v>67</v>
      </c>
      <c r="AN374" s="6" t="s">
        <v>20</v>
      </c>
      <c r="AO374" s="6" t="s">
        <v>272</v>
      </c>
      <c r="AP374" s="6" t="s">
        <v>273</v>
      </c>
      <c r="AQ374" s="6" t="s">
        <v>18</v>
      </c>
    </row>
    <row r="375" spans="1:43" x14ac:dyDescent="0.25">
      <c r="A375" s="6">
        <v>22877465</v>
      </c>
      <c r="B375" s="6">
        <v>23656054</v>
      </c>
      <c r="C375" s="6" t="s">
        <v>248</v>
      </c>
      <c r="D375" s="14">
        <v>45905.784444444442</v>
      </c>
      <c r="E375" s="14">
        <v>45905.813020833331</v>
      </c>
      <c r="F375" s="6" t="s">
        <v>21</v>
      </c>
      <c r="G375" s="6" t="s">
        <v>21</v>
      </c>
      <c r="H375" s="6" t="s">
        <v>1474</v>
      </c>
      <c r="I375" s="6" t="s">
        <v>337</v>
      </c>
      <c r="J375" s="6" t="s">
        <v>1475</v>
      </c>
      <c r="K375" s="6" t="s">
        <v>1462</v>
      </c>
      <c r="L375" s="6" t="s">
        <v>1462</v>
      </c>
      <c r="M375" s="14">
        <v>45905.666666666657</v>
      </c>
      <c r="N375" s="6">
        <v>5560</v>
      </c>
      <c r="O375" s="6" t="s">
        <v>91</v>
      </c>
      <c r="P375" s="6" t="s">
        <v>252</v>
      </c>
      <c r="Q375" s="6" t="s">
        <v>253</v>
      </c>
      <c r="R375" s="6" t="s">
        <v>253</v>
      </c>
      <c r="S375" s="6" t="s">
        <v>7</v>
      </c>
      <c r="T375" s="6" t="s">
        <v>254</v>
      </c>
      <c r="U375" s="6" t="s">
        <v>171</v>
      </c>
      <c r="V375" s="6" t="s">
        <v>1476</v>
      </c>
      <c r="W375" s="6" t="s">
        <v>91</v>
      </c>
      <c r="X375" s="6" t="s">
        <v>1465</v>
      </c>
      <c r="Y375" s="6">
        <v>2144852505</v>
      </c>
      <c r="Z375" s="6" t="s">
        <v>62</v>
      </c>
      <c r="AA375" s="6" t="s">
        <v>91</v>
      </c>
      <c r="AB375" s="6">
        <v>0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1477</v>
      </c>
      <c r="AJ375" s="6" t="s">
        <v>1478</v>
      </c>
      <c r="AK375" s="6" t="s">
        <v>12</v>
      </c>
      <c r="AL375" s="6" t="s">
        <v>75</v>
      </c>
      <c r="AM375" s="6" t="s">
        <v>67</v>
      </c>
      <c r="AN375" s="6" t="s">
        <v>20</v>
      </c>
      <c r="AO375" s="6" t="s">
        <v>272</v>
      </c>
      <c r="AP375" s="6" t="s">
        <v>260</v>
      </c>
      <c r="AQ375" s="6" t="s">
        <v>24</v>
      </c>
    </row>
    <row r="376" spans="1:43" x14ac:dyDescent="0.25">
      <c r="A376" s="6">
        <v>22910642</v>
      </c>
      <c r="B376" s="6">
        <v>23683829</v>
      </c>
      <c r="C376" s="6" t="s">
        <v>248</v>
      </c>
      <c r="D376" s="14">
        <v>45911.767094907409</v>
      </c>
      <c r="E376" s="14">
        <v>45911.769791666673</v>
      </c>
      <c r="F376" s="6" t="s">
        <v>17</v>
      </c>
      <c r="G376" s="6" t="s">
        <v>17</v>
      </c>
      <c r="H376" s="6" t="s">
        <v>1479</v>
      </c>
      <c r="I376" s="6" t="s">
        <v>13</v>
      </c>
      <c r="J376" s="6" t="s">
        <v>1480</v>
      </c>
      <c r="K376" s="6" t="s">
        <v>1462</v>
      </c>
      <c r="L376" s="6" t="s">
        <v>1462</v>
      </c>
      <c r="M376" s="14">
        <v>45911.759722222218</v>
      </c>
      <c r="N376" s="6">
        <v>4595879</v>
      </c>
      <c r="O376" s="6" t="s">
        <v>91</v>
      </c>
      <c r="P376" s="6" t="s">
        <v>252</v>
      </c>
      <c r="Q376" s="6" t="s">
        <v>253</v>
      </c>
      <c r="R376" s="6" t="s">
        <v>253</v>
      </c>
      <c r="S376" s="6" t="s">
        <v>7</v>
      </c>
      <c r="T376" s="6" t="s">
        <v>254</v>
      </c>
      <c r="U376" s="6" t="s">
        <v>185</v>
      </c>
      <c r="V376" s="6" t="s">
        <v>1481</v>
      </c>
      <c r="W376" s="6" t="s">
        <v>91</v>
      </c>
      <c r="X376" s="6" t="s">
        <v>1465</v>
      </c>
      <c r="Y376" s="6">
        <v>2145230136</v>
      </c>
      <c r="Z376" s="6" t="s">
        <v>74</v>
      </c>
      <c r="AA376" s="6" t="s">
        <v>91</v>
      </c>
      <c r="AB376" s="6">
        <v>1860.95</v>
      </c>
      <c r="AC376" s="6">
        <v>400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 t="s">
        <v>1482</v>
      </c>
      <c r="AJ376" s="6" t="s">
        <v>1483</v>
      </c>
      <c r="AK376" s="6" t="s">
        <v>13</v>
      </c>
      <c r="AL376" s="6" t="s">
        <v>55</v>
      </c>
      <c r="AM376" s="6" t="s">
        <v>1484</v>
      </c>
      <c r="AN376" s="6" t="s">
        <v>26</v>
      </c>
      <c r="AO376" s="6" t="s">
        <v>272</v>
      </c>
      <c r="AP376" s="6" t="s">
        <v>260</v>
      </c>
      <c r="AQ376" s="6" t="s">
        <v>24</v>
      </c>
    </row>
    <row r="377" spans="1:43" x14ac:dyDescent="0.25">
      <c r="A377" s="6">
        <v>22892025</v>
      </c>
      <c r="B377" s="6">
        <v>23667555</v>
      </c>
      <c r="C377" s="6" t="s">
        <v>248</v>
      </c>
      <c r="D377" s="14">
        <v>45908.824166666673</v>
      </c>
      <c r="E377" s="14">
        <v>45911.561226851853</v>
      </c>
      <c r="F377" s="6" t="s">
        <v>17</v>
      </c>
      <c r="G377" s="6" t="s">
        <v>19</v>
      </c>
      <c r="H377" s="6" t="s">
        <v>1485</v>
      </c>
      <c r="I377" s="6" t="s">
        <v>16</v>
      </c>
      <c r="J377" s="6" t="s">
        <v>1486</v>
      </c>
      <c r="K377" s="6" t="s">
        <v>369</v>
      </c>
      <c r="L377" s="6" t="s">
        <v>369</v>
      </c>
      <c r="M377" s="14">
        <v>45908.640277777777</v>
      </c>
      <c r="N377" s="6" t="s">
        <v>1487</v>
      </c>
      <c r="O377" s="6" t="s">
        <v>91</v>
      </c>
      <c r="P377" s="6" t="s">
        <v>276</v>
      </c>
      <c r="Q377" s="6" t="s">
        <v>253</v>
      </c>
      <c r="R377" s="6" t="s">
        <v>1463</v>
      </c>
      <c r="S377" s="6" t="s">
        <v>7</v>
      </c>
      <c r="T377" s="6" t="s">
        <v>254</v>
      </c>
      <c r="U377" s="6" t="s">
        <v>174</v>
      </c>
      <c r="V377" s="6" t="s">
        <v>1488</v>
      </c>
      <c r="W377" s="6" t="s">
        <v>91</v>
      </c>
      <c r="X377" s="6" t="s">
        <v>1465</v>
      </c>
      <c r="Y377" s="6">
        <v>7700076893</v>
      </c>
      <c r="Z377" s="6" t="s">
        <v>102</v>
      </c>
      <c r="AA377" s="6" t="s">
        <v>91</v>
      </c>
      <c r="AB377" s="6">
        <v>1135.8699999999999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288</v>
      </c>
      <c r="AJ377" s="6" t="s">
        <v>1473</v>
      </c>
      <c r="AK377" s="6" t="s">
        <v>16</v>
      </c>
      <c r="AL377" s="6" t="s">
        <v>53</v>
      </c>
      <c r="AM377" s="6" t="s">
        <v>67</v>
      </c>
      <c r="AN377" s="6" t="s">
        <v>20</v>
      </c>
      <c r="AO377" s="6" t="s">
        <v>272</v>
      </c>
      <c r="AP377" s="6" t="s">
        <v>273</v>
      </c>
      <c r="AQ377" s="6" t="s">
        <v>18</v>
      </c>
    </row>
    <row r="378" spans="1:43" x14ac:dyDescent="0.25">
      <c r="A378" s="6">
        <v>22892026</v>
      </c>
      <c r="B378" s="6">
        <v>23667556</v>
      </c>
      <c r="C378" s="6" t="s">
        <v>248</v>
      </c>
      <c r="D378" s="14">
        <v>45908.824224537027</v>
      </c>
      <c r="E378" s="14">
        <v>45911.561238425929</v>
      </c>
      <c r="F378" s="6" t="s">
        <v>17</v>
      </c>
      <c r="G378" s="6" t="s">
        <v>19</v>
      </c>
      <c r="H378" s="6" t="s">
        <v>1489</v>
      </c>
      <c r="I378" s="6" t="s">
        <v>16</v>
      </c>
      <c r="J378" s="6" t="s">
        <v>1486</v>
      </c>
      <c r="K378" s="6" t="s">
        <v>369</v>
      </c>
      <c r="L378" s="6" t="s">
        <v>369</v>
      </c>
      <c r="M378" s="14">
        <v>45908.646527777782</v>
      </c>
      <c r="N378" s="6" t="s">
        <v>1490</v>
      </c>
      <c r="O378" s="6" t="s">
        <v>91</v>
      </c>
      <c r="P378" s="6" t="s">
        <v>276</v>
      </c>
      <c r="Q378" s="6" t="s">
        <v>253</v>
      </c>
      <c r="R378" s="6" t="s">
        <v>1463</v>
      </c>
      <c r="S378" s="6" t="s">
        <v>7</v>
      </c>
      <c r="T378" s="6" t="s">
        <v>254</v>
      </c>
      <c r="U378" s="6" t="s">
        <v>174</v>
      </c>
      <c r="V378" s="6" t="s">
        <v>1488</v>
      </c>
      <c r="W378" s="6" t="s">
        <v>91</v>
      </c>
      <c r="X378" s="6" t="s">
        <v>1465</v>
      </c>
      <c r="Y378" s="6">
        <v>7700076894</v>
      </c>
      <c r="Z378" s="6" t="s">
        <v>102</v>
      </c>
      <c r="AA378" s="6" t="s">
        <v>91</v>
      </c>
      <c r="AB378" s="6">
        <v>1284.24</v>
      </c>
      <c r="AC378" s="6">
        <v>0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288</v>
      </c>
      <c r="AJ378" s="6" t="s">
        <v>1473</v>
      </c>
      <c r="AK378" s="6" t="s">
        <v>16</v>
      </c>
      <c r="AL378" s="6" t="s">
        <v>53</v>
      </c>
      <c r="AM378" s="6" t="s">
        <v>67</v>
      </c>
      <c r="AN378" s="6" t="s">
        <v>20</v>
      </c>
      <c r="AO378" s="6" t="s">
        <v>272</v>
      </c>
      <c r="AP378" s="6" t="s">
        <v>273</v>
      </c>
      <c r="AQ378" s="6" t="s">
        <v>18</v>
      </c>
    </row>
    <row r="379" spans="1:43" x14ac:dyDescent="0.25">
      <c r="A379" s="6">
        <v>22892027</v>
      </c>
      <c r="B379" s="6">
        <v>23667557</v>
      </c>
      <c r="C379" s="6" t="s">
        <v>248</v>
      </c>
      <c r="D379" s="14">
        <v>45908.824270833327</v>
      </c>
      <c r="E379" s="14">
        <v>45911.561249999999</v>
      </c>
      <c r="F379" s="6" t="s">
        <v>17</v>
      </c>
      <c r="G379" s="6" t="s">
        <v>19</v>
      </c>
      <c r="H379" s="6" t="s">
        <v>1491</v>
      </c>
      <c r="I379" s="6" t="s">
        <v>16</v>
      </c>
      <c r="J379" s="6" t="s">
        <v>1486</v>
      </c>
      <c r="K379" s="6" t="s">
        <v>369</v>
      </c>
      <c r="L379" s="6" t="s">
        <v>369</v>
      </c>
      <c r="M379" s="14">
        <v>45908.65902777778</v>
      </c>
      <c r="N379" s="6" t="s">
        <v>1492</v>
      </c>
      <c r="O379" s="6" t="s">
        <v>91</v>
      </c>
      <c r="P379" s="6" t="s">
        <v>276</v>
      </c>
      <c r="Q379" s="6" t="s">
        <v>253</v>
      </c>
      <c r="R379" s="6" t="s">
        <v>1463</v>
      </c>
      <c r="S379" s="6" t="s">
        <v>7</v>
      </c>
      <c r="T379" s="6" t="s">
        <v>254</v>
      </c>
      <c r="U379" s="6" t="s">
        <v>174</v>
      </c>
      <c r="V379" s="6" t="s">
        <v>1488</v>
      </c>
      <c r="W379" s="6" t="s">
        <v>91</v>
      </c>
      <c r="X379" s="6" t="s">
        <v>1465</v>
      </c>
      <c r="Y379" s="6">
        <v>7700076895</v>
      </c>
      <c r="Z379" s="6" t="s">
        <v>102</v>
      </c>
      <c r="AA379" s="6" t="s">
        <v>91</v>
      </c>
      <c r="AB379" s="6">
        <v>858.26</v>
      </c>
      <c r="AC379" s="6">
        <v>0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 t="s">
        <v>288</v>
      </c>
      <c r="AJ379" s="6" t="s">
        <v>1473</v>
      </c>
      <c r="AK379" s="6" t="s">
        <v>16</v>
      </c>
      <c r="AL379" s="6" t="s">
        <v>53</v>
      </c>
      <c r="AM379" s="6" t="s">
        <v>67</v>
      </c>
      <c r="AN379" s="6" t="s">
        <v>20</v>
      </c>
      <c r="AO379" s="6" t="s">
        <v>272</v>
      </c>
      <c r="AP379" s="6" t="s">
        <v>273</v>
      </c>
      <c r="AQ379" s="6" t="s">
        <v>18</v>
      </c>
    </row>
    <row r="380" spans="1:43" x14ac:dyDescent="0.25">
      <c r="A380" s="6">
        <v>22868673</v>
      </c>
      <c r="B380" s="6">
        <v>23647755</v>
      </c>
      <c r="C380" s="6" t="s">
        <v>248</v>
      </c>
      <c r="D380" s="14">
        <v>45904.595324074071</v>
      </c>
      <c r="E380" s="14">
        <v>45911.561168981483</v>
      </c>
      <c r="F380" s="6" t="s">
        <v>17</v>
      </c>
      <c r="G380" s="6" t="s">
        <v>21</v>
      </c>
      <c r="H380" s="6" t="s">
        <v>1493</v>
      </c>
      <c r="I380" s="6" t="s">
        <v>16</v>
      </c>
      <c r="J380" s="6" t="s">
        <v>1494</v>
      </c>
      <c r="K380" s="6" t="s">
        <v>495</v>
      </c>
      <c r="L380" s="6" t="s">
        <v>495</v>
      </c>
      <c r="M380" s="14">
        <v>45904.454861111109</v>
      </c>
      <c r="N380" s="6" t="s">
        <v>1495</v>
      </c>
      <c r="O380" s="6" t="s">
        <v>91</v>
      </c>
      <c r="P380" s="6" t="s">
        <v>276</v>
      </c>
      <c r="Q380" s="6" t="s">
        <v>253</v>
      </c>
      <c r="R380" s="6" t="s">
        <v>1463</v>
      </c>
      <c r="S380" s="6" t="s">
        <v>7</v>
      </c>
      <c r="T380" s="6" t="s">
        <v>254</v>
      </c>
      <c r="U380" s="6" t="s">
        <v>116</v>
      </c>
      <c r="V380" s="6" t="s">
        <v>724</v>
      </c>
      <c r="W380" s="6" t="s">
        <v>91</v>
      </c>
      <c r="X380" s="6" t="s">
        <v>1465</v>
      </c>
      <c r="Y380" s="6">
        <v>7700076672</v>
      </c>
      <c r="Z380" s="6" t="s">
        <v>56</v>
      </c>
      <c r="AA380" s="6" t="s">
        <v>91</v>
      </c>
      <c r="AB380" s="6">
        <v>345.19</v>
      </c>
      <c r="AC380" s="6">
        <v>60.62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288</v>
      </c>
      <c r="AJ380" s="6" t="s">
        <v>1473</v>
      </c>
      <c r="AK380" s="6" t="s">
        <v>16</v>
      </c>
      <c r="AL380" s="6" t="s">
        <v>53</v>
      </c>
      <c r="AM380" s="6" t="s">
        <v>67</v>
      </c>
      <c r="AN380" s="6" t="s">
        <v>20</v>
      </c>
      <c r="AO380" s="6" t="s">
        <v>272</v>
      </c>
      <c r="AP380" s="6" t="s">
        <v>273</v>
      </c>
      <c r="AQ380" s="6" t="s">
        <v>18</v>
      </c>
    </row>
    <row r="381" spans="1:43" x14ac:dyDescent="0.25">
      <c r="A381" s="6">
        <v>22878342</v>
      </c>
      <c r="B381" s="6">
        <v>23656874</v>
      </c>
      <c r="C381" s="6" t="s">
        <v>248</v>
      </c>
      <c r="D381" s="14">
        <v>45905.847951388889</v>
      </c>
      <c r="E381" s="14">
        <v>45911.559490740743</v>
      </c>
      <c r="F381" s="6" t="s">
        <v>17</v>
      </c>
      <c r="G381" s="6" t="s">
        <v>21</v>
      </c>
      <c r="H381" s="6" t="s">
        <v>1496</v>
      </c>
      <c r="I381" s="6" t="s">
        <v>337</v>
      </c>
      <c r="J381" s="6" t="s">
        <v>1497</v>
      </c>
      <c r="K381" s="6" t="s">
        <v>1498</v>
      </c>
      <c r="L381" s="6" t="s">
        <v>1498</v>
      </c>
      <c r="M381" s="14">
        <v>45905.841666666667</v>
      </c>
      <c r="N381" s="6">
        <v>231448</v>
      </c>
      <c r="O381" s="6" t="s">
        <v>91</v>
      </c>
      <c r="P381" s="6" t="s">
        <v>252</v>
      </c>
      <c r="Q381" s="6" t="s">
        <v>253</v>
      </c>
      <c r="R381" s="6" t="s">
        <v>253</v>
      </c>
      <c r="S381" s="6" t="s">
        <v>7</v>
      </c>
      <c r="T381" s="6" t="s">
        <v>254</v>
      </c>
      <c r="U381" s="6" t="s">
        <v>129</v>
      </c>
      <c r="V381" s="6" t="s">
        <v>452</v>
      </c>
      <c r="W381" s="6" t="s">
        <v>91</v>
      </c>
      <c r="X381" s="6" t="s">
        <v>1465</v>
      </c>
      <c r="Y381" s="6">
        <v>2144726639</v>
      </c>
      <c r="Z381" s="6" t="s">
        <v>72</v>
      </c>
      <c r="AA381" s="6" t="s">
        <v>91</v>
      </c>
      <c r="AB381" s="6">
        <v>1197.83</v>
      </c>
      <c r="AC381" s="6">
        <v>0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 t="s">
        <v>1499</v>
      </c>
      <c r="AJ381" s="6" t="s">
        <v>1500</v>
      </c>
      <c r="AK381" s="6" t="s">
        <v>12</v>
      </c>
      <c r="AL381" s="6" t="s">
        <v>49</v>
      </c>
      <c r="AM381" s="6" t="s">
        <v>1501</v>
      </c>
      <c r="AN381" s="6" t="s">
        <v>26</v>
      </c>
      <c r="AO381" s="6" t="s">
        <v>272</v>
      </c>
      <c r="AP381" s="6" t="s">
        <v>260</v>
      </c>
      <c r="AQ381" s="6" t="s">
        <v>37</v>
      </c>
    </row>
    <row r="382" spans="1:43" x14ac:dyDescent="0.25">
      <c r="A382" s="6">
        <v>22909375</v>
      </c>
      <c r="B382" s="6">
        <v>23682579</v>
      </c>
      <c r="C382" s="6" t="s">
        <v>248</v>
      </c>
      <c r="D382" s="14">
        <v>45911.636076388888</v>
      </c>
      <c r="E382" s="14">
        <v>45911.638391203713</v>
      </c>
      <c r="F382" s="6" t="s">
        <v>17</v>
      </c>
      <c r="G382" s="6" t="s">
        <v>17</v>
      </c>
      <c r="H382" s="6" t="s">
        <v>1502</v>
      </c>
      <c r="I382" s="6" t="s">
        <v>1503</v>
      </c>
      <c r="J382" s="6" t="s">
        <v>1504</v>
      </c>
      <c r="K382" s="6" t="s">
        <v>1505</v>
      </c>
      <c r="L382" s="6" t="s">
        <v>1505</v>
      </c>
      <c r="M382" s="14">
        <v>45911.503472222219</v>
      </c>
      <c r="N382" s="6" t="s">
        <v>91</v>
      </c>
      <c r="O382" s="6" t="s">
        <v>91</v>
      </c>
      <c r="P382" s="6" t="s">
        <v>252</v>
      </c>
      <c r="Q382" s="6" t="s">
        <v>253</v>
      </c>
      <c r="R382" s="6" t="s">
        <v>253</v>
      </c>
      <c r="S382" s="6" t="s">
        <v>7</v>
      </c>
      <c r="T382" s="6" t="s">
        <v>254</v>
      </c>
      <c r="U382" s="6" t="s">
        <v>132</v>
      </c>
      <c r="V382" s="6" t="s">
        <v>1506</v>
      </c>
      <c r="W382" s="6" t="s">
        <v>91</v>
      </c>
      <c r="X382" s="6" t="s">
        <v>1465</v>
      </c>
      <c r="Y382" s="6">
        <v>2145214886</v>
      </c>
      <c r="Z382" s="6" t="s">
        <v>39</v>
      </c>
      <c r="AA382" s="6" t="s">
        <v>91</v>
      </c>
      <c r="AB382" s="6">
        <v>1054.5899999999999</v>
      </c>
      <c r="AC382" s="6">
        <v>51.66</v>
      </c>
      <c r="AD382" s="6">
        <v>0</v>
      </c>
      <c r="AE382" s="6">
        <v>0</v>
      </c>
      <c r="AF382" s="6">
        <v>0</v>
      </c>
      <c r="AG382" s="6">
        <v>0</v>
      </c>
      <c r="AH382" s="6">
        <v>94.91</v>
      </c>
      <c r="AI382" s="6" t="s">
        <v>1507</v>
      </c>
      <c r="AJ382" s="6" t="s">
        <v>1508</v>
      </c>
      <c r="AK382" s="6" t="s">
        <v>39</v>
      </c>
      <c r="AL382" s="6" t="s">
        <v>57</v>
      </c>
      <c r="AM382" s="6" t="s">
        <v>1509</v>
      </c>
      <c r="AN382" s="6" t="s">
        <v>43</v>
      </c>
      <c r="AO382" s="6" t="s">
        <v>272</v>
      </c>
      <c r="AP382" s="6" t="s">
        <v>1510</v>
      </c>
      <c r="AQ382" s="6" t="s">
        <v>89</v>
      </c>
    </row>
    <row r="383" spans="1:43" x14ac:dyDescent="0.25">
      <c r="A383" s="6">
        <v>22909351</v>
      </c>
      <c r="B383" s="6">
        <v>23682559</v>
      </c>
      <c r="C383" s="6" t="s">
        <v>248</v>
      </c>
      <c r="D383" s="14">
        <v>45911.633379629631</v>
      </c>
      <c r="E383" s="14">
        <v>45911.634664351863</v>
      </c>
      <c r="F383" s="6" t="s">
        <v>17</v>
      </c>
      <c r="G383" s="6" t="s">
        <v>17</v>
      </c>
      <c r="H383" s="6" t="s">
        <v>1511</v>
      </c>
      <c r="I383" s="6" t="s">
        <v>1503</v>
      </c>
      <c r="J383" s="6" t="s">
        <v>1512</v>
      </c>
      <c r="K383" s="6" t="s">
        <v>1505</v>
      </c>
      <c r="L383" s="6" t="s">
        <v>1505</v>
      </c>
      <c r="M383" s="14">
        <v>45911.502083333333</v>
      </c>
      <c r="N383" s="6" t="s">
        <v>91</v>
      </c>
      <c r="O383" s="6" t="s">
        <v>91</v>
      </c>
      <c r="P383" s="6" t="s">
        <v>252</v>
      </c>
      <c r="Q383" s="6" t="s">
        <v>253</v>
      </c>
      <c r="R383" s="6" t="s">
        <v>253</v>
      </c>
      <c r="S383" s="6" t="s">
        <v>7</v>
      </c>
      <c r="T383" s="6" t="s">
        <v>254</v>
      </c>
      <c r="U383" s="6" t="s">
        <v>132</v>
      </c>
      <c r="V383" s="6" t="s">
        <v>1506</v>
      </c>
      <c r="W383" s="6" t="s">
        <v>91</v>
      </c>
      <c r="X383" s="6" t="s">
        <v>1465</v>
      </c>
      <c r="Y383" s="6">
        <v>2145214845</v>
      </c>
      <c r="Z383" s="6" t="s">
        <v>39</v>
      </c>
      <c r="AA383" s="6" t="s">
        <v>91</v>
      </c>
      <c r="AB383" s="6">
        <v>2273.89</v>
      </c>
      <c r="AC383" s="6">
        <v>112.28</v>
      </c>
      <c r="AD383" s="6">
        <v>0</v>
      </c>
      <c r="AE383" s="6">
        <v>0</v>
      </c>
      <c r="AF383" s="6">
        <v>0</v>
      </c>
      <c r="AG383" s="6">
        <v>0</v>
      </c>
      <c r="AH383" s="6">
        <v>204.65</v>
      </c>
      <c r="AI383" s="6" t="s">
        <v>1507</v>
      </c>
      <c r="AJ383" s="6" t="s">
        <v>1508</v>
      </c>
      <c r="AK383" s="6" t="s">
        <v>39</v>
      </c>
      <c r="AL383" s="6" t="s">
        <v>57</v>
      </c>
      <c r="AM383" s="6" t="s">
        <v>1509</v>
      </c>
      <c r="AN383" s="6" t="s">
        <v>43</v>
      </c>
      <c r="AO383" s="6" t="s">
        <v>272</v>
      </c>
      <c r="AP383" s="6" t="s">
        <v>1510</v>
      </c>
      <c r="AQ383" s="6" t="s">
        <v>89</v>
      </c>
    </row>
    <row r="384" spans="1:43" x14ac:dyDescent="0.25">
      <c r="A384" s="6">
        <v>22912227</v>
      </c>
      <c r="B384" s="6">
        <v>23685269</v>
      </c>
      <c r="C384" s="6" t="s">
        <v>248</v>
      </c>
      <c r="D384" s="14">
        <v>45911.951701388891</v>
      </c>
      <c r="E384" s="14">
        <v>45911.95275462963</v>
      </c>
      <c r="F384" s="6" t="s">
        <v>17</v>
      </c>
      <c r="G384" s="6" t="s">
        <v>17</v>
      </c>
      <c r="H384" s="6" t="s">
        <v>1513</v>
      </c>
      <c r="I384" s="6" t="s">
        <v>1503</v>
      </c>
      <c r="J384" s="6" t="s">
        <v>1514</v>
      </c>
      <c r="K384" s="6" t="s">
        <v>1505</v>
      </c>
      <c r="L384" s="6" t="s">
        <v>1505</v>
      </c>
      <c r="M384" s="14">
        <v>45911.446527777778</v>
      </c>
      <c r="N384" s="6" t="s">
        <v>91</v>
      </c>
      <c r="O384" s="6" t="s">
        <v>91</v>
      </c>
      <c r="P384" s="6" t="s">
        <v>252</v>
      </c>
      <c r="Q384" s="6" t="s">
        <v>253</v>
      </c>
      <c r="R384" s="6" t="s">
        <v>253</v>
      </c>
      <c r="S384" s="6" t="s">
        <v>7</v>
      </c>
      <c r="T384" s="6" t="s">
        <v>254</v>
      </c>
      <c r="U384" s="6" t="s">
        <v>132</v>
      </c>
      <c r="V384" s="6" t="s">
        <v>1515</v>
      </c>
      <c r="W384" s="6" t="s">
        <v>91</v>
      </c>
      <c r="X384" s="6" t="s">
        <v>1465</v>
      </c>
      <c r="Y384" s="6">
        <v>2145247985</v>
      </c>
      <c r="Z384" s="6" t="s">
        <v>39</v>
      </c>
      <c r="AA384" s="6" t="s">
        <v>91</v>
      </c>
      <c r="AB384" s="6">
        <v>489.65</v>
      </c>
      <c r="AC384" s="6">
        <v>44.27</v>
      </c>
      <c r="AD384" s="6">
        <v>0</v>
      </c>
      <c r="AE384" s="6">
        <v>0</v>
      </c>
      <c r="AF384" s="6">
        <v>0</v>
      </c>
      <c r="AG384" s="6">
        <v>0</v>
      </c>
      <c r="AH384" s="6">
        <v>44.07</v>
      </c>
      <c r="AI384" s="6" t="s">
        <v>1507</v>
      </c>
      <c r="AJ384" s="6" t="s">
        <v>1516</v>
      </c>
      <c r="AK384" s="6" t="s">
        <v>39</v>
      </c>
      <c r="AL384" s="6" t="s">
        <v>59</v>
      </c>
      <c r="AM384" s="6" t="s">
        <v>67</v>
      </c>
      <c r="AN384" s="6" t="s">
        <v>20</v>
      </c>
      <c r="AO384" s="6" t="s">
        <v>272</v>
      </c>
      <c r="AP384" s="6" t="s">
        <v>1510</v>
      </c>
      <c r="AQ384" s="6" t="s">
        <v>89</v>
      </c>
    </row>
    <row r="385" spans="1:43" x14ac:dyDescent="0.25">
      <c r="A385" s="6">
        <v>22909965</v>
      </c>
      <c r="B385" s="6">
        <v>23683184</v>
      </c>
      <c r="C385" s="6" t="s">
        <v>248</v>
      </c>
      <c r="D385" s="14">
        <v>45911.708321759259</v>
      </c>
      <c r="E385" s="14">
        <v>45911.709548611107</v>
      </c>
      <c r="F385" s="6" t="s">
        <v>17</v>
      </c>
      <c r="G385" s="6" t="s">
        <v>17</v>
      </c>
      <c r="H385" s="6" t="s">
        <v>1517</v>
      </c>
      <c r="I385" s="6" t="s">
        <v>1503</v>
      </c>
      <c r="J385" s="6" t="s">
        <v>1518</v>
      </c>
      <c r="K385" s="6" t="s">
        <v>1505</v>
      </c>
      <c r="L385" s="6" t="s">
        <v>1505</v>
      </c>
      <c r="M385" s="14">
        <v>45911.207638888889</v>
      </c>
      <c r="N385" s="6" t="s">
        <v>91</v>
      </c>
      <c r="O385" s="6" t="s">
        <v>91</v>
      </c>
      <c r="P385" s="6" t="s">
        <v>252</v>
      </c>
      <c r="Q385" s="6" t="s">
        <v>253</v>
      </c>
      <c r="R385" s="6" t="s">
        <v>253</v>
      </c>
      <c r="S385" s="6" t="s">
        <v>7</v>
      </c>
      <c r="T385" s="6" t="s">
        <v>254</v>
      </c>
      <c r="U385" s="6" t="s">
        <v>132</v>
      </c>
      <c r="V385" s="6" t="s">
        <v>1519</v>
      </c>
      <c r="W385" s="6" t="s">
        <v>91</v>
      </c>
      <c r="X385" s="6" t="s">
        <v>1465</v>
      </c>
      <c r="Y385" s="6">
        <v>2145198044</v>
      </c>
      <c r="Z385" s="6" t="s">
        <v>39</v>
      </c>
      <c r="AA385" s="6" t="s">
        <v>91</v>
      </c>
      <c r="AB385" s="6">
        <v>2100.73</v>
      </c>
      <c r="AC385" s="6">
        <v>32.869999999999997</v>
      </c>
      <c r="AD385" s="6">
        <v>0</v>
      </c>
      <c r="AE385" s="6">
        <v>0</v>
      </c>
      <c r="AF385" s="6">
        <v>0</v>
      </c>
      <c r="AG385" s="6">
        <v>0</v>
      </c>
      <c r="AH385" s="6">
        <v>16.670000000000002</v>
      </c>
      <c r="AI385" s="6" t="s">
        <v>1507</v>
      </c>
      <c r="AJ385" s="6" t="s">
        <v>1508</v>
      </c>
      <c r="AK385" s="6" t="s">
        <v>39</v>
      </c>
      <c r="AL385" s="6" t="s">
        <v>57</v>
      </c>
      <c r="AM385" s="6" t="s">
        <v>1509</v>
      </c>
      <c r="AN385" s="6" t="s">
        <v>43</v>
      </c>
      <c r="AO385" s="6" t="s">
        <v>272</v>
      </c>
      <c r="AP385" s="6" t="s">
        <v>1510</v>
      </c>
      <c r="AQ385" s="6" t="s">
        <v>89</v>
      </c>
    </row>
    <row r="386" spans="1:43" x14ac:dyDescent="0.25">
      <c r="A386" s="6">
        <v>22910005</v>
      </c>
      <c r="B386" s="6">
        <v>23683224</v>
      </c>
      <c r="C386" s="6" t="s">
        <v>248</v>
      </c>
      <c r="D386" s="14">
        <v>45911.715624999997</v>
      </c>
      <c r="E386" s="14">
        <v>45911.717511574083</v>
      </c>
      <c r="F386" s="6" t="s">
        <v>17</v>
      </c>
      <c r="G386" s="6" t="s">
        <v>17</v>
      </c>
      <c r="H386" s="6" t="s">
        <v>1520</v>
      </c>
      <c r="I386" s="6" t="s">
        <v>1503</v>
      </c>
      <c r="J386" s="6" t="s">
        <v>1521</v>
      </c>
      <c r="K386" s="6" t="s">
        <v>1505</v>
      </c>
      <c r="L386" s="6" t="s">
        <v>1505</v>
      </c>
      <c r="M386" s="14">
        <v>45911.213194444441</v>
      </c>
      <c r="N386" s="6" t="s">
        <v>91</v>
      </c>
      <c r="O386" s="6" t="s">
        <v>91</v>
      </c>
      <c r="P386" s="6" t="s">
        <v>252</v>
      </c>
      <c r="Q386" s="6" t="s">
        <v>253</v>
      </c>
      <c r="R386" s="6" t="s">
        <v>253</v>
      </c>
      <c r="S386" s="6" t="s">
        <v>7</v>
      </c>
      <c r="T386" s="6" t="s">
        <v>254</v>
      </c>
      <c r="U386" s="6" t="s">
        <v>132</v>
      </c>
      <c r="V386" s="6" t="s">
        <v>1522</v>
      </c>
      <c r="W386" s="6" t="s">
        <v>91</v>
      </c>
      <c r="X386" s="6" t="s">
        <v>1465</v>
      </c>
      <c r="Y386" s="6">
        <v>2145225407</v>
      </c>
      <c r="Z386" s="6" t="s">
        <v>39</v>
      </c>
      <c r="AA386" s="6" t="s">
        <v>91</v>
      </c>
      <c r="AB386" s="6">
        <v>2966.21</v>
      </c>
      <c r="AC386" s="6">
        <v>99.82</v>
      </c>
      <c r="AD386" s="6">
        <v>0</v>
      </c>
      <c r="AE386" s="6">
        <v>0</v>
      </c>
      <c r="AF386" s="6">
        <v>0</v>
      </c>
      <c r="AG386" s="6">
        <v>0</v>
      </c>
      <c r="AH386" s="6">
        <v>156.11000000000001</v>
      </c>
      <c r="AI386" s="6" t="s">
        <v>1507</v>
      </c>
      <c r="AJ386" s="6" t="s">
        <v>1508</v>
      </c>
      <c r="AK386" s="6" t="s">
        <v>39</v>
      </c>
      <c r="AL386" s="6" t="s">
        <v>57</v>
      </c>
      <c r="AM386" s="6" t="s">
        <v>1509</v>
      </c>
      <c r="AN386" s="6" t="s">
        <v>43</v>
      </c>
      <c r="AO386" s="6" t="s">
        <v>272</v>
      </c>
      <c r="AP386" s="6" t="s">
        <v>1510</v>
      </c>
      <c r="AQ386" s="6" t="s">
        <v>89</v>
      </c>
    </row>
    <row r="387" spans="1:43" x14ac:dyDescent="0.25">
      <c r="A387" s="6">
        <v>22909453</v>
      </c>
      <c r="B387" s="6">
        <v>23682661</v>
      </c>
      <c r="C387" s="6" t="s">
        <v>248</v>
      </c>
      <c r="D387" s="14">
        <v>45911.645833333343</v>
      </c>
      <c r="E387" s="14">
        <v>45911.647488425922</v>
      </c>
      <c r="F387" s="6" t="s">
        <v>17</v>
      </c>
      <c r="G387" s="6" t="s">
        <v>17</v>
      </c>
      <c r="H387" s="6" t="s">
        <v>1523</v>
      </c>
      <c r="I387" s="6" t="s">
        <v>1503</v>
      </c>
      <c r="J387" s="6" t="s">
        <v>1524</v>
      </c>
      <c r="K387" s="6" t="s">
        <v>1505</v>
      </c>
      <c r="L387" s="6" t="s">
        <v>1505</v>
      </c>
      <c r="M387" s="14">
        <v>45911.120138888888</v>
      </c>
      <c r="N387" s="6" t="s">
        <v>91</v>
      </c>
      <c r="O387" s="6" t="s">
        <v>91</v>
      </c>
      <c r="P387" s="6" t="s">
        <v>252</v>
      </c>
      <c r="Q387" s="6" t="s">
        <v>253</v>
      </c>
      <c r="R387" s="6" t="s">
        <v>253</v>
      </c>
      <c r="S387" s="6" t="s">
        <v>7</v>
      </c>
      <c r="T387" s="6" t="s">
        <v>254</v>
      </c>
      <c r="U387" s="6" t="s">
        <v>132</v>
      </c>
      <c r="V387" s="6" t="s">
        <v>1525</v>
      </c>
      <c r="W387" s="6" t="s">
        <v>91</v>
      </c>
      <c r="X387" s="6" t="s">
        <v>1465</v>
      </c>
      <c r="Y387" s="6">
        <v>660876</v>
      </c>
      <c r="Z387" s="6" t="s">
        <v>39</v>
      </c>
      <c r="AA387" s="6" t="s">
        <v>91</v>
      </c>
      <c r="AB387" s="6">
        <v>637.14</v>
      </c>
      <c r="AC387" s="6">
        <v>47.02</v>
      </c>
      <c r="AD387" s="6">
        <v>0</v>
      </c>
      <c r="AE387" s="6">
        <v>0</v>
      </c>
      <c r="AF387" s="6">
        <v>0</v>
      </c>
      <c r="AG387" s="6">
        <v>0</v>
      </c>
      <c r="AH387" s="6">
        <v>229.37</v>
      </c>
      <c r="AI387" s="6" t="s">
        <v>1507</v>
      </c>
      <c r="AJ387" s="6" t="s">
        <v>1526</v>
      </c>
      <c r="AK387" s="6" t="s">
        <v>39</v>
      </c>
      <c r="AL387" s="6" t="s">
        <v>49</v>
      </c>
      <c r="AM387" s="6" t="s">
        <v>1501</v>
      </c>
      <c r="AN387" s="6" t="s">
        <v>26</v>
      </c>
      <c r="AO387" s="6" t="s">
        <v>272</v>
      </c>
      <c r="AP387" s="6" t="s">
        <v>1510</v>
      </c>
      <c r="AQ387" s="6" t="s">
        <v>89</v>
      </c>
    </row>
    <row r="388" spans="1:43" x14ac:dyDescent="0.25">
      <c r="A388" s="6">
        <v>22909453</v>
      </c>
      <c r="B388" s="6">
        <v>23682662</v>
      </c>
      <c r="C388" s="6" t="s">
        <v>637</v>
      </c>
      <c r="D388" s="14">
        <v>45911.645833333343</v>
      </c>
      <c r="E388" s="14">
        <v>45911.647488425922</v>
      </c>
      <c r="F388" s="6" t="s">
        <v>17</v>
      </c>
      <c r="G388" s="6" t="s">
        <v>17</v>
      </c>
      <c r="H388" s="6" t="s">
        <v>1523</v>
      </c>
      <c r="I388" s="6" t="s">
        <v>1503</v>
      </c>
      <c r="J388" s="6" t="s">
        <v>1527</v>
      </c>
      <c r="K388" s="6" t="s">
        <v>1505</v>
      </c>
      <c r="L388" s="6" t="s">
        <v>1505</v>
      </c>
      <c r="M388" s="14">
        <v>45911.120138888888</v>
      </c>
      <c r="N388" s="6" t="s">
        <v>91</v>
      </c>
      <c r="O388" s="6" t="s">
        <v>91</v>
      </c>
      <c r="P388" s="6" t="s">
        <v>252</v>
      </c>
      <c r="Q388" s="6" t="s">
        <v>253</v>
      </c>
      <c r="R388" s="6" t="s">
        <v>253</v>
      </c>
      <c r="S388" s="6" t="s">
        <v>7</v>
      </c>
      <c r="T388" s="6" t="s">
        <v>254</v>
      </c>
      <c r="U388" s="6" t="s">
        <v>132</v>
      </c>
      <c r="V388" s="6" t="s">
        <v>1525</v>
      </c>
      <c r="W388" s="6" t="s">
        <v>91</v>
      </c>
      <c r="X388" s="6" t="s">
        <v>1465</v>
      </c>
      <c r="Y388" s="6">
        <v>660876</v>
      </c>
      <c r="Z388" s="6" t="s">
        <v>39</v>
      </c>
      <c r="AA388" s="6" t="s">
        <v>91</v>
      </c>
      <c r="AB388" s="6">
        <v>637.14</v>
      </c>
      <c r="AC388" s="6">
        <v>47.02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1507</v>
      </c>
      <c r="AJ388" s="6" t="s">
        <v>1526</v>
      </c>
      <c r="AK388" s="6" t="s">
        <v>39</v>
      </c>
      <c r="AL388" s="6" t="s">
        <v>49</v>
      </c>
      <c r="AM388" s="6" t="s">
        <v>1501</v>
      </c>
      <c r="AN388" s="6" t="s">
        <v>26</v>
      </c>
      <c r="AO388" s="6" t="s">
        <v>272</v>
      </c>
      <c r="AP388" s="6" t="s">
        <v>1510</v>
      </c>
      <c r="AQ388" s="6" t="s">
        <v>89</v>
      </c>
    </row>
    <row r="389" spans="1:43" x14ac:dyDescent="0.25">
      <c r="A389" s="6">
        <v>22909453</v>
      </c>
      <c r="B389" s="6">
        <v>23682663</v>
      </c>
      <c r="C389" s="6" t="s">
        <v>638</v>
      </c>
      <c r="D389" s="14">
        <v>45911.645833333343</v>
      </c>
      <c r="E389" s="14">
        <v>45911.647488425922</v>
      </c>
      <c r="F389" s="6" t="s">
        <v>17</v>
      </c>
      <c r="G389" s="6" t="s">
        <v>17</v>
      </c>
      <c r="H389" s="6" t="s">
        <v>1523</v>
      </c>
      <c r="I389" s="6" t="s">
        <v>1503</v>
      </c>
      <c r="J389" s="6" t="s">
        <v>1528</v>
      </c>
      <c r="K389" s="6" t="s">
        <v>1505</v>
      </c>
      <c r="L389" s="6" t="s">
        <v>1505</v>
      </c>
      <c r="M389" s="14">
        <v>45911.120138888888</v>
      </c>
      <c r="N389" s="6" t="s">
        <v>91</v>
      </c>
      <c r="O389" s="6" t="s">
        <v>91</v>
      </c>
      <c r="P389" s="6" t="s">
        <v>252</v>
      </c>
      <c r="Q389" s="6" t="s">
        <v>253</v>
      </c>
      <c r="R389" s="6" t="s">
        <v>253</v>
      </c>
      <c r="S389" s="6" t="s">
        <v>7</v>
      </c>
      <c r="T389" s="6" t="s">
        <v>254</v>
      </c>
      <c r="U389" s="6" t="s">
        <v>132</v>
      </c>
      <c r="V389" s="6" t="s">
        <v>1525</v>
      </c>
      <c r="W389" s="6" t="s">
        <v>91</v>
      </c>
      <c r="X389" s="6" t="s">
        <v>1465</v>
      </c>
      <c r="Y389" s="6">
        <v>660876</v>
      </c>
      <c r="Z389" s="6" t="s">
        <v>39</v>
      </c>
      <c r="AA389" s="6" t="s">
        <v>91</v>
      </c>
      <c r="AB389" s="6">
        <v>637.14</v>
      </c>
      <c r="AC389" s="6">
        <v>47.02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1507</v>
      </c>
      <c r="AJ389" s="6" t="s">
        <v>1526</v>
      </c>
      <c r="AK389" s="6" t="s">
        <v>39</v>
      </c>
      <c r="AL389" s="6" t="s">
        <v>49</v>
      </c>
      <c r="AM389" s="6" t="s">
        <v>1501</v>
      </c>
      <c r="AN389" s="6" t="s">
        <v>26</v>
      </c>
      <c r="AO389" s="6" t="s">
        <v>272</v>
      </c>
      <c r="AP389" s="6" t="s">
        <v>1510</v>
      </c>
      <c r="AQ389" s="6" t="s">
        <v>89</v>
      </c>
    </row>
    <row r="390" spans="1:43" x14ac:dyDescent="0.25">
      <c r="A390" s="6">
        <v>22909453</v>
      </c>
      <c r="B390" s="6">
        <v>23682664</v>
      </c>
      <c r="C390" s="6" t="s">
        <v>639</v>
      </c>
      <c r="D390" s="14">
        <v>45911.645833333343</v>
      </c>
      <c r="E390" s="14">
        <v>45911.647488425922</v>
      </c>
      <c r="F390" s="6" t="s">
        <v>17</v>
      </c>
      <c r="G390" s="6" t="s">
        <v>17</v>
      </c>
      <c r="H390" s="6" t="s">
        <v>1523</v>
      </c>
      <c r="I390" s="6" t="s">
        <v>1503</v>
      </c>
      <c r="J390" s="6" t="s">
        <v>1529</v>
      </c>
      <c r="K390" s="6" t="s">
        <v>1505</v>
      </c>
      <c r="L390" s="6" t="s">
        <v>1505</v>
      </c>
      <c r="M390" s="14">
        <v>45911.120138888888</v>
      </c>
      <c r="N390" s="6" t="s">
        <v>91</v>
      </c>
      <c r="O390" s="6" t="s">
        <v>91</v>
      </c>
      <c r="P390" s="6" t="s">
        <v>252</v>
      </c>
      <c r="Q390" s="6" t="s">
        <v>253</v>
      </c>
      <c r="R390" s="6" t="s">
        <v>253</v>
      </c>
      <c r="S390" s="6" t="s">
        <v>7</v>
      </c>
      <c r="T390" s="6" t="s">
        <v>254</v>
      </c>
      <c r="U390" s="6" t="s">
        <v>132</v>
      </c>
      <c r="V390" s="6" t="s">
        <v>1525</v>
      </c>
      <c r="W390" s="6" t="s">
        <v>91</v>
      </c>
      <c r="X390" s="6" t="s">
        <v>1465</v>
      </c>
      <c r="Y390" s="6">
        <v>827692</v>
      </c>
      <c r="Z390" s="6" t="s">
        <v>39</v>
      </c>
      <c r="AA390" s="6" t="s">
        <v>91</v>
      </c>
      <c r="AB390" s="6">
        <v>637.14</v>
      </c>
      <c r="AC390" s="6">
        <v>47.02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 t="s">
        <v>1507</v>
      </c>
      <c r="AJ390" s="6" t="s">
        <v>1526</v>
      </c>
      <c r="AK390" s="6" t="s">
        <v>39</v>
      </c>
      <c r="AL390" s="6" t="s">
        <v>49</v>
      </c>
      <c r="AM390" s="6" t="s">
        <v>1501</v>
      </c>
      <c r="AN390" s="6" t="s">
        <v>26</v>
      </c>
      <c r="AO390" s="6" t="s">
        <v>272</v>
      </c>
      <c r="AP390" s="6" t="s">
        <v>1510</v>
      </c>
      <c r="AQ390" s="6" t="s">
        <v>89</v>
      </c>
    </row>
    <row r="391" spans="1:43" x14ac:dyDescent="0.25">
      <c r="A391" s="6">
        <v>22911675</v>
      </c>
      <c r="B391" s="6">
        <v>23684815</v>
      </c>
      <c r="C391" s="6" t="s">
        <v>248</v>
      </c>
      <c r="D391" s="14">
        <v>45911.837048611109</v>
      </c>
      <c r="E391" s="14">
        <v>45911.839432870373</v>
      </c>
      <c r="F391" s="6" t="s">
        <v>17</v>
      </c>
      <c r="G391" s="6" t="s">
        <v>17</v>
      </c>
      <c r="H391" s="6" t="s">
        <v>1530</v>
      </c>
      <c r="I391" s="6" t="s">
        <v>13</v>
      </c>
      <c r="J391" s="6" t="s">
        <v>1531</v>
      </c>
      <c r="K391" s="6" t="s">
        <v>1462</v>
      </c>
      <c r="L391" s="6" t="s">
        <v>1462</v>
      </c>
      <c r="M391" s="14">
        <v>45911.832638888889</v>
      </c>
      <c r="N391" s="6">
        <v>4596384</v>
      </c>
      <c r="O391" s="6" t="s">
        <v>91</v>
      </c>
      <c r="P391" s="6" t="s">
        <v>252</v>
      </c>
      <c r="Q391" s="6" t="s">
        <v>253</v>
      </c>
      <c r="R391" s="6" t="s">
        <v>253</v>
      </c>
      <c r="S391" s="6" t="s">
        <v>7</v>
      </c>
      <c r="T391" s="6" t="s">
        <v>254</v>
      </c>
      <c r="U391" s="6" t="s">
        <v>1532</v>
      </c>
      <c r="V391" s="6" t="s">
        <v>1533</v>
      </c>
      <c r="W391" s="6" t="s">
        <v>91</v>
      </c>
      <c r="X391" s="6" t="s">
        <v>1465</v>
      </c>
      <c r="Y391" s="6">
        <v>2145236777</v>
      </c>
      <c r="Z391" s="6" t="s">
        <v>1534</v>
      </c>
      <c r="AA391" s="6" t="s">
        <v>91</v>
      </c>
      <c r="AB391" s="6">
        <v>859.52</v>
      </c>
      <c r="AC391" s="6">
        <v>900</v>
      </c>
      <c r="AD391" s="6">
        <v>0</v>
      </c>
      <c r="AE391" s="6">
        <v>0</v>
      </c>
      <c r="AF391" s="6">
        <v>0</v>
      </c>
      <c r="AG391" s="6">
        <v>0</v>
      </c>
      <c r="AH391" s="6">
        <v>0</v>
      </c>
      <c r="AI391" s="6" t="s">
        <v>1535</v>
      </c>
      <c r="AJ391" s="6" t="s">
        <v>1483</v>
      </c>
      <c r="AK391" s="6" t="s">
        <v>13</v>
      </c>
      <c r="AL391" s="6" t="s">
        <v>55</v>
      </c>
      <c r="AM391" s="6" t="s">
        <v>1484</v>
      </c>
      <c r="AN391" s="6" t="s">
        <v>26</v>
      </c>
      <c r="AO391" s="6" t="s">
        <v>272</v>
      </c>
      <c r="AP391" s="6" t="s">
        <v>260</v>
      </c>
      <c r="AQ391" s="6" t="s">
        <v>24</v>
      </c>
    </row>
    <row r="392" spans="1:43" x14ac:dyDescent="0.25">
      <c r="A392" s="6">
        <v>22910679</v>
      </c>
      <c r="B392" s="6">
        <v>23683871</v>
      </c>
      <c r="C392" s="6" t="s">
        <v>248</v>
      </c>
      <c r="D392" s="14">
        <v>45911.772592592592</v>
      </c>
      <c r="E392" s="14">
        <v>45911.781956018523</v>
      </c>
      <c r="F392" s="6" t="s">
        <v>17</v>
      </c>
      <c r="G392" s="6" t="s">
        <v>17</v>
      </c>
      <c r="H392" s="6" t="s">
        <v>1536</v>
      </c>
      <c r="I392" s="6" t="s">
        <v>337</v>
      </c>
      <c r="J392" s="6" t="s">
        <v>1537</v>
      </c>
      <c r="K392" s="6" t="s">
        <v>1538</v>
      </c>
      <c r="L392" s="6" t="s">
        <v>1538</v>
      </c>
      <c r="M392" s="14">
        <v>45911.675694444442</v>
      </c>
      <c r="N392" s="6">
        <v>84936</v>
      </c>
      <c r="O392" s="6" t="s">
        <v>91</v>
      </c>
      <c r="P392" s="6" t="s">
        <v>252</v>
      </c>
      <c r="Q392" s="6" t="s">
        <v>268</v>
      </c>
      <c r="R392" s="6" t="s">
        <v>269</v>
      </c>
      <c r="S392" s="6" t="s">
        <v>7</v>
      </c>
      <c r="T392" s="6" t="s">
        <v>254</v>
      </c>
      <c r="U392" s="6" t="s">
        <v>166</v>
      </c>
      <c r="V392" s="6" t="s">
        <v>1539</v>
      </c>
      <c r="W392" s="6" t="s">
        <v>91</v>
      </c>
      <c r="X392" s="6" t="s">
        <v>1465</v>
      </c>
      <c r="Y392" s="6">
        <v>2145127676</v>
      </c>
      <c r="Z392" s="6" t="s">
        <v>101</v>
      </c>
      <c r="AA392" s="6" t="s">
        <v>91</v>
      </c>
      <c r="AB392" s="6">
        <v>0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 t="s">
        <v>1540</v>
      </c>
      <c r="AJ392" s="6" t="s">
        <v>1467</v>
      </c>
      <c r="AK392" s="6" t="s">
        <v>12</v>
      </c>
      <c r="AL392" s="6" t="s">
        <v>53</v>
      </c>
      <c r="AM392" s="6" t="s">
        <v>67</v>
      </c>
      <c r="AN392" s="6" t="s">
        <v>20</v>
      </c>
      <c r="AO392" s="6" t="s">
        <v>272</v>
      </c>
      <c r="AP392" s="6" t="s">
        <v>273</v>
      </c>
      <c r="AQ392" s="6" t="s">
        <v>90</v>
      </c>
    </row>
    <row r="393" spans="1:43" x14ac:dyDescent="0.25">
      <c r="A393" s="6">
        <v>22887870</v>
      </c>
      <c r="B393" s="6">
        <v>23663293</v>
      </c>
      <c r="C393" s="6" t="s">
        <v>248</v>
      </c>
      <c r="D393" s="14">
        <v>45908.439340277779</v>
      </c>
      <c r="E393" s="14">
        <v>45911.561192129629</v>
      </c>
      <c r="F393" s="6" t="s">
        <v>17</v>
      </c>
      <c r="G393" s="6" t="s">
        <v>19</v>
      </c>
      <c r="H393" s="6" t="s">
        <v>1541</v>
      </c>
      <c r="I393" s="6" t="s">
        <v>16</v>
      </c>
      <c r="J393" s="6" t="s">
        <v>1542</v>
      </c>
      <c r="K393" s="6" t="s">
        <v>369</v>
      </c>
      <c r="L393" s="6" t="s">
        <v>369</v>
      </c>
      <c r="M393" s="14">
        <v>45905.912499999999</v>
      </c>
      <c r="N393" s="6" t="s">
        <v>1541</v>
      </c>
      <c r="O393" s="6" t="s">
        <v>91</v>
      </c>
      <c r="P393" s="6" t="s">
        <v>276</v>
      </c>
      <c r="Q393" s="6" t="s">
        <v>253</v>
      </c>
      <c r="R393" s="6" t="s">
        <v>253</v>
      </c>
      <c r="S393" s="6" t="s">
        <v>7</v>
      </c>
      <c r="T393" s="6" t="s">
        <v>254</v>
      </c>
      <c r="U393" s="6" t="s">
        <v>182</v>
      </c>
      <c r="V393" s="6" t="s">
        <v>1543</v>
      </c>
      <c r="W393" s="6" t="s">
        <v>91</v>
      </c>
      <c r="X393" s="6" t="s">
        <v>1465</v>
      </c>
      <c r="Y393" s="6">
        <v>2144880653</v>
      </c>
      <c r="Z393" s="6" t="s">
        <v>54</v>
      </c>
      <c r="AA393" s="6" t="s">
        <v>91</v>
      </c>
      <c r="AB393" s="6">
        <v>932.64</v>
      </c>
      <c r="AC393" s="6">
        <v>65.37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 t="s">
        <v>288</v>
      </c>
      <c r="AJ393" s="6" t="s">
        <v>1544</v>
      </c>
      <c r="AK393" s="6" t="s">
        <v>16</v>
      </c>
      <c r="AL393" s="6" t="s">
        <v>53</v>
      </c>
      <c r="AM393" s="6" t="s">
        <v>67</v>
      </c>
      <c r="AN393" s="6" t="s">
        <v>20</v>
      </c>
      <c r="AO393" s="6" t="s">
        <v>272</v>
      </c>
      <c r="AP393" s="6" t="s">
        <v>273</v>
      </c>
      <c r="AQ393" s="6" t="s">
        <v>18</v>
      </c>
    </row>
    <row r="394" spans="1:43" x14ac:dyDescent="0.25">
      <c r="A394" s="6">
        <v>22910937</v>
      </c>
      <c r="B394" s="6">
        <v>23684114</v>
      </c>
      <c r="C394" s="6" t="s">
        <v>248</v>
      </c>
      <c r="D394" s="14">
        <v>45911.782766203702</v>
      </c>
      <c r="E394" s="14">
        <v>45911.800428240742</v>
      </c>
      <c r="F394" s="6" t="s">
        <v>17</v>
      </c>
      <c r="G394" s="6" t="s">
        <v>17</v>
      </c>
      <c r="H394" s="6" t="s">
        <v>1545</v>
      </c>
      <c r="I394" s="6" t="s">
        <v>337</v>
      </c>
      <c r="J394" s="6" t="s">
        <v>1546</v>
      </c>
      <c r="K394" s="6" t="s">
        <v>344</v>
      </c>
      <c r="L394" s="6" t="s">
        <v>344</v>
      </c>
      <c r="M394" s="14">
        <v>45911.713888888888</v>
      </c>
      <c r="N394" s="6">
        <v>44</v>
      </c>
      <c r="O394" s="6" t="s">
        <v>91</v>
      </c>
      <c r="P394" s="6" t="s">
        <v>252</v>
      </c>
      <c r="Q394" s="6" t="s">
        <v>268</v>
      </c>
      <c r="R394" s="6" t="s">
        <v>269</v>
      </c>
      <c r="S394" s="6" t="s">
        <v>7</v>
      </c>
      <c r="T394" s="6" t="s">
        <v>254</v>
      </c>
      <c r="U394" s="6" t="s">
        <v>186</v>
      </c>
      <c r="V394" s="6" t="s">
        <v>1547</v>
      </c>
      <c r="W394" s="6" t="s">
        <v>91</v>
      </c>
      <c r="X394" s="6" t="s">
        <v>1465</v>
      </c>
      <c r="Y394" s="6">
        <v>336592215</v>
      </c>
      <c r="Z394" s="6" t="s">
        <v>91</v>
      </c>
      <c r="AA394" s="6" t="s">
        <v>91</v>
      </c>
      <c r="AB394" s="6">
        <v>250</v>
      </c>
      <c r="AC394" s="6">
        <v>70</v>
      </c>
      <c r="AD394" s="6">
        <v>0</v>
      </c>
      <c r="AE394" s="6">
        <v>0</v>
      </c>
      <c r="AF394" s="6">
        <v>0</v>
      </c>
      <c r="AG394" s="6">
        <v>0</v>
      </c>
      <c r="AH394" s="6">
        <v>0</v>
      </c>
      <c r="AI394" s="6" t="s">
        <v>1548</v>
      </c>
      <c r="AJ394" s="6" t="s">
        <v>1549</v>
      </c>
      <c r="AK394" s="6" t="s">
        <v>12</v>
      </c>
      <c r="AL394" s="6" t="s">
        <v>53</v>
      </c>
      <c r="AM394" s="6" t="s">
        <v>67</v>
      </c>
      <c r="AN394" s="6" t="s">
        <v>20</v>
      </c>
      <c r="AO394" s="6" t="s">
        <v>272</v>
      </c>
      <c r="AP394" s="6" t="s">
        <v>273</v>
      </c>
      <c r="AQ394" s="6" t="s">
        <v>90</v>
      </c>
    </row>
    <row r="395" spans="1:43" x14ac:dyDescent="0.25">
      <c r="A395" s="6">
        <v>22857365</v>
      </c>
      <c r="B395" s="6">
        <v>23638099</v>
      </c>
      <c r="C395" s="6" t="s">
        <v>248</v>
      </c>
      <c r="D395" s="14">
        <v>45902.818252314813</v>
      </c>
      <c r="E395" s="14">
        <v>45902.932129629633</v>
      </c>
      <c r="F395" s="6" t="s">
        <v>23</v>
      </c>
      <c r="G395" s="6" t="s">
        <v>23</v>
      </c>
      <c r="H395" s="6" t="s">
        <v>1550</v>
      </c>
      <c r="I395" s="6" t="s">
        <v>337</v>
      </c>
      <c r="J395" s="6" t="s">
        <v>1551</v>
      </c>
      <c r="K395" s="6" t="s">
        <v>1462</v>
      </c>
      <c r="L395" s="6" t="s">
        <v>1462</v>
      </c>
      <c r="M395" s="14">
        <v>45902.730555555558</v>
      </c>
      <c r="N395" s="6">
        <v>11424</v>
      </c>
      <c r="O395" s="6" t="s">
        <v>91</v>
      </c>
      <c r="P395" s="6" t="s">
        <v>252</v>
      </c>
      <c r="Q395" s="6" t="s">
        <v>253</v>
      </c>
      <c r="R395" s="6" t="s">
        <v>1463</v>
      </c>
      <c r="S395" s="6" t="s">
        <v>7</v>
      </c>
      <c r="T395" s="6" t="s">
        <v>254</v>
      </c>
      <c r="U395" s="6" t="s">
        <v>125</v>
      </c>
      <c r="V395" s="6" t="s">
        <v>340</v>
      </c>
      <c r="W395" s="6" t="s">
        <v>91</v>
      </c>
      <c r="X395" s="6" t="s">
        <v>1465</v>
      </c>
      <c r="Y395" s="6">
        <v>2143885228</v>
      </c>
      <c r="Z395" s="6" t="s">
        <v>68</v>
      </c>
      <c r="AA395" s="6" t="s">
        <v>91</v>
      </c>
      <c r="AB395" s="6">
        <v>0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 t="s">
        <v>1552</v>
      </c>
      <c r="AJ395" s="6" t="s">
        <v>1478</v>
      </c>
      <c r="AK395" s="6" t="s">
        <v>12</v>
      </c>
      <c r="AL395" s="6" t="s">
        <v>75</v>
      </c>
      <c r="AM395" s="6" t="s">
        <v>67</v>
      </c>
      <c r="AN395" s="6" t="s">
        <v>20</v>
      </c>
      <c r="AO395" s="6" t="s">
        <v>272</v>
      </c>
      <c r="AP395" s="6" t="s">
        <v>260</v>
      </c>
      <c r="AQ395" s="6" t="s">
        <v>24</v>
      </c>
    </row>
    <row r="396" spans="1:43" x14ac:dyDescent="0.25">
      <c r="A396" s="6">
        <v>22909711</v>
      </c>
      <c r="B396" s="6">
        <v>23682948</v>
      </c>
      <c r="C396" s="6" t="s">
        <v>248</v>
      </c>
      <c r="D396" s="14">
        <v>45911.678078703713</v>
      </c>
      <c r="E396" s="14">
        <v>45911.712627314817</v>
      </c>
      <c r="F396" s="6" t="s">
        <v>17</v>
      </c>
      <c r="G396" s="6" t="s">
        <v>17</v>
      </c>
      <c r="H396" s="6" t="s">
        <v>1553</v>
      </c>
      <c r="I396" s="6" t="s">
        <v>16</v>
      </c>
      <c r="J396" s="6" t="s">
        <v>1554</v>
      </c>
      <c r="K396" s="6" t="s">
        <v>495</v>
      </c>
      <c r="L396" s="6" t="s">
        <v>495</v>
      </c>
      <c r="M396" s="14">
        <v>45910.318055555559</v>
      </c>
      <c r="N396" s="6" t="s">
        <v>1553</v>
      </c>
      <c r="O396" s="6" t="s">
        <v>91</v>
      </c>
      <c r="P396" s="6" t="s">
        <v>252</v>
      </c>
      <c r="Q396" s="6" t="s">
        <v>253</v>
      </c>
      <c r="R396" s="6" t="s">
        <v>1463</v>
      </c>
      <c r="S396" s="6" t="s">
        <v>7</v>
      </c>
      <c r="T396" s="6" t="s">
        <v>254</v>
      </c>
      <c r="U396" s="6" t="s">
        <v>119</v>
      </c>
      <c r="V396" s="6" t="s">
        <v>1555</v>
      </c>
      <c r="W396" s="6" t="s">
        <v>391</v>
      </c>
      <c r="X396" s="6" t="s">
        <v>1465</v>
      </c>
      <c r="Y396" s="6">
        <v>7700077064</v>
      </c>
      <c r="Z396" s="6" t="s">
        <v>60</v>
      </c>
      <c r="AA396" s="6" t="s">
        <v>91</v>
      </c>
      <c r="AB396" s="6">
        <v>0</v>
      </c>
      <c r="AC396" s="6">
        <v>0</v>
      </c>
      <c r="AD396" s="6">
        <v>0</v>
      </c>
      <c r="AE396" s="6">
        <v>0</v>
      </c>
      <c r="AF396" s="6">
        <v>0</v>
      </c>
      <c r="AG396" s="6">
        <v>0</v>
      </c>
      <c r="AH396" s="6">
        <v>0</v>
      </c>
      <c r="AI396" s="6" t="s">
        <v>288</v>
      </c>
      <c r="AJ396" s="6" t="s">
        <v>1467</v>
      </c>
      <c r="AK396" s="6" t="s">
        <v>16</v>
      </c>
      <c r="AL396" s="6" t="s">
        <v>53</v>
      </c>
      <c r="AM396" s="6" t="s">
        <v>67</v>
      </c>
      <c r="AN396" s="6" t="s">
        <v>20</v>
      </c>
      <c r="AO396" s="6" t="s">
        <v>272</v>
      </c>
      <c r="AP396" s="6" t="s">
        <v>273</v>
      </c>
      <c r="AQ396" s="6" t="s">
        <v>18</v>
      </c>
    </row>
    <row r="397" spans="1:43" x14ac:dyDescent="0.25">
      <c r="A397" s="6">
        <v>22909716</v>
      </c>
      <c r="B397" s="6">
        <v>23682954</v>
      </c>
      <c r="C397" s="6" t="s">
        <v>248</v>
      </c>
      <c r="D397" s="14">
        <v>45911.678124999999</v>
      </c>
      <c r="E397" s="14">
        <v>45911.712638888886</v>
      </c>
      <c r="F397" s="6" t="s">
        <v>17</v>
      </c>
      <c r="G397" s="6" t="s">
        <v>17</v>
      </c>
      <c r="H397" s="6" t="s">
        <v>1556</v>
      </c>
      <c r="I397" s="6" t="s">
        <v>16</v>
      </c>
      <c r="J397" s="6" t="s">
        <v>1557</v>
      </c>
      <c r="K397" s="6" t="s">
        <v>495</v>
      </c>
      <c r="L397" s="6" t="s">
        <v>495</v>
      </c>
      <c r="M397" s="14">
        <v>45910.319444444453</v>
      </c>
      <c r="N397" s="6" t="s">
        <v>1556</v>
      </c>
      <c r="O397" s="6" t="s">
        <v>91</v>
      </c>
      <c r="P397" s="6" t="s">
        <v>252</v>
      </c>
      <c r="Q397" s="6" t="s">
        <v>253</v>
      </c>
      <c r="R397" s="6" t="s">
        <v>1463</v>
      </c>
      <c r="S397" s="6" t="s">
        <v>7</v>
      </c>
      <c r="T397" s="6" t="s">
        <v>254</v>
      </c>
      <c r="U397" s="6" t="s">
        <v>119</v>
      </c>
      <c r="V397" s="6" t="s">
        <v>1555</v>
      </c>
      <c r="W397" s="6" t="s">
        <v>391</v>
      </c>
      <c r="X397" s="6" t="s">
        <v>1465</v>
      </c>
      <c r="Y397" s="6">
        <v>7700077065</v>
      </c>
      <c r="Z397" s="6" t="s">
        <v>60</v>
      </c>
      <c r="AA397" s="6" t="s">
        <v>91</v>
      </c>
      <c r="AB397" s="6">
        <v>0</v>
      </c>
      <c r="AC397" s="6">
        <v>0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 t="s">
        <v>288</v>
      </c>
      <c r="AJ397" s="6" t="s">
        <v>1467</v>
      </c>
      <c r="AK397" s="6" t="s">
        <v>16</v>
      </c>
      <c r="AL397" s="6" t="s">
        <v>53</v>
      </c>
      <c r="AM397" s="6" t="s">
        <v>67</v>
      </c>
      <c r="AN397" s="6" t="s">
        <v>20</v>
      </c>
      <c r="AO397" s="6" t="s">
        <v>272</v>
      </c>
      <c r="AP397" s="6" t="s">
        <v>273</v>
      </c>
      <c r="AQ397" s="6" t="s">
        <v>18</v>
      </c>
    </row>
    <row r="398" spans="1:43" x14ac:dyDescent="0.25">
      <c r="A398" s="6">
        <v>22909717</v>
      </c>
      <c r="B398" s="6">
        <v>23682955</v>
      </c>
      <c r="C398" s="6" t="s">
        <v>248</v>
      </c>
      <c r="D398" s="14">
        <v>45911.678182870368</v>
      </c>
      <c r="E398" s="14">
        <v>45911.712650462963</v>
      </c>
      <c r="F398" s="6" t="s">
        <v>17</v>
      </c>
      <c r="G398" s="6" t="s">
        <v>17</v>
      </c>
      <c r="H398" s="6" t="s">
        <v>1558</v>
      </c>
      <c r="I398" s="6" t="s">
        <v>16</v>
      </c>
      <c r="J398" s="6" t="s">
        <v>1559</v>
      </c>
      <c r="K398" s="6" t="s">
        <v>495</v>
      </c>
      <c r="L398" s="6" t="s">
        <v>495</v>
      </c>
      <c r="M398" s="14">
        <v>45910.320138888892</v>
      </c>
      <c r="N398" s="6" t="s">
        <v>1558</v>
      </c>
      <c r="O398" s="6" t="s">
        <v>91</v>
      </c>
      <c r="P398" s="6" t="s">
        <v>252</v>
      </c>
      <c r="Q398" s="6" t="s">
        <v>253</v>
      </c>
      <c r="R398" s="6" t="s">
        <v>1463</v>
      </c>
      <c r="S398" s="6" t="s">
        <v>7</v>
      </c>
      <c r="T398" s="6" t="s">
        <v>254</v>
      </c>
      <c r="U398" s="6" t="s">
        <v>119</v>
      </c>
      <c r="V398" s="6" t="s">
        <v>1555</v>
      </c>
      <c r="W398" s="6" t="s">
        <v>391</v>
      </c>
      <c r="X398" s="6" t="s">
        <v>1465</v>
      </c>
      <c r="Y398" s="6">
        <v>7700077066</v>
      </c>
      <c r="Z398" s="6" t="s">
        <v>60</v>
      </c>
      <c r="AA398" s="6" t="s">
        <v>91</v>
      </c>
      <c r="AB398" s="6">
        <v>0</v>
      </c>
      <c r="AC398" s="6">
        <v>0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 t="s">
        <v>288</v>
      </c>
      <c r="AJ398" s="6" t="s">
        <v>1467</v>
      </c>
      <c r="AK398" s="6" t="s">
        <v>16</v>
      </c>
      <c r="AL398" s="6" t="s">
        <v>53</v>
      </c>
      <c r="AM398" s="6" t="s">
        <v>67</v>
      </c>
      <c r="AN398" s="6" t="s">
        <v>20</v>
      </c>
      <c r="AO398" s="6" t="s">
        <v>272</v>
      </c>
      <c r="AP398" s="6" t="s">
        <v>273</v>
      </c>
      <c r="AQ398" s="6" t="s">
        <v>18</v>
      </c>
    </row>
    <row r="399" spans="1:43" x14ac:dyDescent="0.25">
      <c r="A399" s="6">
        <v>22909719</v>
      </c>
      <c r="B399" s="6">
        <v>23682957</v>
      </c>
      <c r="C399" s="6" t="s">
        <v>248</v>
      </c>
      <c r="D399" s="14">
        <v>45911.678240740737</v>
      </c>
      <c r="E399" s="14">
        <v>45911.71266203704</v>
      </c>
      <c r="F399" s="6" t="s">
        <v>17</v>
      </c>
      <c r="G399" s="6" t="s">
        <v>17</v>
      </c>
      <c r="H399" s="6" t="s">
        <v>1560</v>
      </c>
      <c r="I399" s="6" t="s">
        <v>16</v>
      </c>
      <c r="J399" s="6" t="s">
        <v>1561</v>
      </c>
      <c r="K399" s="6" t="s">
        <v>495</v>
      </c>
      <c r="L399" s="6" t="s">
        <v>495</v>
      </c>
      <c r="M399" s="14">
        <v>45910.317361111112</v>
      </c>
      <c r="N399" s="6" t="s">
        <v>1560</v>
      </c>
      <c r="O399" s="6" t="s">
        <v>91</v>
      </c>
      <c r="P399" s="6" t="s">
        <v>252</v>
      </c>
      <c r="Q399" s="6" t="s">
        <v>253</v>
      </c>
      <c r="R399" s="6" t="s">
        <v>1463</v>
      </c>
      <c r="S399" s="6" t="s">
        <v>7</v>
      </c>
      <c r="T399" s="6" t="s">
        <v>254</v>
      </c>
      <c r="U399" s="6" t="s">
        <v>119</v>
      </c>
      <c r="V399" s="6" t="s">
        <v>1555</v>
      </c>
      <c r="W399" s="6" t="s">
        <v>391</v>
      </c>
      <c r="X399" s="6" t="s">
        <v>1465</v>
      </c>
      <c r="Y399" s="6">
        <v>7700077067</v>
      </c>
      <c r="Z399" s="6" t="s">
        <v>60</v>
      </c>
      <c r="AA399" s="6" t="s">
        <v>91</v>
      </c>
      <c r="AB399" s="6">
        <v>0</v>
      </c>
      <c r="AC399" s="6">
        <v>0</v>
      </c>
      <c r="AD399" s="6">
        <v>0</v>
      </c>
      <c r="AE399" s="6">
        <v>0</v>
      </c>
      <c r="AF399" s="6">
        <v>0</v>
      </c>
      <c r="AG399" s="6">
        <v>0</v>
      </c>
      <c r="AH399" s="6">
        <v>0</v>
      </c>
      <c r="AI399" s="6" t="s">
        <v>288</v>
      </c>
      <c r="AJ399" s="6" t="s">
        <v>1467</v>
      </c>
      <c r="AK399" s="6" t="s">
        <v>16</v>
      </c>
      <c r="AL399" s="6" t="s">
        <v>53</v>
      </c>
      <c r="AM399" s="6" t="s">
        <v>67</v>
      </c>
      <c r="AN399" s="6" t="s">
        <v>20</v>
      </c>
      <c r="AO399" s="6" t="s">
        <v>272</v>
      </c>
      <c r="AP399" s="6" t="s">
        <v>273</v>
      </c>
      <c r="AQ399" s="6" t="s">
        <v>18</v>
      </c>
    </row>
    <row r="400" spans="1:43" x14ac:dyDescent="0.25">
      <c r="A400" s="6">
        <v>22877781</v>
      </c>
      <c r="B400" s="6">
        <v>23656348</v>
      </c>
      <c r="C400" s="6" t="s">
        <v>248</v>
      </c>
      <c r="D400" s="14">
        <v>45905.795312499999</v>
      </c>
      <c r="E400" s="14">
        <v>45911.561168981483</v>
      </c>
      <c r="F400" s="6" t="s">
        <v>17</v>
      </c>
      <c r="G400" s="6" t="s">
        <v>21</v>
      </c>
      <c r="H400" s="6" t="s">
        <v>1562</v>
      </c>
      <c r="I400" s="6" t="s">
        <v>16</v>
      </c>
      <c r="J400" s="6" t="s">
        <v>1563</v>
      </c>
      <c r="K400" s="6" t="s">
        <v>495</v>
      </c>
      <c r="L400" s="6" t="s">
        <v>495</v>
      </c>
      <c r="M400" s="14">
        <v>45905.352777777778</v>
      </c>
      <c r="N400" s="6" t="s">
        <v>1562</v>
      </c>
      <c r="O400" s="6" t="s">
        <v>91</v>
      </c>
      <c r="P400" s="6" t="s">
        <v>276</v>
      </c>
      <c r="Q400" s="6" t="s">
        <v>253</v>
      </c>
      <c r="R400" s="6" t="s">
        <v>1463</v>
      </c>
      <c r="S400" s="6" t="s">
        <v>7</v>
      </c>
      <c r="T400" s="6" t="s">
        <v>254</v>
      </c>
      <c r="U400" s="6" t="s">
        <v>119</v>
      </c>
      <c r="V400" s="6" t="s">
        <v>1564</v>
      </c>
      <c r="W400" s="6" t="s">
        <v>391</v>
      </c>
      <c r="X400" s="6" t="s">
        <v>1465</v>
      </c>
      <c r="Y400" s="6">
        <v>7700076804</v>
      </c>
      <c r="Z400" s="6" t="s">
        <v>60</v>
      </c>
      <c r="AA400" s="6" t="s">
        <v>91</v>
      </c>
      <c r="AB400" s="6">
        <v>0</v>
      </c>
      <c r="AC400" s="6">
        <v>30.32</v>
      </c>
      <c r="AD400" s="6">
        <v>0</v>
      </c>
      <c r="AE400" s="6">
        <v>0</v>
      </c>
      <c r="AF400" s="6">
        <v>0</v>
      </c>
      <c r="AG400" s="6">
        <v>0</v>
      </c>
      <c r="AH400" s="6">
        <v>19.11</v>
      </c>
      <c r="AI400" s="6" t="s">
        <v>288</v>
      </c>
      <c r="AJ400" s="6" t="s">
        <v>1565</v>
      </c>
      <c r="AK400" s="6" t="s">
        <v>16</v>
      </c>
      <c r="AL400" s="6" t="s">
        <v>71</v>
      </c>
      <c r="AM400" s="6" t="s">
        <v>67</v>
      </c>
      <c r="AN400" s="6" t="s">
        <v>20</v>
      </c>
      <c r="AO400" s="6" t="s">
        <v>272</v>
      </c>
      <c r="AP400" s="6" t="s">
        <v>273</v>
      </c>
      <c r="AQ400" s="6" t="s">
        <v>18</v>
      </c>
    </row>
    <row r="401" spans="1:43" x14ac:dyDescent="0.25">
      <c r="A401" s="6">
        <v>22861685</v>
      </c>
      <c r="B401" s="6">
        <v>23641631</v>
      </c>
      <c r="C401" s="6" t="s">
        <v>248</v>
      </c>
      <c r="D401" s="14">
        <v>45903.610254629632</v>
      </c>
      <c r="E401" s="14">
        <v>45903.611747685187</v>
      </c>
      <c r="F401" s="6" t="s">
        <v>23</v>
      </c>
      <c r="G401" s="6" t="s">
        <v>23</v>
      </c>
      <c r="H401" s="6" t="s">
        <v>1566</v>
      </c>
      <c r="I401" s="6" t="s">
        <v>1503</v>
      </c>
      <c r="J401" s="6" t="s">
        <v>1567</v>
      </c>
      <c r="K401" s="6" t="s">
        <v>1505</v>
      </c>
      <c r="L401" s="6" t="s">
        <v>1505</v>
      </c>
      <c r="M401" s="14">
        <v>45903.517361111109</v>
      </c>
      <c r="N401" s="6" t="s">
        <v>91</v>
      </c>
      <c r="O401" s="6" t="s">
        <v>91</v>
      </c>
      <c r="P401" s="6" t="s">
        <v>252</v>
      </c>
      <c r="Q401" s="6" t="s">
        <v>253</v>
      </c>
      <c r="R401" s="6" t="s">
        <v>253</v>
      </c>
      <c r="S401" s="6" t="s">
        <v>7</v>
      </c>
      <c r="T401" s="6" t="s">
        <v>254</v>
      </c>
      <c r="U401" s="6" t="s">
        <v>167</v>
      </c>
      <c r="V401" s="6" t="s">
        <v>1568</v>
      </c>
      <c r="W401" s="6" t="s">
        <v>91</v>
      </c>
      <c r="X401" s="6" t="s">
        <v>1465</v>
      </c>
      <c r="Y401" s="6">
        <v>2144712008</v>
      </c>
      <c r="Z401" s="6" t="s">
        <v>39</v>
      </c>
      <c r="AA401" s="6" t="s">
        <v>91</v>
      </c>
      <c r="AB401" s="6">
        <v>1483.11</v>
      </c>
      <c r="AC401" s="6">
        <v>44.27</v>
      </c>
      <c r="AD401" s="6">
        <v>0</v>
      </c>
      <c r="AE401" s="6">
        <v>0</v>
      </c>
      <c r="AF401" s="6">
        <v>0</v>
      </c>
      <c r="AG401" s="6">
        <v>0</v>
      </c>
      <c r="AH401" s="6">
        <v>0</v>
      </c>
      <c r="AI401" s="6" t="s">
        <v>1507</v>
      </c>
      <c r="AJ401" s="6" t="s">
        <v>1516</v>
      </c>
      <c r="AK401" s="6" t="s">
        <v>39</v>
      </c>
      <c r="AL401" s="6" t="s">
        <v>59</v>
      </c>
      <c r="AM401" s="6" t="s">
        <v>67</v>
      </c>
      <c r="AN401" s="6" t="s">
        <v>20</v>
      </c>
      <c r="AO401" s="6" t="s">
        <v>272</v>
      </c>
      <c r="AP401" s="6" t="s">
        <v>1510</v>
      </c>
      <c r="AQ401" s="6" t="s">
        <v>89</v>
      </c>
    </row>
    <row r="402" spans="1:43" x14ac:dyDescent="0.25">
      <c r="A402" s="6">
        <v>22861689</v>
      </c>
      <c r="B402" s="6">
        <v>23641636</v>
      </c>
      <c r="C402" s="6" t="s">
        <v>248</v>
      </c>
      <c r="D402" s="14">
        <v>45903.611608796287</v>
      </c>
      <c r="E402" s="14">
        <v>45903.613738425927</v>
      </c>
      <c r="F402" s="6" t="s">
        <v>23</v>
      </c>
      <c r="G402" s="6" t="s">
        <v>23</v>
      </c>
      <c r="H402" s="6" t="s">
        <v>1569</v>
      </c>
      <c r="I402" s="6" t="s">
        <v>1503</v>
      </c>
      <c r="J402" s="6" t="s">
        <v>1570</v>
      </c>
      <c r="K402" s="6" t="s">
        <v>1505</v>
      </c>
      <c r="L402" s="6" t="s">
        <v>1505</v>
      </c>
      <c r="M402" s="14">
        <v>45903.515277777777</v>
      </c>
      <c r="N402" s="6" t="s">
        <v>91</v>
      </c>
      <c r="O402" s="6" t="s">
        <v>91</v>
      </c>
      <c r="P402" s="6" t="s">
        <v>252</v>
      </c>
      <c r="Q402" s="6" t="s">
        <v>253</v>
      </c>
      <c r="R402" s="6" t="s">
        <v>253</v>
      </c>
      <c r="S402" s="6" t="s">
        <v>7</v>
      </c>
      <c r="T402" s="6" t="s">
        <v>254</v>
      </c>
      <c r="U402" s="6" t="s">
        <v>167</v>
      </c>
      <c r="V402" s="6" t="s">
        <v>1568</v>
      </c>
      <c r="W402" s="6" t="s">
        <v>91</v>
      </c>
      <c r="X402" s="6" t="s">
        <v>1465</v>
      </c>
      <c r="Y402" s="6">
        <v>2144711372</v>
      </c>
      <c r="Z402" s="6" t="s">
        <v>39</v>
      </c>
      <c r="AA402" s="6" t="s">
        <v>91</v>
      </c>
      <c r="AB402" s="6">
        <v>954.81</v>
      </c>
      <c r="AC402" s="6">
        <v>44.27</v>
      </c>
      <c r="AD402" s="6">
        <v>0</v>
      </c>
      <c r="AE402" s="6">
        <v>0</v>
      </c>
      <c r="AF402" s="6">
        <v>0</v>
      </c>
      <c r="AG402" s="6">
        <v>0</v>
      </c>
      <c r="AH402" s="6">
        <v>0</v>
      </c>
      <c r="AI402" s="6" t="s">
        <v>1507</v>
      </c>
      <c r="AJ402" s="6" t="s">
        <v>1516</v>
      </c>
      <c r="AK402" s="6" t="s">
        <v>39</v>
      </c>
      <c r="AL402" s="6" t="s">
        <v>59</v>
      </c>
      <c r="AM402" s="6" t="s">
        <v>67</v>
      </c>
      <c r="AN402" s="6" t="s">
        <v>20</v>
      </c>
      <c r="AO402" s="6" t="s">
        <v>272</v>
      </c>
      <c r="AP402" s="6" t="s">
        <v>1510</v>
      </c>
      <c r="AQ402" s="6" t="s">
        <v>89</v>
      </c>
    </row>
    <row r="403" spans="1:43" x14ac:dyDescent="0.25">
      <c r="A403" s="6">
        <v>22862473</v>
      </c>
      <c r="B403" s="6">
        <v>23642350</v>
      </c>
      <c r="C403" s="6" t="s">
        <v>248</v>
      </c>
      <c r="D403" s="14">
        <v>45903.727048611108</v>
      </c>
      <c r="E403" s="14">
        <v>45903.727731481478</v>
      </c>
      <c r="F403" s="6" t="s">
        <v>23</v>
      </c>
      <c r="G403" s="6" t="s">
        <v>23</v>
      </c>
      <c r="H403" s="6" t="s">
        <v>1571</v>
      </c>
      <c r="I403" s="6" t="s">
        <v>1503</v>
      </c>
      <c r="J403" s="6" t="s">
        <v>1572</v>
      </c>
      <c r="K403" s="6" t="s">
        <v>1505</v>
      </c>
      <c r="L403" s="6" t="s">
        <v>1505</v>
      </c>
      <c r="M403" s="14">
        <v>45903.209027777782</v>
      </c>
      <c r="N403" s="6" t="s">
        <v>91</v>
      </c>
      <c r="O403" s="6" t="s">
        <v>91</v>
      </c>
      <c r="P403" s="6" t="s">
        <v>252</v>
      </c>
      <c r="Q403" s="6" t="s">
        <v>253</v>
      </c>
      <c r="R403" s="6" t="s">
        <v>253</v>
      </c>
      <c r="S403" s="6" t="s">
        <v>7</v>
      </c>
      <c r="T403" s="6" t="s">
        <v>254</v>
      </c>
      <c r="U403" s="6" t="s">
        <v>167</v>
      </c>
      <c r="V403" s="6" t="s">
        <v>1568</v>
      </c>
      <c r="W403" s="6" t="s">
        <v>91</v>
      </c>
      <c r="X403" s="6" t="s">
        <v>1465</v>
      </c>
      <c r="Y403" s="6">
        <v>2144726580</v>
      </c>
      <c r="Z403" s="6" t="s">
        <v>39</v>
      </c>
      <c r="AA403" s="6" t="s">
        <v>91</v>
      </c>
      <c r="AB403" s="6">
        <v>539.01</v>
      </c>
      <c r="AC403" s="6">
        <v>60.62</v>
      </c>
      <c r="AD403" s="6">
        <v>0</v>
      </c>
      <c r="AE403" s="6">
        <v>0</v>
      </c>
      <c r="AF403" s="6">
        <v>0</v>
      </c>
      <c r="AG403" s="6">
        <v>0</v>
      </c>
      <c r="AH403" s="6">
        <v>0</v>
      </c>
      <c r="AI403" s="6" t="s">
        <v>1507</v>
      </c>
      <c r="AJ403" s="6" t="s">
        <v>1573</v>
      </c>
      <c r="AK403" s="6" t="s">
        <v>39</v>
      </c>
      <c r="AL403" s="6" t="s">
        <v>59</v>
      </c>
      <c r="AM403" s="6" t="s">
        <v>67</v>
      </c>
      <c r="AN403" s="6" t="s">
        <v>20</v>
      </c>
      <c r="AO403" s="6" t="s">
        <v>272</v>
      </c>
      <c r="AP403" s="6" t="s">
        <v>1510</v>
      </c>
      <c r="AQ403" s="6" t="s">
        <v>89</v>
      </c>
    </row>
    <row r="404" spans="1:43" x14ac:dyDescent="0.25">
      <c r="A404" s="6">
        <v>22862473</v>
      </c>
      <c r="B404" s="6">
        <v>23642351</v>
      </c>
      <c r="C404" s="6" t="s">
        <v>637</v>
      </c>
      <c r="D404" s="14">
        <v>45903.727048611108</v>
      </c>
      <c r="E404" s="14">
        <v>45903.727731481478</v>
      </c>
      <c r="F404" s="6" t="s">
        <v>23</v>
      </c>
      <c r="G404" s="6" t="s">
        <v>23</v>
      </c>
      <c r="H404" s="6" t="s">
        <v>1571</v>
      </c>
      <c r="I404" s="6" t="s">
        <v>1503</v>
      </c>
      <c r="J404" s="6" t="s">
        <v>1574</v>
      </c>
      <c r="K404" s="6" t="s">
        <v>1505</v>
      </c>
      <c r="L404" s="6" t="s">
        <v>1505</v>
      </c>
      <c r="M404" s="14">
        <v>45903.209027777782</v>
      </c>
      <c r="N404" s="6" t="s">
        <v>91</v>
      </c>
      <c r="O404" s="6" t="s">
        <v>91</v>
      </c>
      <c r="P404" s="6" t="s">
        <v>252</v>
      </c>
      <c r="Q404" s="6" t="s">
        <v>253</v>
      </c>
      <c r="R404" s="6" t="s">
        <v>253</v>
      </c>
      <c r="S404" s="6" t="s">
        <v>7</v>
      </c>
      <c r="T404" s="6" t="s">
        <v>254</v>
      </c>
      <c r="U404" s="6" t="s">
        <v>167</v>
      </c>
      <c r="V404" s="6" t="s">
        <v>1568</v>
      </c>
      <c r="W404" s="6" t="s">
        <v>91</v>
      </c>
      <c r="X404" s="6" t="s">
        <v>1465</v>
      </c>
      <c r="Y404" s="6">
        <v>2144726581</v>
      </c>
      <c r="Z404" s="6" t="s">
        <v>39</v>
      </c>
      <c r="AA404" s="6" t="s">
        <v>91</v>
      </c>
      <c r="AB404" s="6">
        <v>539.01</v>
      </c>
      <c r="AC404" s="6">
        <v>60.62</v>
      </c>
      <c r="AD404" s="6">
        <v>0</v>
      </c>
      <c r="AE404" s="6">
        <v>0</v>
      </c>
      <c r="AF404" s="6">
        <v>0</v>
      </c>
      <c r="AG404" s="6">
        <v>0</v>
      </c>
      <c r="AH404" s="6">
        <v>0</v>
      </c>
      <c r="AI404" s="6" t="s">
        <v>1507</v>
      </c>
      <c r="AJ404" s="6" t="s">
        <v>1573</v>
      </c>
      <c r="AK404" s="6" t="s">
        <v>39</v>
      </c>
      <c r="AL404" s="6" t="s">
        <v>59</v>
      </c>
      <c r="AM404" s="6" t="s">
        <v>67</v>
      </c>
      <c r="AN404" s="6" t="s">
        <v>20</v>
      </c>
      <c r="AO404" s="6" t="s">
        <v>272</v>
      </c>
      <c r="AP404" s="6" t="s">
        <v>1510</v>
      </c>
      <c r="AQ404" s="6" t="s">
        <v>89</v>
      </c>
    </row>
    <row r="405" spans="1:43" x14ac:dyDescent="0.25">
      <c r="A405" s="6">
        <v>22894843</v>
      </c>
      <c r="B405" s="6">
        <v>23669825</v>
      </c>
      <c r="C405" s="6" t="s">
        <v>248</v>
      </c>
      <c r="D405" s="14">
        <v>45909.480150462958</v>
      </c>
      <c r="E405" s="14">
        <v>45909.483888888892</v>
      </c>
      <c r="F405" s="6" t="s">
        <v>19</v>
      </c>
      <c r="G405" s="6" t="s">
        <v>19</v>
      </c>
      <c r="H405" s="6" t="s">
        <v>1575</v>
      </c>
      <c r="I405" s="6" t="s">
        <v>15</v>
      </c>
      <c r="J405" s="6" t="s">
        <v>1576</v>
      </c>
      <c r="K405" s="6" t="s">
        <v>344</v>
      </c>
      <c r="L405" s="6" t="s">
        <v>1577</v>
      </c>
      <c r="M405" s="14">
        <v>45909.479861111111</v>
      </c>
      <c r="N405" s="6">
        <v>126244</v>
      </c>
      <c r="O405" s="6" t="s">
        <v>91</v>
      </c>
      <c r="P405" s="6" t="s">
        <v>252</v>
      </c>
      <c r="Q405" s="6" t="s">
        <v>268</v>
      </c>
      <c r="R405" s="6" t="s">
        <v>269</v>
      </c>
      <c r="S405" s="6" t="s">
        <v>7</v>
      </c>
      <c r="T405" s="6" t="s">
        <v>254</v>
      </c>
      <c r="U405" s="6" t="s">
        <v>192</v>
      </c>
      <c r="V405" s="6" t="s">
        <v>1578</v>
      </c>
      <c r="W405" s="6" t="s">
        <v>91</v>
      </c>
      <c r="X405" s="6" t="s">
        <v>1465</v>
      </c>
      <c r="Y405" s="6">
        <v>4431140399</v>
      </c>
      <c r="Z405" s="6" t="s">
        <v>121</v>
      </c>
      <c r="AA405" s="6" t="s">
        <v>91</v>
      </c>
      <c r="AB405" s="6">
        <v>0</v>
      </c>
      <c r="AC405" s="6">
        <v>0</v>
      </c>
      <c r="AD405" s="6">
        <v>0</v>
      </c>
      <c r="AE405" s="6">
        <v>0</v>
      </c>
      <c r="AF405" s="6">
        <v>0</v>
      </c>
      <c r="AG405" s="6">
        <v>0</v>
      </c>
      <c r="AH405" s="6">
        <v>0</v>
      </c>
      <c r="AI405" s="6" t="s">
        <v>1579</v>
      </c>
      <c r="AJ405" s="6" t="s">
        <v>1580</v>
      </c>
      <c r="AK405" s="6" t="s">
        <v>15</v>
      </c>
      <c r="AL405" s="6" t="s">
        <v>63</v>
      </c>
      <c r="AM405" s="6" t="s">
        <v>1581</v>
      </c>
      <c r="AN405" s="6" t="s">
        <v>20</v>
      </c>
      <c r="AO405" s="6" t="s">
        <v>272</v>
      </c>
      <c r="AP405" s="6" t="s">
        <v>273</v>
      </c>
      <c r="AQ405" s="6" t="s">
        <v>90</v>
      </c>
    </row>
    <row r="406" spans="1:43" x14ac:dyDescent="0.25">
      <c r="A406" s="6">
        <v>22877787</v>
      </c>
      <c r="B406" s="6">
        <v>23656354</v>
      </c>
      <c r="C406" s="6" t="s">
        <v>248</v>
      </c>
      <c r="D406" s="14">
        <v>45905.795405092591</v>
      </c>
      <c r="E406" s="14">
        <v>45911.561180555553</v>
      </c>
      <c r="F406" s="6" t="s">
        <v>17</v>
      </c>
      <c r="G406" s="6" t="s">
        <v>21</v>
      </c>
      <c r="H406" s="6" t="s">
        <v>1582</v>
      </c>
      <c r="I406" s="6" t="s">
        <v>16</v>
      </c>
      <c r="J406" s="6" t="s">
        <v>1583</v>
      </c>
      <c r="K406" s="6" t="s">
        <v>495</v>
      </c>
      <c r="L406" s="6" t="s">
        <v>495</v>
      </c>
      <c r="M406" s="14">
        <v>45905.40347222222</v>
      </c>
      <c r="N406" s="6" t="s">
        <v>1582</v>
      </c>
      <c r="O406" s="6" t="s">
        <v>91</v>
      </c>
      <c r="P406" s="6" t="s">
        <v>276</v>
      </c>
      <c r="Q406" s="6" t="s">
        <v>253</v>
      </c>
      <c r="R406" s="6" t="s">
        <v>1463</v>
      </c>
      <c r="S406" s="6" t="s">
        <v>7</v>
      </c>
      <c r="T406" s="6" t="s">
        <v>254</v>
      </c>
      <c r="U406" s="6" t="s">
        <v>119</v>
      </c>
      <c r="V406" s="6" t="s">
        <v>1584</v>
      </c>
      <c r="W406" s="6" t="s">
        <v>391</v>
      </c>
      <c r="X406" s="6" t="s">
        <v>1465</v>
      </c>
      <c r="Y406" s="6">
        <v>7700076806</v>
      </c>
      <c r="Z406" s="6" t="s">
        <v>60</v>
      </c>
      <c r="AA406" s="6" t="s">
        <v>91</v>
      </c>
      <c r="AB406" s="6">
        <v>0</v>
      </c>
      <c r="AC406" s="6">
        <v>0</v>
      </c>
      <c r="AD406" s="6">
        <v>0</v>
      </c>
      <c r="AE406" s="6">
        <v>0</v>
      </c>
      <c r="AF406" s="6">
        <v>0</v>
      </c>
      <c r="AG406" s="6">
        <v>0</v>
      </c>
      <c r="AH406" s="6">
        <v>19.11</v>
      </c>
      <c r="AI406" s="6" t="s">
        <v>288</v>
      </c>
      <c r="AJ406" s="6" t="s">
        <v>1585</v>
      </c>
      <c r="AK406" s="6" t="s">
        <v>16</v>
      </c>
      <c r="AL406" s="6" t="s">
        <v>53</v>
      </c>
      <c r="AM406" s="6" t="s">
        <v>67</v>
      </c>
      <c r="AN406" s="6" t="s">
        <v>20</v>
      </c>
      <c r="AO406" s="6" t="s">
        <v>272</v>
      </c>
      <c r="AP406" s="6" t="s">
        <v>273</v>
      </c>
      <c r="AQ406" s="6" t="s">
        <v>18</v>
      </c>
    </row>
    <row r="407" spans="1:43" x14ac:dyDescent="0.25">
      <c r="A407" s="6">
        <v>22911977</v>
      </c>
      <c r="B407" s="6">
        <v>23685059</v>
      </c>
      <c r="C407" s="6" t="s">
        <v>637</v>
      </c>
      <c r="D407" s="14">
        <v>45911.900092592587</v>
      </c>
      <c r="E407" s="14">
        <v>45911.903414351851</v>
      </c>
      <c r="F407" s="6" t="s">
        <v>17</v>
      </c>
      <c r="G407" s="6" t="s">
        <v>17</v>
      </c>
      <c r="H407" s="6" t="s">
        <v>1586</v>
      </c>
      <c r="I407" s="6" t="s">
        <v>16</v>
      </c>
      <c r="J407" s="6" t="s">
        <v>1587</v>
      </c>
      <c r="K407" s="6" t="s">
        <v>1588</v>
      </c>
      <c r="L407" s="6" t="s">
        <v>495</v>
      </c>
      <c r="M407" s="14">
        <v>45905</v>
      </c>
      <c r="N407" s="6" t="s">
        <v>1586</v>
      </c>
      <c r="O407" s="6" t="s">
        <v>91</v>
      </c>
      <c r="P407" s="6" t="s">
        <v>252</v>
      </c>
      <c r="Q407" s="6" t="s">
        <v>253</v>
      </c>
      <c r="R407" s="6" t="s">
        <v>1463</v>
      </c>
      <c r="S407" s="6" t="s">
        <v>7</v>
      </c>
      <c r="T407" s="6" t="s">
        <v>254</v>
      </c>
      <c r="U407" s="6" t="s">
        <v>119</v>
      </c>
      <c r="V407" s="6" t="s">
        <v>1555</v>
      </c>
      <c r="W407" s="6" t="s">
        <v>391</v>
      </c>
      <c r="X407" s="6" t="s">
        <v>1589</v>
      </c>
      <c r="Y407" s="6">
        <v>2953011480</v>
      </c>
      <c r="Z407" s="6" t="s">
        <v>60</v>
      </c>
      <c r="AA407" s="6" t="s">
        <v>91</v>
      </c>
      <c r="AB407" s="6">
        <v>1020.77</v>
      </c>
      <c r="AC407" s="6">
        <v>0</v>
      </c>
      <c r="AD407" s="6">
        <v>404.01</v>
      </c>
      <c r="AE407" s="6">
        <v>0</v>
      </c>
      <c r="AF407" s="6">
        <v>0</v>
      </c>
      <c r="AG407" s="6">
        <v>0</v>
      </c>
      <c r="AH407" s="6">
        <v>0</v>
      </c>
      <c r="AI407" s="6" t="s">
        <v>288</v>
      </c>
      <c r="AJ407" s="6" t="s">
        <v>1590</v>
      </c>
      <c r="AK407" s="6" t="s">
        <v>16</v>
      </c>
      <c r="AL407" s="6" t="s">
        <v>51</v>
      </c>
      <c r="AM407" s="6" t="s">
        <v>1591</v>
      </c>
      <c r="AN407" s="6" t="s">
        <v>20</v>
      </c>
      <c r="AO407" s="6" t="s">
        <v>272</v>
      </c>
      <c r="AP407" s="6" t="s">
        <v>260</v>
      </c>
      <c r="AQ407" s="6" t="s">
        <v>24</v>
      </c>
    </row>
    <row r="408" spans="1:43" x14ac:dyDescent="0.25">
      <c r="A408" s="6">
        <v>22911977</v>
      </c>
      <c r="B408" s="6">
        <v>23685061</v>
      </c>
      <c r="C408" s="6" t="s">
        <v>639</v>
      </c>
      <c r="D408" s="14">
        <v>45911.900092592587</v>
      </c>
      <c r="E408" s="14">
        <v>45911.903414351851</v>
      </c>
      <c r="F408" s="6" t="s">
        <v>17</v>
      </c>
      <c r="G408" s="6" t="s">
        <v>17</v>
      </c>
      <c r="H408" s="6" t="s">
        <v>1586</v>
      </c>
      <c r="I408" s="6" t="s">
        <v>16</v>
      </c>
      <c r="J408" s="6" t="s">
        <v>1587</v>
      </c>
      <c r="K408" s="6" t="s">
        <v>1588</v>
      </c>
      <c r="L408" s="6" t="s">
        <v>495</v>
      </c>
      <c r="M408" s="14">
        <v>45905</v>
      </c>
      <c r="N408" s="6" t="s">
        <v>1586</v>
      </c>
      <c r="O408" s="6" t="s">
        <v>91</v>
      </c>
      <c r="P408" s="6" t="s">
        <v>252</v>
      </c>
      <c r="Q408" s="6" t="s">
        <v>1592</v>
      </c>
      <c r="R408" s="6" t="s">
        <v>1593</v>
      </c>
      <c r="S408" s="6" t="s">
        <v>7</v>
      </c>
      <c r="T408" s="6" t="s">
        <v>254</v>
      </c>
      <c r="U408" s="6" t="s">
        <v>119</v>
      </c>
      <c r="V408" s="6" t="s">
        <v>1555</v>
      </c>
      <c r="W408" s="6" t="s">
        <v>391</v>
      </c>
      <c r="X408" s="6" t="s">
        <v>1589</v>
      </c>
      <c r="Y408" s="6">
        <v>2953011480</v>
      </c>
      <c r="Z408" s="6" t="s">
        <v>60</v>
      </c>
      <c r="AA408" s="6" t="s">
        <v>91</v>
      </c>
      <c r="AB408" s="6">
        <v>0</v>
      </c>
      <c r="AC408" s="6">
        <v>0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288</v>
      </c>
      <c r="AJ408" s="6" t="s">
        <v>1590</v>
      </c>
      <c r="AK408" s="6" t="s">
        <v>16</v>
      </c>
      <c r="AL408" s="6" t="s">
        <v>51</v>
      </c>
      <c r="AM408" s="6" t="s">
        <v>1591</v>
      </c>
      <c r="AN408" s="6" t="s">
        <v>20</v>
      </c>
      <c r="AO408" s="6" t="s">
        <v>272</v>
      </c>
      <c r="AP408" s="6" t="s">
        <v>260</v>
      </c>
      <c r="AQ408" s="6" t="s">
        <v>24</v>
      </c>
    </row>
    <row r="409" spans="1:43" x14ac:dyDescent="0.25">
      <c r="A409" s="6">
        <v>22911977</v>
      </c>
      <c r="B409" s="6">
        <v>23685062</v>
      </c>
      <c r="C409" s="6" t="s">
        <v>1268</v>
      </c>
      <c r="D409" s="14">
        <v>45911.900092592587</v>
      </c>
      <c r="E409" s="14">
        <v>45911.903414351851</v>
      </c>
      <c r="F409" s="6" t="s">
        <v>17</v>
      </c>
      <c r="G409" s="6" t="s">
        <v>17</v>
      </c>
      <c r="H409" s="6" t="s">
        <v>1586</v>
      </c>
      <c r="I409" s="6" t="s">
        <v>16</v>
      </c>
      <c r="J409" s="6" t="s">
        <v>1587</v>
      </c>
      <c r="K409" s="6" t="s">
        <v>1588</v>
      </c>
      <c r="L409" s="6" t="s">
        <v>495</v>
      </c>
      <c r="M409" s="14">
        <v>45905</v>
      </c>
      <c r="N409" s="6" t="s">
        <v>1586</v>
      </c>
      <c r="O409" s="6" t="s">
        <v>91</v>
      </c>
      <c r="P409" s="6" t="s">
        <v>252</v>
      </c>
      <c r="Q409" s="6" t="s">
        <v>253</v>
      </c>
      <c r="R409" s="6" t="s">
        <v>1463</v>
      </c>
      <c r="S409" s="6" t="s">
        <v>7</v>
      </c>
      <c r="T409" s="6" t="s">
        <v>254</v>
      </c>
      <c r="U409" s="6" t="s">
        <v>119</v>
      </c>
      <c r="V409" s="6" t="s">
        <v>1555</v>
      </c>
      <c r="W409" s="6" t="s">
        <v>391</v>
      </c>
      <c r="X409" s="6" t="s">
        <v>1589</v>
      </c>
      <c r="Y409" s="6">
        <v>2953011480</v>
      </c>
      <c r="Z409" s="6" t="s">
        <v>60</v>
      </c>
      <c r="AA409" s="6" t="s">
        <v>91</v>
      </c>
      <c r="AB409" s="6">
        <v>3.38</v>
      </c>
      <c r="AC409" s="6">
        <v>0</v>
      </c>
      <c r="AD409" s="6">
        <v>0</v>
      </c>
      <c r="AE409" s="6">
        <v>0</v>
      </c>
      <c r="AF409" s="6">
        <v>0</v>
      </c>
      <c r="AG409" s="6">
        <v>0</v>
      </c>
      <c r="AH409" s="6">
        <v>0</v>
      </c>
      <c r="AI409" s="6" t="s">
        <v>288</v>
      </c>
      <c r="AJ409" s="6" t="s">
        <v>1590</v>
      </c>
      <c r="AK409" s="6" t="s">
        <v>16</v>
      </c>
      <c r="AL409" s="6" t="s">
        <v>51</v>
      </c>
      <c r="AM409" s="6" t="s">
        <v>1591</v>
      </c>
      <c r="AN409" s="6" t="s">
        <v>20</v>
      </c>
      <c r="AO409" s="6" t="s">
        <v>272</v>
      </c>
      <c r="AP409" s="6" t="s">
        <v>260</v>
      </c>
      <c r="AQ409" s="6" t="s">
        <v>24</v>
      </c>
    </row>
    <row r="410" spans="1:43" x14ac:dyDescent="0.25">
      <c r="A410" s="6">
        <v>22812302</v>
      </c>
      <c r="B410" s="6">
        <v>23599118</v>
      </c>
      <c r="C410" s="6" t="s">
        <v>248</v>
      </c>
      <c r="D410" s="14">
        <v>45895.376342592594</v>
      </c>
      <c r="E410" s="14">
        <v>45911.560763888891</v>
      </c>
      <c r="F410" s="6" t="s">
        <v>17</v>
      </c>
      <c r="G410" s="6" t="s">
        <v>25</v>
      </c>
      <c r="H410" s="6" t="s">
        <v>1594</v>
      </c>
      <c r="I410" s="6" t="s">
        <v>16</v>
      </c>
      <c r="J410" s="6" t="s">
        <v>1595</v>
      </c>
      <c r="K410" s="6" t="s">
        <v>1588</v>
      </c>
      <c r="L410" s="6" t="s">
        <v>369</v>
      </c>
      <c r="M410" s="14">
        <v>45891</v>
      </c>
      <c r="N410" s="6" t="s">
        <v>1594</v>
      </c>
      <c r="O410" s="6" t="s">
        <v>91</v>
      </c>
      <c r="P410" s="6" t="s">
        <v>276</v>
      </c>
      <c r="Q410" s="6" t="s">
        <v>253</v>
      </c>
      <c r="R410" s="6" t="s">
        <v>1463</v>
      </c>
      <c r="S410" s="6" t="s">
        <v>7</v>
      </c>
      <c r="T410" s="6" t="s">
        <v>254</v>
      </c>
      <c r="U410" s="6" t="s">
        <v>142</v>
      </c>
      <c r="V410" s="6" t="s">
        <v>1062</v>
      </c>
      <c r="W410" s="6" t="s">
        <v>91</v>
      </c>
      <c r="X410" s="6" t="s">
        <v>1589</v>
      </c>
      <c r="Y410" s="6">
        <v>2952853385</v>
      </c>
      <c r="Z410" s="6" t="s">
        <v>54</v>
      </c>
      <c r="AA410" s="6" t="s">
        <v>91</v>
      </c>
      <c r="AB410" s="6">
        <v>3037.47</v>
      </c>
      <c r="AC410" s="6">
        <v>59.54</v>
      </c>
      <c r="AD410" s="6">
        <v>350.89</v>
      </c>
      <c r="AE410" s="6">
        <v>0</v>
      </c>
      <c r="AF410" s="6">
        <v>59.54</v>
      </c>
      <c r="AG410" s="6">
        <v>0</v>
      </c>
      <c r="AH410" s="6">
        <v>0</v>
      </c>
      <c r="AI410" s="6" t="s">
        <v>288</v>
      </c>
      <c r="AJ410" s="6" t="s">
        <v>1483</v>
      </c>
      <c r="AK410" s="6" t="s">
        <v>16</v>
      </c>
      <c r="AL410" s="6" t="s">
        <v>55</v>
      </c>
      <c r="AM410" s="6" t="s">
        <v>1484</v>
      </c>
      <c r="AN410" s="6" t="s">
        <v>26</v>
      </c>
      <c r="AO410" s="6" t="s">
        <v>272</v>
      </c>
      <c r="AP410" s="6" t="s">
        <v>260</v>
      </c>
      <c r="AQ410" s="6" t="s">
        <v>24</v>
      </c>
    </row>
    <row r="411" spans="1:43" x14ac:dyDescent="0.25">
      <c r="A411" s="6">
        <v>22910822</v>
      </c>
      <c r="B411" s="6">
        <v>23684006</v>
      </c>
      <c r="C411" s="6" t="s">
        <v>248</v>
      </c>
      <c r="D411" s="14">
        <v>45911.779189814813</v>
      </c>
      <c r="E411" s="14">
        <v>45911.790497685193</v>
      </c>
      <c r="F411" s="6" t="s">
        <v>17</v>
      </c>
      <c r="G411" s="6" t="s">
        <v>17</v>
      </c>
      <c r="H411" s="6" t="s">
        <v>1596</v>
      </c>
      <c r="I411" s="6" t="s">
        <v>337</v>
      </c>
      <c r="J411" s="6" t="s">
        <v>1597</v>
      </c>
      <c r="K411" s="6" t="s">
        <v>1598</v>
      </c>
      <c r="L411" s="6" t="s">
        <v>1598</v>
      </c>
      <c r="M411" s="14">
        <v>45911.536111111112</v>
      </c>
      <c r="N411" s="6">
        <v>25987</v>
      </c>
      <c r="O411" s="6" t="s">
        <v>91</v>
      </c>
      <c r="P411" s="6" t="s">
        <v>252</v>
      </c>
      <c r="Q411" s="6" t="s">
        <v>253</v>
      </c>
      <c r="R411" s="6" t="s">
        <v>253</v>
      </c>
      <c r="S411" s="6" t="s">
        <v>7</v>
      </c>
      <c r="T411" s="6" t="s">
        <v>254</v>
      </c>
      <c r="U411" s="6" t="s">
        <v>168</v>
      </c>
      <c r="V411" s="6" t="s">
        <v>1066</v>
      </c>
      <c r="W411" s="6" t="s">
        <v>91</v>
      </c>
      <c r="X411" s="6" t="s">
        <v>1599</v>
      </c>
      <c r="Y411" s="6">
        <v>2953012862</v>
      </c>
      <c r="Z411" s="6" t="s">
        <v>97</v>
      </c>
      <c r="AA411" s="6" t="s">
        <v>91</v>
      </c>
      <c r="AB411" s="6">
        <v>6165.98</v>
      </c>
      <c r="AC411" s="6">
        <v>897.46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 t="s">
        <v>1600</v>
      </c>
      <c r="AJ411" s="6" t="s">
        <v>1601</v>
      </c>
      <c r="AK411" s="6" t="s">
        <v>12</v>
      </c>
      <c r="AL411" s="6" t="s">
        <v>49</v>
      </c>
      <c r="AM411" s="6" t="s">
        <v>1501</v>
      </c>
      <c r="AN411" s="6" t="s">
        <v>26</v>
      </c>
      <c r="AO411" s="6" t="s">
        <v>272</v>
      </c>
      <c r="AP411" s="6" t="s">
        <v>260</v>
      </c>
      <c r="AQ411" s="6" t="s">
        <v>37</v>
      </c>
    </row>
    <row r="412" spans="1:43" x14ac:dyDescent="0.25">
      <c r="A412" s="6">
        <v>22828088</v>
      </c>
      <c r="B412" s="6">
        <v>23613507</v>
      </c>
      <c r="C412" s="6" t="s">
        <v>248</v>
      </c>
      <c r="D412" s="14">
        <v>45897.659594907411</v>
      </c>
      <c r="E412" s="14">
        <v>45911.56077546296</v>
      </c>
      <c r="F412" s="6" t="s">
        <v>17</v>
      </c>
      <c r="G412" s="6" t="s">
        <v>23</v>
      </c>
      <c r="H412" s="6" t="s">
        <v>1602</v>
      </c>
      <c r="I412" s="6" t="s">
        <v>16</v>
      </c>
      <c r="J412" s="6" t="s">
        <v>1603</v>
      </c>
      <c r="K412" s="6" t="s">
        <v>1604</v>
      </c>
      <c r="L412" s="6" t="s">
        <v>1605</v>
      </c>
      <c r="M412" s="14">
        <v>45895</v>
      </c>
      <c r="N412" s="6" t="s">
        <v>292</v>
      </c>
      <c r="O412" s="6" t="s">
        <v>91</v>
      </c>
      <c r="P412" s="6" t="s">
        <v>252</v>
      </c>
      <c r="Q412" s="6" t="s">
        <v>268</v>
      </c>
      <c r="R412" s="6" t="s">
        <v>269</v>
      </c>
      <c r="S412" s="6" t="s">
        <v>7</v>
      </c>
      <c r="T412" s="6" t="s">
        <v>254</v>
      </c>
      <c r="U412" s="6" t="s">
        <v>113</v>
      </c>
      <c r="V412" s="6" t="s">
        <v>1606</v>
      </c>
      <c r="W412" s="6" t="s">
        <v>91</v>
      </c>
      <c r="X412" s="6" t="s">
        <v>1599</v>
      </c>
      <c r="Y412" s="6">
        <v>2971581545</v>
      </c>
      <c r="Z412" s="6" t="s">
        <v>50</v>
      </c>
      <c r="AA412" s="6" t="s">
        <v>91</v>
      </c>
      <c r="AB412" s="6">
        <v>906.13409999999999</v>
      </c>
      <c r="AC412" s="6">
        <v>120.57</v>
      </c>
      <c r="AD412" s="6">
        <v>0</v>
      </c>
      <c r="AE412" s="6">
        <v>0</v>
      </c>
      <c r="AF412" s="6">
        <v>120.57</v>
      </c>
      <c r="AG412" s="6">
        <v>0</v>
      </c>
      <c r="AH412" s="6">
        <v>0</v>
      </c>
      <c r="AI412" s="6" t="s">
        <v>288</v>
      </c>
      <c r="AJ412" s="6" t="s">
        <v>1607</v>
      </c>
      <c r="AK412" s="6" t="s">
        <v>16</v>
      </c>
      <c r="AL412" s="6" t="s">
        <v>51</v>
      </c>
      <c r="AM412" s="6" t="s">
        <v>1591</v>
      </c>
      <c r="AN412" s="6" t="s">
        <v>20</v>
      </c>
      <c r="AO412" s="6" t="s">
        <v>272</v>
      </c>
      <c r="AP412" s="6" t="s">
        <v>260</v>
      </c>
      <c r="AQ412" s="6" t="s">
        <v>24</v>
      </c>
    </row>
    <row r="413" spans="1:43" x14ac:dyDescent="0.25">
      <c r="A413" s="6">
        <v>22828088</v>
      </c>
      <c r="B413" s="6">
        <v>23613508</v>
      </c>
      <c r="C413" s="6" t="s">
        <v>637</v>
      </c>
      <c r="D413" s="14">
        <v>45897.659594907411</v>
      </c>
      <c r="E413" s="14">
        <v>45911.56077546296</v>
      </c>
      <c r="F413" s="6" t="s">
        <v>17</v>
      </c>
      <c r="G413" s="6" t="s">
        <v>23</v>
      </c>
      <c r="H413" s="6" t="s">
        <v>1602</v>
      </c>
      <c r="I413" s="6" t="s">
        <v>16</v>
      </c>
      <c r="J413" s="6" t="s">
        <v>1608</v>
      </c>
      <c r="K413" s="6" t="s">
        <v>1604</v>
      </c>
      <c r="L413" s="6" t="s">
        <v>1605</v>
      </c>
      <c r="M413" s="14">
        <v>45895</v>
      </c>
      <c r="N413" s="6" t="s">
        <v>292</v>
      </c>
      <c r="O413" s="6" t="s">
        <v>91</v>
      </c>
      <c r="P413" s="6" t="s">
        <v>252</v>
      </c>
      <c r="Q413" s="6" t="s">
        <v>268</v>
      </c>
      <c r="R413" s="6" t="s">
        <v>1593</v>
      </c>
      <c r="S413" s="6" t="s">
        <v>7</v>
      </c>
      <c r="T413" s="6" t="s">
        <v>254</v>
      </c>
      <c r="U413" s="6" t="s">
        <v>113</v>
      </c>
      <c r="V413" s="6" t="s">
        <v>1606</v>
      </c>
      <c r="W413" s="6" t="s">
        <v>91</v>
      </c>
      <c r="X413" s="6" t="s">
        <v>1599</v>
      </c>
      <c r="Y413" s="6">
        <v>2971581545</v>
      </c>
      <c r="Z413" s="6" t="s">
        <v>50</v>
      </c>
      <c r="AA413" s="6" t="s">
        <v>91</v>
      </c>
      <c r="AB413" s="6">
        <v>0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 t="s">
        <v>288</v>
      </c>
      <c r="AJ413" s="6" t="s">
        <v>1607</v>
      </c>
      <c r="AK413" s="6" t="s">
        <v>16</v>
      </c>
      <c r="AL413" s="6" t="s">
        <v>51</v>
      </c>
      <c r="AM413" s="6" t="s">
        <v>1591</v>
      </c>
      <c r="AN413" s="6" t="s">
        <v>20</v>
      </c>
      <c r="AO413" s="6" t="s">
        <v>272</v>
      </c>
      <c r="AP413" s="6" t="s">
        <v>260</v>
      </c>
      <c r="AQ413" s="6" t="s">
        <v>24</v>
      </c>
    </row>
    <row r="414" spans="1:43" x14ac:dyDescent="0.25">
      <c r="A414" s="6">
        <v>22911927</v>
      </c>
      <c r="B414" s="6">
        <v>23685012</v>
      </c>
      <c r="C414" s="6" t="s">
        <v>248</v>
      </c>
      <c r="D414" s="14">
        <v>45911.897210648152</v>
      </c>
      <c r="E414" s="14">
        <v>45911.900520833333</v>
      </c>
      <c r="F414" s="6" t="s">
        <v>17</v>
      </c>
      <c r="G414" s="6" t="s">
        <v>17</v>
      </c>
      <c r="H414" s="6" t="s">
        <v>1609</v>
      </c>
      <c r="I414" s="6" t="s">
        <v>16</v>
      </c>
      <c r="J414" s="6" t="s">
        <v>1610</v>
      </c>
      <c r="K414" s="6" t="s">
        <v>1604</v>
      </c>
      <c r="L414" s="6" t="s">
        <v>369</v>
      </c>
      <c r="M414" s="14">
        <v>45911</v>
      </c>
      <c r="N414" s="6" t="s">
        <v>1609</v>
      </c>
      <c r="O414" s="6" t="s">
        <v>91</v>
      </c>
      <c r="P414" s="6" t="s">
        <v>276</v>
      </c>
      <c r="Q414" s="6" t="s">
        <v>1592</v>
      </c>
      <c r="R414" s="6" t="s">
        <v>1593</v>
      </c>
      <c r="S414" s="6" t="s">
        <v>7</v>
      </c>
      <c r="T414" s="6" t="s">
        <v>254</v>
      </c>
      <c r="U414" s="6" t="s">
        <v>142</v>
      </c>
      <c r="V414" s="6" t="s">
        <v>1062</v>
      </c>
      <c r="W414" s="6" t="s">
        <v>91</v>
      </c>
      <c r="X414" s="6" t="s">
        <v>1599</v>
      </c>
      <c r="Y414" s="6">
        <v>2953012923</v>
      </c>
      <c r="Z414" s="6" t="s">
        <v>54</v>
      </c>
      <c r="AA414" s="6" t="s">
        <v>91</v>
      </c>
      <c r="AB414" s="6">
        <v>0</v>
      </c>
      <c r="AC414" s="6">
        <v>22.13</v>
      </c>
      <c r="AD414" s="6">
        <v>0</v>
      </c>
      <c r="AE414" s="6">
        <v>0</v>
      </c>
      <c r="AF414" s="6">
        <v>22.13</v>
      </c>
      <c r="AG414" s="6">
        <v>0</v>
      </c>
      <c r="AH414" s="6">
        <v>0</v>
      </c>
      <c r="AI414" s="6" t="s">
        <v>288</v>
      </c>
      <c r="AJ414" s="6" t="s">
        <v>1611</v>
      </c>
      <c r="AK414" s="6" t="s">
        <v>16</v>
      </c>
      <c r="AL414" s="6" t="s">
        <v>65</v>
      </c>
      <c r="AM414" s="6" t="s">
        <v>394</v>
      </c>
      <c r="AN414" s="6" t="s">
        <v>20</v>
      </c>
      <c r="AO414" s="6" t="s">
        <v>272</v>
      </c>
      <c r="AP414" s="6" t="s">
        <v>260</v>
      </c>
      <c r="AQ414" s="6" t="s">
        <v>24</v>
      </c>
    </row>
    <row r="415" spans="1:43" x14ac:dyDescent="0.25">
      <c r="A415" s="6">
        <v>22911986</v>
      </c>
      <c r="B415" s="6">
        <v>23685073</v>
      </c>
      <c r="C415" s="6" t="s">
        <v>248</v>
      </c>
      <c r="D415" s="14">
        <v>45911.901006944441</v>
      </c>
      <c r="E415" s="14">
        <v>45911.91306712963</v>
      </c>
      <c r="F415" s="6" t="s">
        <v>17</v>
      </c>
      <c r="G415" s="6" t="s">
        <v>17</v>
      </c>
      <c r="H415" s="6" t="s">
        <v>1612</v>
      </c>
      <c r="I415" s="6" t="s">
        <v>16</v>
      </c>
      <c r="J415" s="6" t="s">
        <v>1613</v>
      </c>
      <c r="K415" s="6" t="s">
        <v>1604</v>
      </c>
      <c r="L415" s="6" t="s">
        <v>369</v>
      </c>
      <c r="M415" s="14">
        <v>45911</v>
      </c>
      <c r="N415" s="6" t="s">
        <v>1612</v>
      </c>
      <c r="O415" s="6" t="s">
        <v>91</v>
      </c>
      <c r="P415" s="6" t="s">
        <v>276</v>
      </c>
      <c r="Q415" s="6" t="s">
        <v>1592</v>
      </c>
      <c r="R415" s="6" t="s">
        <v>1593</v>
      </c>
      <c r="S415" s="6" t="s">
        <v>7</v>
      </c>
      <c r="T415" s="6" t="s">
        <v>254</v>
      </c>
      <c r="U415" s="6" t="s">
        <v>142</v>
      </c>
      <c r="V415" s="6" t="s">
        <v>1062</v>
      </c>
      <c r="W415" s="6" t="s">
        <v>91</v>
      </c>
      <c r="X415" s="6" t="s">
        <v>1599</v>
      </c>
      <c r="Y415" s="6">
        <v>2953012922</v>
      </c>
      <c r="Z415" s="6" t="s">
        <v>54</v>
      </c>
      <c r="AA415" s="6" t="s">
        <v>91</v>
      </c>
      <c r="AB415" s="6">
        <v>0</v>
      </c>
      <c r="AC415" s="6">
        <v>13.95</v>
      </c>
      <c r="AD415" s="6">
        <v>447.75</v>
      </c>
      <c r="AE415" s="6">
        <v>0</v>
      </c>
      <c r="AF415" s="6">
        <v>13.95</v>
      </c>
      <c r="AG415" s="6">
        <v>0</v>
      </c>
      <c r="AH415" s="6">
        <v>0</v>
      </c>
      <c r="AI415" s="6" t="s">
        <v>288</v>
      </c>
      <c r="AJ415" s="6" t="s">
        <v>1611</v>
      </c>
      <c r="AK415" s="6" t="s">
        <v>16</v>
      </c>
      <c r="AL415" s="6" t="s">
        <v>65</v>
      </c>
      <c r="AM415" s="6" t="s">
        <v>394</v>
      </c>
      <c r="AN415" s="6" t="s">
        <v>20</v>
      </c>
      <c r="AO415" s="6" t="s">
        <v>272</v>
      </c>
      <c r="AP415" s="6" t="s">
        <v>260</v>
      </c>
      <c r="AQ415" s="6" t="s">
        <v>24</v>
      </c>
    </row>
    <row r="416" spans="1:43" x14ac:dyDescent="0.25">
      <c r="A416" s="6">
        <v>22911987</v>
      </c>
      <c r="B416" s="6">
        <v>23685074</v>
      </c>
      <c r="C416" s="6" t="s">
        <v>248</v>
      </c>
      <c r="D416" s="14">
        <v>45911.90111111111</v>
      </c>
      <c r="E416" s="14">
        <v>45911.913090277783</v>
      </c>
      <c r="F416" s="6" t="s">
        <v>17</v>
      </c>
      <c r="G416" s="6" t="s">
        <v>17</v>
      </c>
      <c r="H416" s="6" t="s">
        <v>1614</v>
      </c>
      <c r="I416" s="6" t="s">
        <v>16</v>
      </c>
      <c r="J416" s="6" t="s">
        <v>1615</v>
      </c>
      <c r="K416" s="6" t="s">
        <v>1604</v>
      </c>
      <c r="L416" s="6" t="s">
        <v>369</v>
      </c>
      <c r="M416" s="14">
        <v>45911</v>
      </c>
      <c r="N416" s="6" t="s">
        <v>1614</v>
      </c>
      <c r="O416" s="6" t="s">
        <v>91</v>
      </c>
      <c r="P416" s="6" t="s">
        <v>276</v>
      </c>
      <c r="Q416" s="6" t="s">
        <v>1592</v>
      </c>
      <c r="R416" s="6" t="s">
        <v>1593</v>
      </c>
      <c r="S416" s="6" t="s">
        <v>7</v>
      </c>
      <c r="T416" s="6" t="s">
        <v>254</v>
      </c>
      <c r="U416" s="6" t="s">
        <v>142</v>
      </c>
      <c r="V416" s="6" t="s">
        <v>1062</v>
      </c>
      <c r="W416" s="6" t="s">
        <v>91</v>
      </c>
      <c r="X416" s="6" t="s">
        <v>1599</v>
      </c>
      <c r="Y416" s="6">
        <v>2953012918</v>
      </c>
      <c r="Z416" s="6" t="s">
        <v>54</v>
      </c>
      <c r="AA416" s="6" t="s">
        <v>91</v>
      </c>
      <c r="AB416" s="6">
        <v>0</v>
      </c>
      <c r="AC416" s="6">
        <v>14.5</v>
      </c>
      <c r="AD416" s="6">
        <v>395.94</v>
      </c>
      <c r="AE416" s="6">
        <v>0</v>
      </c>
      <c r="AF416" s="6">
        <v>14.5</v>
      </c>
      <c r="AG416" s="6">
        <v>0</v>
      </c>
      <c r="AH416" s="6">
        <v>0</v>
      </c>
      <c r="AI416" s="6" t="s">
        <v>288</v>
      </c>
      <c r="AJ416" s="6" t="s">
        <v>1611</v>
      </c>
      <c r="AK416" s="6" t="s">
        <v>16</v>
      </c>
      <c r="AL416" s="6" t="s">
        <v>65</v>
      </c>
      <c r="AM416" s="6" t="s">
        <v>394</v>
      </c>
      <c r="AN416" s="6" t="s">
        <v>20</v>
      </c>
      <c r="AO416" s="6" t="s">
        <v>272</v>
      </c>
      <c r="AP416" s="6" t="s">
        <v>260</v>
      </c>
      <c r="AQ416" s="6" t="s">
        <v>24</v>
      </c>
    </row>
    <row r="417" spans="1:43" x14ac:dyDescent="0.25">
      <c r="A417" s="6">
        <v>22911988</v>
      </c>
      <c r="B417" s="6">
        <v>23685075</v>
      </c>
      <c r="C417" s="6" t="s">
        <v>248</v>
      </c>
      <c r="D417" s="14">
        <v>45911.90116898148</v>
      </c>
      <c r="E417" s="14">
        <v>45911.913124999999</v>
      </c>
      <c r="F417" s="6" t="s">
        <v>17</v>
      </c>
      <c r="G417" s="6" t="s">
        <v>17</v>
      </c>
      <c r="H417" s="6" t="s">
        <v>1616</v>
      </c>
      <c r="I417" s="6" t="s">
        <v>16</v>
      </c>
      <c r="J417" s="6" t="s">
        <v>1617</v>
      </c>
      <c r="K417" s="6" t="s">
        <v>1604</v>
      </c>
      <c r="L417" s="6" t="s">
        <v>369</v>
      </c>
      <c r="M417" s="14">
        <v>45911</v>
      </c>
      <c r="N417" s="6" t="s">
        <v>1616</v>
      </c>
      <c r="O417" s="6" t="s">
        <v>91</v>
      </c>
      <c r="P417" s="6" t="s">
        <v>276</v>
      </c>
      <c r="Q417" s="6" t="s">
        <v>1592</v>
      </c>
      <c r="R417" s="6" t="s">
        <v>1593</v>
      </c>
      <c r="S417" s="6" t="s">
        <v>7</v>
      </c>
      <c r="T417" s="6" t="s">
        <v>254</v>
      </c>
      <c r="U417" s="6" t="s">
        <v>142</v>
      </c>
      <c r="V417" s="6" t="s">
        <v>1062</v>
      </c>
      <c r="W417" s="6" t="s">
        <v>91</v>
      </c>
      <c r="X417" s="6" t="s">
        <v>1599</v>
      </c>
      <c r="Y417" s="6">
        <v>2953012917</v>
      </c>
      <c r="Z417" s="6" t="s">
        <v>54</v>
      </c>
      <c r="AA417" s="6" t="s">
        <v>91</v>
      </c>
      <c r="AB417" s="6">
        <v>0</v>
      </c>
      <c r="AC417" s="6">
        <v>0</v>
      </c>
      <c r="AD417" s="6">
        <v>450</v>
      </c>
      <c r="AE417" s="6">
        <v>0</v>
      </c>
      <c r="AF417" s="6">
        <v>0</v>
      </c>
      <c r="AG417" s="6">
        <v>0</v>
      </c>
      <c r="AH417" s="6">
        <v>0</v>
      </c>
      <c r="AI417" s="6" t="s">
        <v>288</v>
      </c>
      <c r="AJ417" s="6" t="s">
        <v>1611</v>
      </c>
      <c r="AK417" s="6" t="s">
        <v>16</v>
      </c>
      <c r="AL417" s="6" t="s">
        <v>65</v>
      </c>
      <c r="AM417" s="6" t="s">
        <v>394</v>
      </c>
      <c r="AN417" s="6" t="s">
        <v>20</v>
      </c>
      <c r="AO417" s="6" t="s">
        <v>272</v>
      </c>
      <c r="AP417" s="6" t="s">
        <v>260</v>
      </c>
      <c r="AQ417" s="6" t="s">
        <v>24</v>
      </c>
    </row>
    <row r="418" spans="1:43" x14ac:dyDescent="0.25">
      <c r="A418" s="6">
        <v>22910077</v>
      </c>
      <c r="B418" s="6">
        <v>23683275</v>
      </c>
      <c r="C418" s="6" t="s">
        <v>248</v>
      </c>
      <c r="D418" s="14">
        <v>45911.725787037038</v>
      </c>
      <c r="E418" s="14">
        <v>45911.728020833332</v>
      </c>
      <c r="F418" s="6" t="s">
        <v>17</v>
      </c>
      <c r="G418" s="6" t="s">
        <v>17</v>
      </c>
      <c r="H418" s="6" t="s">
        <v>1618</v>
      </c>
      <c r="I418" s="6" t="s">
        <v>13</v>
      </c>
      <c r="J418" s="6" t="s">
        <v>1619</v>
      </c>
      <c r="K418" s="6" t="s">
        <v>1082</v>
      </c>
      <c r="L418" s="6" t="s">
        <v>1082</v>
      </c>
      <c r="M418" s="14">
        <v>45911.510416666657</v>
      </c>
      <c r="N418" s="6">
        <v>4595260</v>
      </c>
      <c r="O418" s="6" t="s">
        <v>91</v>
      </c>
      <c r="P418" s="6" t="s">
        <v>252</v>
      </c>
      <c r="Q418" s="6" t="s">
        <v>253</v>
      </c>
      <c r="R418" s="6" t="s">
        <v>253</v>
      </c>
      <c r="S418" s="6" t="s">
        <v>7</v>
      </c>
      <c r="T418" s="6" t="s">
        <v>254</v>
      </c>
      <c r="U418" s="6" t="s">
        <v>161</v>
      </c>
      <c r="V418" s="6" t="s">
        <v>1084</v>
      </c>
      <c r="W418" s="6" t="s">
        <v>91</v>
      </c>
      <c r="X418" s="6" t="s">
        <v>1599</v>
      </c>
      <c r="Y418" s="6">
        <v>4457412049</v>
      </c>
      <c r="Z418" s="6" t="s">
        <v>95</v>
      </c>
      <c r="AA418" s="6" t="s">
        <v>91</v>
      </c>
      <c r="AB418" s="6">
        <v>200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1620</v>
      </c>
      <c r="AJ418" s="6" t="s">
        <v>1483</v>
      </c>
      <c r="AK418" s="6" t="s">
        <v>13</v>
      </c>
      <c r="AL418" s="6" t="s">
        <v>55</v>
      </c>
      <c r="AM418" s="6" t="s">
        <v>1484</v>
      </c>
      <c r="AN418" s="6" t="s">
        <v>26</v>
      </c>
      <c r="AO418" s="6" t="s">
        <v>272</v>
      </c>
      <c r="AP418" s="6" t="s">
        <v>260</v>
      </c>
      <c r="AQ418" s="6" t="s">
        <v>37</v>
      </c>
    </row>
    <row r="419" spans="1:43" x14ac:dyDescent="0.25">
      <c r="A419" s="6">
        <v>22889102</v>
      </c>
      <c r="B419" s="6">
        <v>23664595</v>
      </c>
      <c r="C419" s="6" t="s">
        <v>248</v>
      </c>
      <c r="D419" s="14">
        <v>45908.546331018522</v>
      </c>
      <c r="E419" s="14">
        <v>45912.123124999998</v>
      </c>
      <c r="F419" s="6" t="s">
        <v>17</v>
      </c>
      <c r="G419" s="6" t="s">
        <v>19</v>
      </c>
      <c r="H419" s="6" t="s">
        <v>1621</v>
      </c>
      <c r="I419" s="6" t="s">
        <v>16</v>
      </c>
      <c r="J419" s="6" t="s">
        <v>1622</v>
      </c>
      <c r="K419" s="6" t="s">
        <v>1604</v>
      </c>
      <c r="L419" s="6" t="s">
        <v>369</v>
      </c>
      <c r="M419" s="14">
        <v>45902.320833333331</v>
      </c>
      <c r="N419" s="6" t="s">
        <v>1621</v>
      </c>
      <c r="O419" s="6" t="s">
        <v>91</v>
      </c>
      <c r="P419" s="6" t="s">
        <v>276</v>
      </c>
      <c r="Q419" s="6" t="s">
        <v>253</v>
      </c>
      <c r="R419" s="6" t="s">
        <v>253</v>
      </c>
      <c r="S419" s="6" t="s">
        <v>7</v>
      </c>
      <c r="T419" s="6" t="s">
        <v>254</v>
      </c>
      <c r="U419" s="6" t="s">
        <v>145</v>
      </c>
      <c r="V419" s="6" t="s">
        <v>1140</v>
      </c>
      <c r="W419" s="6" t="s">
        <v>391</v>
      </c>
      <c r="X419" s="6" t="s">
        <v>1599</v>
      </c>
      <c r="Y419" s="6">
        <v>2952963668</v>
      </c>
      <c r="Z419" s="6" t="s">
        <v>74</v>
      </c>
      <c r="AA419" s="6" t="s">
        <v>91</v>
      </c>
      <c r="AB419" s="6">
        <v>0</v>
      </c>
      <c r="AC419" s="6">
        <v>0</v>
      </c>
      <c r="AD419" s="6">
        <v>450</v>
      </c>
      <c r="AE419" s="6">
        <v>0</v>
      </c>
      <c r="AF419" s="6">
        <v>23.03</v>
      </c>
      <c r="AG419" s="6">
        <v>0</v>
      </c>
      <c r="AH419" s="6">
        <v>0</v>
      </c>
      <c r="AI419" s="6" t="s">
        <v>288</v>
      </c>
      <c r="AJ419" s="6" t="s">
        <v>1623</v>
      </c>
      <c r="AK419" s="6" t="s">
        <v>16</v>
      </c>
      <c r="AL419" s="6" t="s">
        <v>49</v>
      </c>
      <c r="AM419" s="6" t="s">
        <v>1501</v>
      </c>
      <c r="AN419" s="6" t="s">
        <v>26</v>
      </c>
      <c r="AO419" s="6" t="s">
        <v>272</v>
      </c>
      <c r="AP419" s="6" t="s">
        <v>260</v>
      </c>
      <c r="AQ419" s="6" t="s">
        <v>24</v>
      </c>
    </row>
    <row r="420" spans="1:43" x14ac:dyDescent="0.25">
      <c r="A420" s="6">
        <v>22911930</v>
      </c>
      <c r="B420" s="6">
        <v>23685015</v>
      </c>
      <c r="C420" s="6" t="s">
        <v>248</v>
      </c>
      <c r="D420" s="14">
        <v>45911.897499999999</v>
      </c>
      <c r="E420" s="14">
        <v>45911.8983912037</v>
      </c>
      <c r="F420" s="6" t="s">
        <v>17</v>
      </c>
      <c r="G420" s="6" t="s">
        <v>17</v>
      </c>
      <c r="H420" s="6" t="s">
        <v>1624</v>
      </c>
      <c r="I420" s="6" t="s">
        <v>16</v>
      </c>
      <c r="J420" s="6" t="s">
        <v>1625</v>
      </c>
      <c r="K420" s="6" t="s">
        <v>1604</v>
      </c>
      <c r="L420" s="6" t="s">
        <v>369</v>
      </c>
      <c r="M420" s="14">
        <v>45911.629861111112</v>
      </c>
      <c r="N420" s="6" t="s">
        <v>1624</v>
      </c>
      <c r="O420" s="6" t="s">
        <v>91</v>
      </c>
      <c r="P420" s="6" t="s">
        <v>276</v>
      </c>
      <c r="Q420" s="6" t="s">
        <v>1592</v>
      </c>
      <c r="R420" s="6" t="s">
        <v>1593</v>
      </c>
      <c r="S420" s="6" t="s">
        <v>7</v>
      </c>
      <c r="T420" s="6" t="s">
        <v>254</v>
      </c>
      <c r="U420" s="6" t="s">
        <v>145</v>
      </c>
      <c r="V420" s="6" t="s">
        <v>1140</v>
      </c>
      <c r="W420" s="6" t="s">
        <v>391</v>
      </c>
      <c r="X420" s="6" t="s">
        <v>1599</v>
      </c>
      <c r="Y420" s="6">
        <v>2953012925</v>
      </c>
      <c r="Z420" s="6" t="s">
        <v>74</v>
      </c>
      <c r="AA420" s="6" t="s">
        <v>91</v>
      </c>
      <c r="AB420" s="6">
        <v>0</v>
      </c>
      <c r="AC420" s="6">
        <v>62.7</v>
      </c>
      <c r="AD420" s="6">
        <v>450</v>
      </c>
      <c r="AE420" s="6">
        <v>0</v>
      </c>
      <c r="AF420" s="6">
        <v>62.7</v>
      </c>
      <c r="AG420" s="6">
        <v>0</v>
      </c>
      <c r="AH420" s="6">
        <v>0</v>
      </c>
      <c r="AI420" s="6" t="s">
        <v>288</v>
      </c>
      <c r="AJ420" s="6" t="s">
        <v>393</v>
      </c>
      <c r="AK420" s="6" t="s">
        <v>16</v>
      </c>
      <c r="AL420" s="6" t="s">
        <v>61</v>
      </c>
      <c r="AM420" s="6" t="s">
        <v>394</v>
      </c>
      <c r="AN420" s="6" t="s">
        <v>20</v>
      </c>
      <c r="AO420" s="6" t="s">
        <v>272</v>
      </c>
      <c r="AP420" s="6" t="s">
        <v>260</v>
      </c>
      <c r="AQ420" s="6" t="s">
        <v>24</v>
      </c>
    </row>
    <row r="421" spans="1:43" x14ac:dyDescent="0.25">
      <c r="A421" s="6">
        <v>22905475</v>
      </c>
      <c r="B421" s="6">
        <v>23679414</v>
      </c>
      <c r="C421" s="6" t="s">
        <v>248</v>
      </c>
      <c r="D421" s="14">
        <v>45910.936886574083</v>
      </c>
      <c r="E421" s="14">
        <v>45912.127256944441</v>
      </c>
      <c r="F421" s="6" t="s">
        <v>17</v>
      </c>
      <c r="G421" s="6" t="s">
        <v>17</v>
      </c>
      <c r="H421" s="6" t="s">
        <v>1626</v>
      </c>
      <c r="I421" s="6" t="s">
        <v>16</v>
      </c>
      <c r="J421" s="6" t="s">
        <v>1627</v>
      </c>
      <c r="K421" s="6" t="s">
        <v>1604</v>
      </c>
      <c r="L421" s="6" t="s">
        <v>1628</v>
      </c>
      <c r="M421" s="14">
        <v>45897.34097222222</v>
      </c>
      <c r="N421" s="6" t="s">
        <v>1629</v>
      </c>
      <c r="O421" s="6" t="s">
        <v>91</v>
      </c>
      <c r="P421" s="6" t="s">
        <v>252</v>
      </c>
      <c r="Q421" s="6" t="s">
        <v>253</v>
      </c>
      <c r="R421" s="6" t="s">
        <v>253</v>
      </c>
      <c r="S421" s="6" t="s">
        <v>7</v>
      </c>
      <c r="T421" s="6" t="s">
        <v>254</v>
      </c>
      <c r="U421" s="6" t="s">
        <v>145</v>
      </c>
      <c r="V421" s="6" t="s">
        <v>1140</v>
      </c>
      <c r="W421" s="6" t="s">
        <v>391</v>
      </c>
      <c r="X421" s="6" t="s">
        <v>1599</v>
      </c>
      <c r="Y421" s="6">
        <v>2953012850</v>
      </c>
      <c r="Z421" s="6" t="s">
        <v>74</v>
      </c>
      <c r="AA421" s="6" t="s">
        <v>91</v>
      </c>
      <c r="AB421" s="6">
        <v>1162.1848</v>
      </c>
      <c r="AC421" s="6">
        <v>107.64</v>
      </c>
      <c r="AD421" s="6">
        <v>0</v>
      </c>
      <c r="AE421" s="6">
        <v>0</v>
      </c>
      <c r="AF421" s="6">
        <v>107.64</v>
      </c>
      <c r="AG421" s="6">
        <v>0</v>
      </c>
      <c r="AH421" s="6">
        <v>0</v>
      </c>
      <c r="AI421" s="6" t="s">
        <v>288</v>
      </c>
      <c r="AJ421" s="6" t="s">
        <v>1630</v>
      </c>
      <c r="AK421" s="6" t="s">
        <v>16</v>
      </c>
      <c r="AL421" s="6" t="s">
        <v>51</v>
      </c>
      <c r="AM421" s="6" t="s">
        <v>1591</v>
      </c>
      <c r="AN421" s="6" t="s">
        <v>20</v>
      </c>
      <c r="AO421" s="6" t="s">
        <v>272</v>
      </c>
      <c r="AP421" s="6" t="s">
        <v>260</v>
      </c>
      <c r="AQ421" s="6" t="s">
        <v>24</v>
      </c>
    </row>
    <row r="422" spans="1:43" x14ac:dyDescent="0.25">
      <c r="A422" s="6">
        <v>22905475</v>
      </c>
      <c r="B422" s="6">
        <v>23679415</v>
      </c>
      <c r="C422" s="6" t="s">
        <v>637</v>
      </c>
      <c r="D422" s="14">
        <v>45910.936886574083</v>
      </c>
      <c r="E422" s="14">
        <v>45912.127256944441</v>
      </c>
      <c r="F422" s="6" t="s">
        <v>17</v>
      </c>
      <c r="G422" s="6" t="s">
        <v>17</v>
      </c>
      <c r="H422" s="6" t="s">
        <v>1626</v>
      </c>
      <c r="I422" s="6" t="s">
        <v>16</v>
      </c>
      <c r="J422" s="6" t="s">
        <v>1627</v>
      </c>
      <c r="K422" s="6" t="s">
        <v>1604</v>
      </c>
      <c r="L422" s="6" t="s">
        <v>1628</v>
      </c>
      <c r="M422" s="14">
        <v>45897.34097222222</v>
      </c>
      <c r="N422" s="6" t="s">
        <v>1629</v>
      </c>
      <c r="O422" s="6" t="s">
        <v>91</v>
      </c>
      <c r="P422" s="6" t="s">
        <v>252</v>
      </c>
      <c r="Q422" s="6" t="s">
        <v>253</v>
      </c>
      <c r="R422" s="6" t="s">
        <v>253</v>
      </c>
      <c r="S422" s="6" t="s">
        <v>7</v>
      </c>
      <c r="T422" s="6" t="s">
        <v>254</v>
      </c>
      <c r="U422" s="6" t="s">
        <v>145</v>
      </c>
      <c r="V422" s="6" t="s">
        <v>1140</v>
      </c>
      <c r="W422" s="6" t="s">
        <v>391</v>
      </c>
      <c r="X422" s="6" t="s">
        <v>1599</v>
      </c>
      <c r="Y422" s="6">
        <v>2953012850</v>
      </c>
      <c r="Z422" s="6" t="s">
        <v>74</v>
      </c>
      <c r="AA422" s="6" t="s">
        <v>91</v>
      </c>
      <c r="AB422" s="6">
        <v>0</v>
      </c>
      <c r="AC422" s="6">
        <v>0</v>
      </c>
      <c r="AD422" s="6">
        <v>450</v>
      </c>
      <c r="AE422" s="6">
        <v>0</v>
      </c>
      <c r="AF422" s="6">
        <v>0</v>
      </c>
      <c r="AG422" s="6">
        <v>0</v>
      </c>
      <c r="AH422" s="6">
        <v>0</v>
      </c>
      <c r="AI422" s="6" t="s">
        <v>288</v>
      </c>
      <c r="AJ422" s="6" t="s">
        <v>1630</v>
      </c>
      <c r="AK422" s="6" t="s">
        <v>16</v>
      </c>
      <c r="AL422" s="6" t="s">
        <v>51</v>
      </c>
      <c r="AM422" s="6" t="s">
        <v>1591</v>
      </c>
      <c r="AN422" s="6" t="s">
        <v>20</v>
      </c>
      <c r="AO422" s="6" t="s">
        <v>272</v>
      </c>
      <c r="AP422" s="6" t="s">
        <v>260</v>
      </c>
      <c r="AQ422" s="6" t="s">
        <v>24</v>
      </c>
    </row>
    <row r="423" spans="1:43" x14ac:dyDescent="0.25">
      <c r="A423" s="6">
        <v>22905475</v>
      </c>
      <c r="B423" s="6">
        <v>23679416</v>
      </c>
      <c r="C423" s="6" t="s">
        <v>638</v>
      </c>
      <c r="D423" s="14">
        <v>45910.936886574083</v>
      </c>
      <c r="E423" s="14">
        <v>45912.127256944441</v>
      </c>
      <c r="F423" s="6" t="s">
        <v>17</v>
      </c>
      <c r="G423" s="6" t="s">
        <v>17</v>
      </c>
      <c r="H423" s="6" t="s">
        <v>1626</v>
      </c>
      <c r="I423" s="6" t="s">
        <v>16</v>
      </c>
      <c r="J423" s="6" t="s">
        <v>1627</v>
      </c>
      <c r="K423" s="6" t="s">
        <v>1604</v>
      </c>
      <c r="L423" s="6" t="s">
        <v>1628</v>
      </c>
      <c r="M423" s="14">
        <v>45897.34097222222</v>
      </c>
      <c r="N423" s="6" t="s">
        <v>1629</v>
      </c>
      <c r="O423" s="6" t="s">
        <v>91</v>
      </c>
      <c r="P423" s="6" t="s">
        <v>252</v>
      </c>
      <c r="Q423" s="6" t="s">
        <v>253</v>
      </c>
      <c r="R423" s="6" t="s">
        <v>253</v>
      </c>
      <c r="S423" s="6" t="s">
        <v>7</v>
      </c>
      <c r="T423" s="6" t="s">
        <v>254</v>
      </c>
      <c r="U423" s="6" t="s">
        <v>145</v>
      </c>
      <c r="V423" s="6" t="s">
        <v>1140</v>
      </c>
      <c r="W423" s="6" t="s">
        <v>391</v>
      </c>
      <c r="X423" s="6" t="s">
        <v>1599</v>
      </c>
      <c r="Y423" s="6">
        <v>2953012850</v>
      </c>
      <c r="Z423" s="6" t="s">
        <v>74</v>
      </c>
      <c r="AA423" s="6" t="s">
        <v>91</v>
      </c>
      <c r="AB423" s="6">
        <v>0</v>
      </c>
      <c r="AC423" s="6">
        <v>0</v>
      </c>
      <c r="AD423" s="6">
        <v>450</v>
      </c>
      <c r="AE423" s="6">
        <v>0</v>
      </c>
      <c r="AF423" s="6">
        <v>0</v>
      </c>
      <c r="AG423" s="6">
        <v>0</v>
      </c>
      <c r="AH423" s="6">
        <v>0</v>
      </c>
      <c r="AI423" s="6" t="s">
        <v>288</v>
      </c>
      <c r="AJ423" s="6" t="s">
        <v>1630</v>
      </c>
      <c r="AK423" s="6" t="s">
        <v>16</v>
      </c>
      <c r="AL423" s="6" t="s">
        <v>51</v>
      </c>
      <c r="AM423" s="6" t="s">
        <v>1591</v>
      </c>
      <c r="AN423" s="6" t="s">
        <v>20</v>
      </c>
      <c r="AO423" s="6" t="s">
        <v>272</v>
      </c>
      <c r="AP423" s="6" t="s">
        <v>260</v>
      </c>
      <c r="AQ423" s="6" t="s">
        <v>24</v>
      </c>
    </row>
    <row r="424" spans="1:43" x14ac:dyDescent="0.25">
      <c r="A424" s="6">
        <v>22911990</v>
      </c>
      <c r="B424" s="6">
        <v>23685077</v>
      </c>
      <c r="C424" s="6" t="s">
        <v>248</v>
      </c>
      <c r="D424" s="14">
        <v>45911.901354166657</v>
      </c>
      <c r="E424" s="14">
        <v>45911.910173611112</v>
      </c>
      <c r="F424" s="6" t="s">
        <v>17</v>
      </c>
      <c r="G424" s="6" t="s">
        <v>17</v>
      </c>
      <c r="H424" s="6" t="s">
        <v>1631</v>
      </c>
      <c r="I424" s="6" t="s">
        <v>16</v>
      </c>
      <c r="J424" s="6" t="s">
        <v>1632</v>
      </c>
      <c r="K424" s="6" t="s">
        <v>1604</v>
      </c>
      <c r="L424" s="6" t="s">
        <v>495</v>
      </c>
      <c r="M424" s="14">
        <v>45911.548611111109</v>
      </c>
      <c r="N424" s="6" t="s">
        <v>1631</v>
      </c>
      <c r="O424" s="6" t="s">
        <v>91</v>
      </c>
      <c r="P424" s="6" t="s">
        <v>276</v>
      </c>
      <c r="Q424" s="6" t="s">
        <v>1592</v>
      </c>
      <c r="R424" s="6" t="s">
        <v>1593</v>
      </c>
      <c r="S424" s="6" t="s">
        <v>7</v>
      </c>
      <c r="T424" s="6" t="s">
        <v>254</v>
      </c>
      <c r="U424" s="6" t="s">
        <v>143</v>
      </c>
      <c r="V424" s="6" t="s">
        <v>1152</v>
      </c>
      <c r="W424" s="6" t="s">
        <v>91</v>
      </c>
      <c r="X424" s="6" t="s">
        <v>1599</v>
      </c>
      <c r="Y424" s="6">
        <v>2953012913</v>
      </c>
      <c r="Z424" s="6" t="s">
        <v>74</v>
      </c>
      <c r="AA424" s="6" t="s">
        <v>91</v>
      </c>
      <c r="AB424" s="6">
        <v>0</v>
      </c>
      <c r="AC424" s="6">
        <v>62.05</v>
      </c>
      <c r="AD424" s="6">
        <v>450</v>
      </c>
      <c r="AE424" s="6">
        <v>0</v>
      </c>
      <c r="AF424" s="6">
        <v>62.05</v>
      </c>
      <c r="AG424" s="6">
        <v>0</v>
      </c>
      <c r="AH424" s="6">
        <v>0</v>
      </c>
      <c r="AI424" s="6" t="s">
        <v>288</v>
      </c>
      <c r="AJ424" s="6" t="s">
        <v>1611</v>
      </c>
      <c r="AK424" s="6" t="s">
        <v>16</v>
      </c>
      <c r="AL424" s="6" t="s">
        <v>65</v>
      </c>
      <c r="AM424" s="6" t="s">
        <v>394</v>
      </c>
      <c r="AN424" s="6" t="s">
        <v>20</v>
      </c>
      <c r="AO424" s="6" t="s">
        <v>272</v>
      </c>
      <c r="AP424" s="6" t="s">
        <v>260</v>
      </c>
      <c r="AQ424" s="6" t="s">
        <v>24</v>
      </c>
    </row>
    <row r="425" spans="1:43" x14ac:dyDescent="0.25">
      <c r="A425" s="6">
        <v>22911985</v>
      </c>
      <c r="B425" s="6">
        <v>23685072</v>
      </c>
      <c r="C425" s="6" t="s">
        <v>248</v>
      </c>
      <c r="D425" s="14">
        <v>45911.900949074072</v>
      </c>
      <c r="E425" s="14">
        <v>45911.910104166673</v>
      </c>
      <c r="F425" s="6" t="s">
        <v>17</v>
      </c>
      <c r="G425" s="6" t="s">
        <v>17</v>
      </c>
      <c r="H425" s="6" t="s">
        <v>1633</v>
      </c>
      <c r="I425" s="6" t="s">
        <v>16</v>
      </c>
      <c r="J425" s="6" t="s">
        <v>1634</v>
      </c>
      <c r="K425" s="6" t="s">
        <v>1604</v>
      </c>
      <c r="L425" s="6" t="s">
        <v>1635</v>
      </c>
      <c r="M425" s="14">
        <v>45911.669444444437</v>
      </c>
      <c r="N425" s="6" t="s">
        <v>1633</v>
      </c>
      <c r="O425" s="6" t="s">
        <v>91</v>
      </c>
      <c r="P425" s="6" t="s">
        <v>276</v>
      </c>
      <c r="Q425" s="6" t="s">
        <v>1592</v>
      </c>
      <c r="R425" s="6" t="s">
        <v>1593</v>
      </c>
      <c r="S425" s="6" t="s">
        <v>7</v>
      </c>
      <c r="T425" s="6" t="s">
        <v>254</v>
      </c>
      <c r="U425" s="6" t="s">
        <v>187</v>
      </c>
      <c r="V425" s="6" t="s">
        <v>1636</v>
      </c>
      <c r="W425" s="6" t="s">
        <v>91</v>
      </c>
      <c r="X425" s="6" t="s">
        <v>1599</v>
      </c>
      <c r="Y425" s="6">
        <v>2953012927</v>
      </c>
      <c r="Z425" s="6" t="s">
        <v>74</v>
      </c>
      <c r="AA425" s="6" t="s">
        <v>91</v>
      </c>
      <c r="AB425" s="6">
        <v>0</v>
      </c>
      <c r="AC425" s="6">
        <v>10.87</v>
      </c>
      <c r="AD425" s="6">
        <v>450</v>
      </c>
      <c r="AE425" s="6">
        <v>0</v>
      </c>
      <c r="AF425" s="6">
        <v>10.87</v>
      </c>
      <c r="AG425" s="6">
        <v>0</v>
      </c>
      <c r="AH425" s="6">
        <v>0</v>
      </c>
      <c r="AI425" s="6" t="s">
        <v>288</v>
      </c>
      <c r="AJ425" s="6" t="s">
        <v>1611</v>
      </c>
      <c r="AK425" s="6" t="s">
        <v>16</v>
      </c>
      <c r="AL425" s="6" t="s">
        <v>65</v>
      </c>
      <c r="AM425" s="6" t="s">
        <v>394</v>
      </c>
      <c r="AN425" s="6" t="s">
        <v>20</v>
      </c>
      <c r="AO425" s="6" t="s">
        <v>272</v>
      </c>
      <c r="AP425" s="6" t="s">
        <v>260</v>
      </c>
      <c r="AQ425" s="6" t="s">
        <v>24</v>
      </c>
    </row>
    <row r="426" spans="1:43" x14ac:dyDescent="0.25">
      <c r="A426" s="6">
        <v>22912006</v>
      </c>
      <c r="B426" s="6">
        <v>23685096</v>
      </c>
      <c r="C426" s="6" t="s">
        <v>248</v>
      </c>
      <c r="D426" s="14">
        <v>45911.904131944437</v>
      </c>
      <c r="E426" s="14">
        <v>45911.910752314812</v>
      </c>
      <c r="F426" s="6" t="s">
        <v>17</v>
      </c>
      <c r="G426" s="6" t="s">
        <v>17</v>
      </c>
      <c r="H426" s="6" t="s">
        <v>1637</v>
      </c>
      <c r="I426" s="6" t="s">
        <v>16</v>
      </c>
      <c r="J426" s="6" t="s">
        <v>1634</v>
      </c>
      <c r="K426" s="6" t="s">
        <v>1604</v>
      </c>
      <c r="L426" s="6" t="s">
        <v>1635</v>
      </c>
      <c r="M426" s="14">
        <v>45911.67291666667</v>
      </c>
      <c r="N426" s="6" t="s">
        <v>1637</v>
      </c>
      <c r="O426" s="6" t="s">
        <v>91</v>
      </c>
      <c r="P426" s="6" t="s">
        <v>276</v>
      </c>
      <c r="Q426" s="6" t="s">
        <v>1592</v>
      </c>
      <c r="R426" s="6" t="s">
        <v>1593</v>
      </c>
      <c r="S426" s="6" t="s">
        <v>7</v>
      </c>
      <c r="T426" s="6" t="s">
        <v>254</v>
      </c>
      <c r="U426" s="6" t="s">
        <v>187</v>
      </c>
      <c r="V426" s="6" t="s">
        <v>1636</v>
      </c>
      <c r="W426" s="6" t="s">
        <v>91</v>
      </c>
      <c r="X426" s="6" t="s">
        <v>1599</v>
      </c>
      <c r="Y426" s="6">
        <v>2953012928</v>
      </c>
      <c r="Z426" s="6" t="s">
        <v>74</v>
      </c>
      <c r="AA426" s="6" t="s">
        <v>91</v>
      </c>
      <c r="AB426" s="6">
        <v>0</v>
      </c>
      <c r="AC426" s="6">
        <v>0</v>
      </c>
      <c r="AD426" s="6">
        <v>447.75</v>
      </c>
      <c r="AE426" s="6">
        <v>0</v>
      </c>
      <c r="AF426" s="6">
        <v>0</v>
      </c>
      <c r="AG426" s="6">
        <v>0</v>
      </c>
      <c r="AH426" s="6">
        <v>0</v>
      </c>
      <c r="AI426" s="6" t="s">
        <v>288</v>
      </c>
      <c r="AJ426" s="6" t="s">
        <v>1611</v>
      </c>
      <c r="AK426" s="6" t="s">
        <v>16</v>
      </c>
      <c r="AL426" s="6" t="s">
        <v>65</v>
      </c>
      <c r="AM426" s="6" t="s">
        <v>394</v>
      </c>
      <c r="AN426" s="6" t="s">
        <v>20</v>
      </c>
      <c r="AO426" s="6" t="s">
        <v>272</v>
      </c>
      <c r="AP426" s="6" t="s">
        <v>260</v>
      </c>
      <c r="AQ426" s="6" t="s">
        <v>24</v>
      </c>
    </row>
    <row r="427" spans="1:43" x14ac:dyDescent="0.25">
      <c r="A427" s="6">
        <v>22911865</v>
      </c>
      <c r="B427" s="6">
        <v>23684966</v>
      </c>
      <c r="C427" s="6" t="s">
        <v>248</v>
      </c>
      <c r="D427" s="14">
        <v>45911.877962962957</v>
      </c>
      <c r="E427" s="14">
        <v>45911.892141203702</v>
      </c>
      <c r="F427" s="6" t="s">
        <v>17</v>
      </c>
      <c r="G427" s="6" t="s">
        <v>17</v>
      </c>
      <c r="H427" s="6" t="s">
        <v>1638</v>
      </c>
      <c r="I427" s="6" t="s">
        <v>13</v>
      </c>
      <c r="J427" s="6" t="s">
        <v>1639</v>
      </c>
      <c r="K427" s="6" t="s">
        <v>1462</v>
      </c>
      <c r="L427" s="6" t="s">
        <v>1462</v>
      </c>
      <c r="M427" s="14">
        <v>45905.863888888889</v>
      </c>
      <c r="N427" s="6">
        <v>4595965</v>
      </c>
      <c r="O427" s="6" t="s">
        <v>91</v>
      </c>
      <c r="P427" s="6" t="s">
        <v>252</v>
      </c>
      <c r="Q427" s="6" t="s">
        <v>253</v>
      </c>
      <c r="R427" s="6" t="s">
        <v>1463</v>
      </c>
      <c r="S427" s="6" t="s">
        <v>7</v>
      </c>
      <c r="T427" s="6" t="s">
        <v>254</v>
      </c>
      <c r="U427" s="6" t="s">
        <v>189</v>
      </c>
      <c r="V427" s="6" t="s">
        <v>1464</v>
      </c>
      <c r="W427" s="6" t="s">
        <v>91</v>
      </c>
      <c r="X427" s="6" t="s">
        <v>1599</v>
      </c>
      <c r="Y427" s="6">
        <v>2952993405</v>
      </c>
      <c r="Z427" s="6" t="s">
        <v>105</v>
      </c>
      <c r="AA427" s="6" t="s">
        <v>91</v>
      </c>
      <c r="AB427" s="6">
        <v>783.71</v>
      </c>
      <c r="AC427" s="6">
        <v>450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1640</v>
      </c>
      <c r="AJ427" s="6" t="s">
        <v>1483</v>
      </c>
      <c r="AK427" s="6" t="s">
        <v>13</v>
      </c>
      <c r="AL427" s="6" t="s">
        <v>55</v>
      </c>
      <c r="AM427" s="6" t="s">
        <v>1484</v>
      </c>
      <c r="AN427" s="6" t="s">
        <v>26</v>
      </c>
      <c r="AO427" s="6" t="s">
        <v>272</v>
      </c>
      <c r="AP427" s="6" t="s">
        <v>260</v>
      </c>
      <c r="AQ427" s="6" t="s">
        <v>24</v>
      </c>
    </row>
    <row r="428" spans="1:43" x14ac:dyDescent="0.25">
      <c r="A428" s="6">
        <v>22911866</v>
      </c>
      <c r="B428" s="6">
        <v>23684967</v>
      </c>
      <c r="C428" s="6" t="s">
        <v>248</v>
      </c>
      <c r="D428" s="14">
        <v>45911.877962962957</v>
      </c>
      <c r="E428" s="14">
        <v>45911.892152777778</v>
      </c>
      <c r="F428" s="6" t="s">
        <v>17</v>
      </c>
      <c r="G428" s="6" t="s">
        <v>17</v>
      </c>
      <c r="H428" s="6" t="s">
        <v>1641</v>
      </c>
      <c r="I428" s="6" t="s">
        <v>13</v>
      </c>
      <c r="J428" s="6" t="s">
        <v>1642</v>
      </c>
      <c r="K428" s="6" t="s">
        <v>1462</v>
      </c>
      <c r="L428" s="6" t="s">
        <v>1462</v>
      </c>
      <c r="M428" s="14">
        <v>45911.477083333331</v>
      </c>
      <c r="N428" s="6">
        <v>4595965</v>
      </c>
      <c r="O428" s="6" t="s">
        <v>91</v>
      </c>
      <c r="P428" s="6" t="s">
        <v>252</v>
      </c>
      <c r="Q428" s="6" t="s">
        <v>253</v>
      </c>
      <c r="R428" s="6" t="s">
        <v>1463</v>
      </c>
      <c r="S428" s="6" t="s">
        <v>7</v>
      </c>
      <c r="T428" s="6" t="s">
        <v>254</v>
      </c>
      <c r="U428" s="6" t="s">
        <v>189</v>
      </c>
      <c r="V428" s="6" t="s">
        <v>1464</v>
      </c>
      <c r="W428" s="6" t="s">
        <v>91</v>
      </c>
      <c r="X428" s="6" t="s">
        <v>1599</v>
      </c>
      <c r="Y428" s="6">
        <v>2952993404</v>
      </c>
      <c r="Z428" s="6" t="s">
        <v>105</v>
      </c>
      <c r="AA428" s="6" t="s">
        <v>91</v>
      </c>
      <c r="AB428" s="6">
        <v>783.71</v>
      </c>
      <c r="AC428" s="6">
        <v>450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1640</v>
      </c>
      <c r="AJ428" s="6" t="s">
        <v>1483</v>
      </c>
      <c r="AK428" s="6" t="s">
        <v>13</v>
      </c>
      <c r="AL428" s="6" t="s">
        <v>55</v>
      </c>
      <c r="AM428" s="6" t="s">
        <v>1484</v>
      </c>
      <c r="AN428" s="6" t="s">
        <v>26</v>
      </c>
      <c r="AO428" s="6" t="s">
        <v>272</v>
      </c>
      <c r="AP428" s="6" t="s">
        <v>260</v>
      </c>
      <c r="AQ428" s="6" t="s">
        <v>24</v>
      </c>
    </row>
    <row r="429" spans="1:43" x14ac:dyDescent="0.25">
      <c r="A429" s="6">
        <v>22909824</v>
      </c>
      <c r="B429" s="6">
        <v>23683057</v>
      </c>
      <c r="C429" s="6" t="s">
        <v>248</v>
      </c>
      <c r="D429" s="14">
        <v>45911.692314814813</v>
      </c>
      <c r="E429" s="14">
        <v>45911.697696759264</v>
      </c>
      <c r="F429" s="6" t="s">
        <v>17</v>
      </c>
      <c r="G429" s="6" t="s">
        <v>17</v>
      </c>
      <c r="H429" s="6" t="s">
        <v>1643</v>
      </c>
      <c r="I429" s="6" t="s">
        <v>13</v>
      </c>
      <c r="J429" s="6" t="s">
        <v>1469</v>
      </c>
      <c r="K429" s="6" t="s">
        <v>1462</v>
      </c>
      <c r="L429" s="6" t="s">
        <v>1462</v>
      </c>
      <c r="M429" s="14">
        <v>45911.674305555563</v>
      </c>
      <c r="N429" s="6">
        <v>4594695</v>
      </c>
      <c r="O429" s="6" t="s">
        <v>91</v>
      </c>
      <c r="P429" s="6" t="s">
        <v>252</v>
      </c>
      <c r="Q429" s="6" t="s">
        <v>253</v>
      </c>
      <c r="R429" s="6" t="s">
        <v>1463</v>
      </c>
      <c r="S429" s="6" t="s">
        <v>7</v>
      </c>
      <c r="T429" s="6" t="s">
        <v>254</v>
      </c>
      <c r="U429" s="6" t="s">
        <v>189</v>
      </c>
      <c r="V429" s="6" t="s">
        <v>1464</v>
      </c>
      <c r="W429" s="6" t="s">
        <v>91</v>
      </c>
      <c r="X429" s="6" t="s">
        <v>1599</v>
      </c>
      <c r="Y429" s="6">
        <v>2952993399</v>
      </c>
      <c r="Z429" s="6" t="s">
        <v>105</v>
      </c>
      <c r="AA429" s="6" t="s">
        <v>91</v>
      </c>
      <c r="AB429" s="6">
        <v>430.02</v>
      </c>
      <c r="AC429" s="6">
        <v>450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1466</v>
      </c>
      <c r="AJ429" s="6" t="s">
        <v>1483</v>
      </c>
      <c r="AK429" s="6" t="s">
        <v>13</v>
      </c>
      <c r="AL429" s="6" t="s">
        <v>55</v>
      </c>
      <c r="AM429" s="6" t="s">
        <v>1484</v>
      </c>
      <c r="AN429" s="6" t="s">
        <v>26</v>
      </c>
      <c r="AO429" s="6" t="s">
        <v>272</v>
      </c>
      <c r="AP429" s="6" t="s">
        <v>260</v>
      </c>
      <c r="AQ429" s="6" t="s">
        <v>24</v>
      </c>
    </row>
    <row r="430" spans="1:43" x14ac:dyDescent="0.25">
      <c r="A430" s="6">
        <v>22909825</v>
      </c>
      <c r="B430" s="6">
        <v>23683058</v>
      </c>
      <c r="C430" s="6" t="s">
        <v>248</v>
      </c>
      <c r="D430" s="14">
        <v>45911.692349537043</v>
      </c>
      <c r="E430" s="14">
        <v>45911.697708333333</v>
      </c>
      <c r="F430" s="6" t="s">
        <v>17</v>
      </c>
      <c r="G430" s="6" t="s">
        <v>17</v>
      </c>
      <c r="H430" s="6" t="s">
        <v>1644</v>
      </c>
      <c r="I430" s="6" t="s">
        <v>13</v>
      </c>
      <c r="J430" s="6" t="s">
        <v>1461</v>
      </c>
      <c r="K430" s="6" t="s">
        <v>1462</v>
      </c>
      <c r="L430" s="6" t="s">
        <v>1462</v>
      </c>
      <c r="M430" s="14">
        <v>45911.681944444441</v>
      </c>
      <c r="N430" s="6">
        <v>4594695</v>
      </c>
      <c r="O430" s="6" t="s">
        <v>91</v>
      </c>
      <c r="P430" s="6" t="s">
        <v>252</v>
      </c>
      <c r="Q430" s="6" t="s">
        <v>253</v>
      </c>
      <c r="R430" s="6" t="s">
        <v>1463</v>
      </c>
      <c r="S430" s="6" t="s">
        <v>7</v>
      </c>
      <c r="T430" s="6" t="s">
        <v>254</v>
      </c>
      <c r="U430" s="6" t="s">
        <v>189</v>
      </c>
      <c r="V430" s="6" t="s">
        <v>1464</v>
      </c>
      <c r="W430" s="6" t="s">
        <v>91</v>
      </c>
      <c r="X430" s="6" t="s">
        <v>1599</v>
      </c>
      <c r="Y430" s="6">
        <v>2952993400</v>
      </c>
      <c r="Z430" s="6" t="s">
        <v>105</v>
      </c>
      <c r="AA430" s="6" t="s">
        <v>91</v>
      </c>
      <c r="AB430" s="6">
        <v>430.02</v>
      </c>
      <c r="AC430" s="6">
        <v>450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1466</v>
      </c>
      <c r="AJ430" s="6" t="s">
        <v>1483</v>
      </c>
      <c r="AK430" s="6" t="s">
        <v>13</v>
      </c>
      <c r="AL430" s="6" t="s">
        <v>55</v>
      </c>
      <c r="AM430" s="6" t="s">
        <v>1484</v>
      </c>
      <c r="AN430" s="6" t="s">
        <v>26</v>
      </c>
      <c r="AO430" s="6" t="s">
        <v>272</v>
      </c>
      <c r="AP430" s="6" t="s">
        <v>260</v>
      </c>
      <c r="AQ430" s="6" t="s">
        <v>24</v>
      </c>
    </row>
    <row r="431" spans="1:43" x14ac:dyDescent="0.25">
      <c r="A431" s="6">
        <v>22911991</v>
      </c>
      <c r="B431" s="6">
        <v>23685078</v>
      </c>
      <c r="C431" s="6" t="s">
        <v>248</v>
      </c>
      <c r="D431" s="14">
        <v>45911.90148148148</v>
      </c>
      <c r="E431" s="14">
        <v>45911.910208333327</v>
      </c>
      <c r="F431" s="6" t="s">
        <v>17</v>
      </c>
      <c r="G431" s="6" t="s">
        <v>17</v>
      </c>
      <c r="H431" s="6" t="s">
        <v>1645</v>
      </c>
      <c r="I431" s="6" t="s">
        <v>16</v>
      </c>
      <c r="J431" s="6" t="s">
        <v>1646</v>
      </c>
      <c r="K431" s="6" t="s">
        <v>1604</v>
      </c>
      <c r="L431" s="6" t="s">
        <v>1203</v>
      </c>
      <c r="M431" s="14">
        <v>45911.565972222219</v>
      </c>
      <c r="N431" s="6" t="s">
        <v>1645</v>
      </c>
      <c r="O431" s="6" t="s">
        <v>91</v>
      </c>
      <c r="P431" s="6" t="s">
        <v>252</v>
      </c>
      <c r="Q431" s="6" t="s">
        <v>1592</v>
      </c>
      <c r="R431" s="6" t="s">
        <v>1593</v>
      </c>
      <c r="S431" s="6" t="s">
        <v>7</v>
      </c>
      <c r="T431" s="6" t="s">
        <v>254</v>
      </c>
      <c r="U431" s="6" t="s">
        <v>187</v>
      </c>
      <c r="V431" s="6" t="s">
        <v>1209</v>
      </c>
      <c r="W431" s="6" t="s">
        <v>91</v>
      </c>
      <c r="X431" s="6" t="s">
        <v>1599</v>
      </c>
      <c r="Y431" s="6">
        <v>2953012910</v>
      </c>
      <c r="Z431" s="6" t="s">
        <v>74</v>
      </c>
      <c r="AA431" s="6" t="s">
        <v>91</v>
      </c>
      <c r="AB431" s="6">
        <v>0</v>
      </c>
      <c r="AC431" s="6">
        <v>0</v>
      </c>
      <c r="AD431" s="6">
        <v>450</v>
      </c>
      <c r="AE431" s="6">
        <v>0</v>
      </c>
      <c r="AF431" s="6">
        <v>0</v>
      </c>
      <c r="AG431" s="6">
        <v>0</v>
      </c>
      <c r="AH431" s="6">
        <v>0</v>
      </c>
      <c r="AI431" s="6" t="s">
        <v>288</v>
      </c>
      <c r="AJ431" s="6" t="s">
        <v>1611</v>
      </c>
      <c r="AK431" s="6" t="s">
        <v>16</v>
      </c>
      <c r="AL431" s="6" t="s">
        <v>65</v>
      </c>
      <c r="AM431" s="6" t="s">
        <v>394</v>
      </c>
      <c r="AN431" s="6" t="s">
        <v>20</v>
      </c>
      <c r="AO431" s="6" t="s">
        <v>272</v>
      </c>
      <c r="AP431" s="6" t="s">
        <v>260</v>
      </c>
      <c r="AQ431" s="6" t="s">
        <v>24</v>
      </c>
    </row>
    <row r="432" spans="1:43" x14ac:dyDescent="0.25">
      <c r="A432" s="6">
        <v>22905476</v>
      </c>
      <c r="B432" s="6">
        <v>23679417</v>
      </c>
      <c r="C432" s="6" t="s">
        <v>248</v>
      </c>
      <c r="D432" s="14">
        <v>45910.936990740738</v>
      </c>
      <c r="E432" s="14">
        <v>45912.127280092587</v>
      </c>
      <c r="F432" s="6" t="s">
        <v>17</v>
      </c>
      <c r="G432" s="6" t="s">
        <v>17</v>
      </c>
      <c r="H432" s="6" t="s">
        <v>1647</v>
      </c>
      <c r="I432" s="6" t="s">
        <v>16</v>
      </c>
      <c r="J432" s="6" t="s">
        <v>1648</v>
      </c>
      <c r="K432" s="6" t="s">
        <v>1649</v>
      </c>
      <c r="L432" s="6" t="s">
        <v>1650</v>
      </c>
      <c r="M432" s="14">
        <v>45909.697916666657</v>
      </c>
      <c r="N432" s="6" t="s">
        <v>1647</v>
      </c>
      <c r="O432" s="6" t="s">
        <v>91</v>
      </c>
      <c r="P432" s="6" t="s">
        <v>276</v>
      </c>
      <c r="Q432" s="6" t="s">
        <v>253</v>
      </c>
      <c r="R432" s="6" t="s">
        <v>253</v>
      </c>
      <c r="S432" s="6" t="s">
        <v>7</v>
      </c>
      <c r="T432" s="6" t="s">
        <v>254</v>
      </c>
      <c r="U432" s="6" t="s">
        <v>145</v>
      </c>
      <c r="V432" s="6" t="s">
        <v>1651</v>
      </c>
      <c r="W432" s="6" t="s">
        <v>391</v>
      </c>
      <c r="X432" s="6" t="s">
        <v>1599</v>
      </c>
      <c r="Y432" s="6">
        <v>2872789883</v>
      </c>
      <c r="Z432" s="6" t="s">
        <v>96</v>
      </c>
      <c r="AA432" s="6" t="s">
        <v>91</v>
      </c>
      <c r="AB432" s="6">
        <v>4092.56</v>
      </c>
      <c r="AC432" s="6">
        <v>59.54</v>
      </c>
      <c r="AD432" s="6">
        <v>496.07</v>
      </c>
      <c r="AE432" s="6">
        <v>0</v>
      </c>
      <c r="AF432" s="6">
        <v>59.54</v>
      </c>
      <c r="AG432" s="6">
        <v>0</v>
      </c>
      <c r="AH432" s="6">
        <v>0</v>
      </c>
      <c r="AI432" s="6" t="s">
        <v>288</v>
      </c>
      <c r="AJ432" s="6" t="s">
        <v>1652</v>
      </c>
      <c r="AK432" s="6" t="s">
        <v>16</v>
      </c>
      <c r="AL432" s="6" t="s">
        <v>53</v>
      </c>
      <c r="AM432" s="6" t="s">
        <v>67</v>
      </c>
      <c r="AN432" s="6" t="s">
        <v>20</v>
      </c>
      <c r="AO432" s="6" t="s">
        <v>272</v>
      </c>
      <c r="AP432" s="6" t="s">
        <v>260</v>
      </c>
      <c r="AQ432" s="6" t="s">
        <v>24</v>
      </c>
    </row>
    <row r="433" spans="1:43" x14ac:dyDescent="0.25">
      <c r="A433" s="6">
        <v>22911993</v>
      </c>
      <c r="B433" s="6">
        <v>23685080</v>
      </c>
      <c r="C433" s="6" t="s">
        <v>248</v>
      </c>
      <c r="D433" s="14">
        <v>45911.901597222219</v>
      </c>
      <c r="E433" s="14">
        <v>45911.918865740743</v>
      </c>
      <c r="F433" s="6" t="s">
        <v>17</v>
      </c>
      <c r="G433" s="6" t="s">
        <v>17</v>
      </c>
      <c r="H433" s="6" t="s">
        <v>1653</v>
      </c>
      <c r="I433" s="6" t="s">
        <v>16</v>
      </c>
      <c r="J433" s="6" t="s">
        <v>1654</v>
      </c>
      <c r="K433" s="6" t="s">
        <v>1604</v>
      </c>
      <c r="L433" s="6" t="s">
        <v>1655</v>
      </c>
      <c r="M433" s="14">
        <v>45911</v>
      </c>
      <c r="N433" s="6" t="s">
        <v>1653</v>
      </c>
      <c r="O433" s="6" t="s">
        <v>91</v>
      </c>
      <c r="P433" s="6" t="s">
        <v>276</v>
      </c>
      <c r="Q433" s="6" t="s">
        <v>1592</v>
      </c>
      <c r="R433" s="6" t="s">
        <v>1593</v>
      </c>
      <c r="S433" s="6" t="s">
        <v>7</v>
      </c>
      <c r="T433" s="6" t="s">
        <v>254</v>
      </c>
      <c r="U433" s="6" t="s">
        <v>118</v>
      </c>
      <c r="V433" s="6" t="s">
        <v>1214</v>
      </c>
      <c r="W433" s="6" t="s">
        <v>91</v>
      </c>
      <c r="X433" s="6" t="s">
        <v>1599</v>
      </c>
      <c r="Y433" s="6">
        <v>2953012908</v>
      </c>
      <c r="Z433" s="6" t="s">
        <v>58</v>
      </c>
      <c r="AA433" s="6" t="s">
        <v>91</v>
      </c>
      <c r="AB433" s="6">
        <v>0</v>
      </c>
      <c r="AC433" s="6">
        <v>74.09</v>
      </c>
      <c r="AD433" s="6">
        <v>450</v>
      </c>
      <c r="AE433" s="6">
        <v>0</v>
      </c>
      <c r="AF433" s="6">
        <v>74.09</v>
      </c>
      <c r="AG433" s="6">
        <v>0</v>
      </c>
      <c r="AH433" s="6">
        <v>0</v>
      </c>
      <c r="AI433" s="6" t="s">
        <v>288</v>
      </c>
      <c r="AJ433" s="6" t="s">
        <v>482</v>
      </c>
      <c r="AK433" s="6" t="s">
        <v>16</v>
      </c>
      <c r="AL433" s="6" t="s">
        <v>53</v>
      </c>
      <c r="AM433" s="6" t="s">
        <v>67</v>
      </c>
      <c r="AN433" s="6" t="s">
        <v>20</v>
      </c>
      <c r="AO433" s="6" t="s">
        <v>272</v>
      </c>
      <c r="AP433" s="6" t="s">
        <v>260</v>
      </c>
      <c r="AQ433" s="6" t="s">
        <v>24</v>
      </c>
    </row>
    <row r="434" spans="1:43" x14ac:dyDescent="0.25">
      <c r="A434" s="6">
        <v>22891292</v>
      </c>
      <c r="B434" s="6">
        <v>23666852</v>
      </c>
      <c r="C434" s="6" t="s">
        <v>248</v>
      </c>
      <c r="D434" s="14">
        <v>45908.779780092591</v>
      </c>
      <c r="E434" s="14">
        <v>45911.559537037043</v>
      </c>
      <c r="F434" s="6" t="s">
        <v>17</v>
      </c>
      <c r="G434" s="6" t="s">
        <v>19</v>
      </c>
      <c r="H434" s="6" t="s">
        <v>1656</v>
      </c>
      <c r="I434" s="6" t="s">
        <v>337</v>
      </c>
      <c r="J434" s="6" t="s">
        <v>1657</v>
      </c>
      <c r="K434" s="6" t="s">
        <v>1658</v>
      </c>
      <c r="L434" s="6" t="s">
        <v>1658</v>
      </c>
      <c r="M434" s="14">
        <v>45908.724305555559</v>
      </c>
      <c r="N434" s="6">
        <v>42142</v>
      </c>
      <c r="O434" s="6" t="s">
        <v>91</v>
      </c>
      <c r="P434" s="6" t="s">
        <v>252</v>
      </c>
      <c r="Q434" s="6" t="s">
        <v>253</v>
      </c>
      <c r="R434" s="6" t="s">
        <v>1463</v>
      </c>
      <c r="S434" s="6" t="s">
        <v>7</v>
      </c>
      <c r="T434" s="6" t="s">
        <v>254</v>
      </c>
      <c r="U434" s="6" t="s">
        <v>122</v>
      </c>
      <c r="V434" s="6" t="s">
        <v>1659</v>
      </c>
      <c r="W434" s="6" t="s">
        <v>91</v>
      </c>
      <c r="X434" s="6" t="s">
        <v>1599</v>
      </c>
      <c r="Y434" s="6">
        <v>2952971256</v>
      </c>
      <c r="Z434" s="6" t="s">
        <v>64</v>
      </c>
      <c r="AA434" s="6" t="s">
        <v>91</v>
      </c>
      <c r="AB434" s="6">
        <v>52996.57</v>
      </c>
      <c r="AC434" s="6">
        <v>202.36</v>
      </c>
      <c r="AD434" s="6">
        <v>0</v>
      </c>
      <c r="AE434" s="6">
        <v>0</v>
      </c>
      <c r="AF434" s="6">
        <v>0</v>
      </c>
      <c r="AG434" s="6">
        <v>0</v>
      </c>
      <c r="AH434" s="6">
        <v>0</v>
      </c>
      <c r="AI434" s="6" t="s">
        <v>1660</v>
      </c>
      <c r="AJ434" s="6" t="s">
        <v>1661</v>
      </c>
      <c r="AK434" s="6" t="s">
        <v>12</v>
      </c>
      <c r="AL434" s="6" t="s">
        <v>49</v>
      </c>
      <c r="AM434" s="6" t="s">
        <v>1501</v>
      </c>
      <c r="AN434" s="6" t="s">
        <v>26</v>
      </c>
      <c r="AO434" s="6" t="s">
        <v>272</v>
      </c>
      <c r="AP434" s="6" t="s">
        <v>260</v>
      </c>
      <c r="AQ434" s="6" t="s">
        <v>37</v>
      </c>
    </row>
    <row r="435" spans="1:43" x14ac:dyDescent="0.25">
      <c r="A435" s="6">
        <v>22891294</v>
      </c>
      <c r="B435" s="6">
        <v>23666854</v>
      </c>
      <c r="C435" s="6" t="s">
        <v>248</v>
      </c>
      <c r="D435" s="14">
        <v>45908.779814814807</v>
      </c>
      <c r="E435" s="14">
        <v>45911.559548611112</v>
      </c>
      <c r="F435" s="6" t="s">
        <v>17</v>
      </c>
      <c r="G435" s="6" t="s">
        <v>19</v>
      </c>
      <c r="H435" s="6" t="s">
        <v>1662</v>
      </c>
      <c r="I435" s="6" t="s">
        <v>337</v>
      </c>
      <c r="J435" s="6" t="s">
        <v>1663</v>
      </c>
      <c r="K435" s="6" t="s">
        <v>1658</v>
      </c>
      <c r="L435" s="6" t="s">
        <v>1658</v>
      </c>
      <c r="M435" s="14">
        <v>45908.717361111107</v>
      </c>
      <c r="N435" s="6">
        <v>42141</v>
      </c>
      <c r="O435" s="6" t="s">
        <v>91</v>
      </c>
      <c r="P435" s="6" t="s">
        <v>252</v>
      </c>
      <c r="Q435" s="6" t="s">
        <v>253</v>
      </c>
      <c r="R435" s="6" t="s">
        <v>1463</v>
      </c>
      <c r="S435" s="6" t="s">
        <v>7</v>
      </c>
      <c r="T435" s="6" t="s">
        <v>254</v>
      </c>
      <c r="U435" s="6" t="s">
        <v>122</v>
      </c>
      <c r="V435" s="6" t="s">
        <v>1659</v>
      </c>
      <c r="W435" s="6" t="s">
        <v>91</v>
      </c>
      <c r="X435" s="6" t="s">
        <v>1599</v>
      </c>
      <c r="Y435" s="6">
        <v>2952971255</v>
      </c>
      <c r="Z435" s="6" t="s">
        <v>64</v>
      </c>
      <c r="AA435" s="6" t="s">
        <v>91</v>
      </c>
      <c r="AB435" s="6">
        <v>27793.52</v>
      </c>
      <c r="AC435" s="6">
        <v>202.36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1664</v>
      </c>
      <c r="AJ435" s="6" t="s">
        <v>1665</v>
      </c>
      <c r="AK435" s="6" t="s">
        <v>12</v>
      </c>
      <c r="AL435" s="6" t="s">
        <v>49</v>
      </c>
      <c r="AM435" s="6" t="s">
        <v>1501</v>
      </c>
      <c r="AN435" s="6" t="s">
        <v>26</v>
      </c>
      <c r="AO435" s="6" t="s">
        <v>272</v>
      </c>
      <c r="AP435" s="6" t="s">
        <v>260</v>
      </c>
      <c r="AQ435" s="6" t="s">
        <v>37</v>
      </c>
    </row>
    <row r="436" spans="1:43" x14ac:dyDescent="0.25">
      <c r="A436" s="6">
        <v>22911152</v>
      </c>
      <c r="B436" s="6">
        <v>23684328</v>
      </c>
      <c r="C436" s="6" t="s">
        <v>248</v>
      </c>
      <c r="D436" s="14">
        <v>45911.791689814818</v>
      </c>
      <c r="E436" s="14">
        <v>45911.803564814807</v>
      </c>
      <c r="F436" s="6" t="s">
        <v>17</v>
      </c>
      <c r="G436" s="6" t="s">
        <v>17</v>
      </c>
      <c r="H436" s="6" t="s">
        <v>1666</v>
      </c>
      <c r="I436" s="6" t="s">
        <v>337</v>
      </c>
      <c r="J436" s="6" t="s">
        <v>1667</v>
      </c>
      <c r="K436" s="6" t="s">
        <v>1655</v>
      </c>
      <c r="L436" s="6" t="s">
        <v>1655</v>
      </c>
      <c r="M436" s="14">
        <v>45911.726388888892</v>
      </c>
      <c r="N436" s="6">
        <v>2494</v>
      </c>
      <c r="O436" s="6" t="s">
        <v>91</v>
      </c>
      <c r="P436" s="6" t="s">
        <v>252</v>
      </c>
      <c r="Q436" s="6" t="s">
        <v>253</v>
      </c>
      <c r="R436" s="6" t="s">
        <v>253</v>
      </c>
      <c r="S436" s="6" t="s">
        <v>7</v>
      </c>
      <c r="T436" s="6" t="s">
        <v>254</v>
      </c>
      <c r="U436" s="6" t="s">
        <v>200</v>
      </c>
      <c r="V436" s="6" t="s">
        <v>1668</v>
      </c>
      <c r="W436" s="6" t="s">
        <v>91</v>
      </c>
      <c r="X436" s="6" t="s">
        <v>1599</v>
      </c>
      <c r="Y436" s="6">
        <v>2952946618</v>
      </c>
      <c r="Z436" s="6" t="s">
        <v>131</v>
      </c>
      <c r="AA436" s="6" t="s">
        <v>91</v>
      </c>
      <c r="AB436" s="6">
        <v>576.92999999999995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1669</v>
      </c>
      <c r="AJ436" s="6" t="s">
        <v>1670</v>
      </c>
      <c r="AK436" s="6" t="s">
        <v>12</v>
      </c>
      <c r="AL436" s="6" t="s">
        <v>49</v>
      </c>
      <c r="AM436" s="6" t="s">
        <v>1501</v>
      </c>
      <c r="AN436" s="6" t="s">
        <v>26</v>
      </c>
      <c r="AO436" s="6" t="s">
        <v>272</v>
      </c>
      <c r="AP436" s="6" t="s">
        <v>260</v>
      </c>
      <c r="AQ436" s="6" t="s">
        <v>37</v>
      </c>
    </row>
    <row r="437" spans="1:43" x14ac:dyDescent="0.25">
      <c r="A437" s="6">
        <v>22901544</v>
      </c>
      <c r="B437" s="6">
        <v>23675734</v>
      </c>
      <c r="C437" s="6" t="s">
        <v>1671</v>
      </c>
      <c r="D437" s="14">
        <v>45910.508379629631</v>
      </c>
      <c r="E437" s="14">
        <v>45910.528819444437</v>
      </c>
      <c r="F437" s="6" t="s">
        <v>17</v>
      </c>
      <c r="G437" s="6" t="s">
        <v>17</v>
      </c>
      <c r="H437" s="6" t="s">
        <v>1672</v>
      </c>
      <c r="I437" s="6" t="s">
        <v>15</v>
      </c>
      <c r="J437" s="6" t="s">
        <v>1673</v>
      </c>
      <c r="K437" s="6" t="s">
        <v>1674</v>
      </c>
      <c r="L437" s="6" t="s">
        <v>1649</v>
      </c>
      <c r="M437" s="14">
        <v>45909.508333333331</v>
      </c>
      <c r="N437" s="6" t="s">
        <v>1675</v>
      </c>
      <c r="O437" s="6" t="s">
        <v>91</v>
      </c>
      <c r="P437" s="6" t="s">
        <v>252</v>
      </c>
      <c r="Q437" s="6" t="s">
        <v>253</v>
      </c>
      <c r="R437" s="6" t="s">
        <v>1463</v>
      </c>
      <c r="S437" s="6" t="s">
        <v>7</v>
      </c>
      <c r="T437" s="6" t="s">
        <v>254</v>
      </c>
      <c r="U437" s="6" t="s">
        <v>141</v>
      </c>
      <c r="V437" s="6" t="s">
        <v>1325</v>
      </c>
      <c r="W437" s="6" t="s">
        <v>91</v>
      </c>
      <c r="X437" s="6" t="s">
        <v>1599</v>
      </c>
      <c r="Y437" s="6">
        <v>2971323181</v>
      </c>
      <c r="Z437" s="6" t="s">
        <v>82</v>
      </c>
      <c r="AA437" s="6" t="s">
        <v>91</v>
      </c>
      <c r="AB437" s="6">
        <v>2523.92</v>
      </c>
      <c r="AC437" s="6">
        <v>650.87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91</v>
      </c>
      <c r="AJ437" s="6" t="s">
        <v>1676</v>
      </c>
      <c r="AK437" s="6" t="s">
        <v>15</v>
      </c>
      <c r="AL437" s="6" t="s">
        <v>51</v>
      </c>
      <c r="AM437" s="6" t="s">
        <v>1591</v>
      </c>
      <c r="AN437" s="6" t="s">
        <v>20</v>
      </c>
      <c r="AO437" s="6" t="s">
        <v>272</v>
      </c>
      <c r="AP437" s="6" t="s">
        <v>260</v>
      </c>
      <c r="AQ437" s="6" t="s">
        <v>24</v>
      </c>
    </row>
    <row r="438" spans="1:43" x14ac:dyDescent="0.25">
      <c r="A438" s="6">
        <v>22874109</v>
      </c>
      <c r="B438" s="6">
        <v>23652657</v>
      </c>
      <c r="C438" s="6" t="s">
        <v>248</v>
      </c>
      <c r="D438" s="14">
        <v>45905.449282407397</v>
      </c>
      <c r="E438" s="14">
        <v>45905.454363425917</v>
      </c>
      <c r="F438" s="6" t="s">
        <v>21</v>
      </c>
      <c r="G438" s="6" t="s">
        <v>21</v>
      </c>
      <c r="H438" s="6" t="s">
        <v>1677</v>
      </c>
      <c r="I438" s="6" t="s">
        <v>1503</v>
      </c>
      <c r="J438" s="6" t="s">
        <v>1678</v>
      </c>
      <c r="K438" s="6" t="s">
        <v>1505</v>
      </c>
      <c r="L438" s="6" t="s">
        <v>1505</v>
      </c>
      <c r="M438" s="14">
        <v>45905.441666666673</v>
      </c>
      <c r="N438" s="6" t="s">
        <v>91</v>
      </c>
      <c r="O438" s="6" t="s">
        <v>91</v>
      </c>
      <c r="P438" s="6" t="s">
        <v>252</v>
      </c>
      <c r="Q438" s="6" t="s">
        <v>253</v>
      </c>
      <c r="R438" s="6" t="s">
        <v>253</v>
      </c>
      <c r="S438" s="6" t="s">
        <v>7</v>
      </c>
      <c r="T438" s="6" t="s">
        <v>254</v>
      </c>
      <c r="U438" s="6" t="s">
        <v>167</v>
      </c>
      <c r="V438" s="6" t="s">
        <v>1568</v>
      </c>
      <c r="W438" s="6" t="s">
        <v>91</v>
      </c>
      <c r="X438" s="6" t="s">
        <v>1599</v>
      </c>
      <c r="Y438" s="6">
        <v>2249116391</v>
      </c>
      <c r="Z438" s="6" t="s">
        <v>39</v>
      </c>
      <c r="AA438" s="6" t="s">
        <v>91</v>
      </c>
      <c r="AB438" s="6">
        <v>1873.44</v>
      </c>
      <c r="AC438" s="6">
        <v>77.14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1507</v>
      </c>
      <c r="AJ438" s="6" t="s">
        <v>1573</v>
      </c>
      <c r="AK438" s="6" t="s">
        <v>39</v>
      </c>
      <c r="AL438" s="6" t="s">
        <v>59</v>
      </c>
      <c r="AM438" s="6" t="s">
        <v>67</v>
      </c>
      <c r="AN438" s="6" t="s">
        <v>20</v>
      </c>
      <c r="AO438" s="6" t="s">
        <v>272</v>
      </c>
      <c r="AP438" s="6" t="s">
        <v>1510</v>
      </c>
      <c r="AQ438" s="6" t="s">
        <v>89</v>
      </c>
    </row>
    <row r="439" spans="1:43" x14ac:dyDescent="0.25">
      <c r="A439" s="6">
        <v>22874109</v>
      </c>
      <c r="B439" s="6">
        <v>23652659</v>
      </c>
      <c r="C439" s="6" t="s">
        <v>637</v>
      </c>
      <c r="D439" s="14">
        <v>45905.449282407397</v>
      </c>
      <c r="E439" s="14">
        <v>45905.454363425917</v>
      </c>
      <c r="F439" s="6" t="s">
        <v>21</v>
      </c>
      <c r="G439" s="6" t="s">
        <v>21</v>
      </c>
      <c r="H439" s="6" t="s">
        <v>1677</v>
      </c>
      <c r="I439" s="6" t="s">
        <v>1503</v>
      </c>
      <c r="J439" s="6" t="s">
        <v>1679</v>
      </c>
      <c r="K439" s="6" t="s">
        <v>1505</v>
      </c>
      <c r="L439" s="6" t="s">
        <v>1505</v>
      </c>
      <c r="M439" s="14">
        <v>45905.441666666673</v>
      </c>
      <c r="N439" s="6" t="s">
        <v>91</v>
      </c>
      <c r="O439" s="6" t="s">
        <v>91</v>
      </c>
      <c r="P439" s="6" t="s">
        <v>252</v>
      </c>
      <c r="Q439" s="6" t="s">
        <v>253</v>
      </c>
      <c r="R439" s="6" t="s">
        <v>253</v>
      </c>
      <c r="S439" s="6" t="s">
        <v>7</v>
      </c>
      <c r="T439" s="6" t="s">
        <v>254</v>
      </c>
      <c r="U439" s="6" t="s">
        <v>167</v>
      </c>
      <c r="V439" s="6" t="s">
        <v>1568</v>
      </c>
      <c r="W439" s="6" t="s">
        <v>91</v>
      </c>
      <c r="X439" s="6" t="s">
        <v>1599</v>
      </c>
      <c r="Y439" s="6">
        <v>2249116392</v>
      </c>
      <c r="Z439" s="6" t="s">
        <v>39</v>
      </c>
      <c r="AA439" s="6" t="s">
        <v>91</v>
      </c>
      <c r="AB439" s="6">
        <v>1873.44</v>
      </c>
      <c r="AC439" s="6">
        <v>77.14</v>
      </c>
      <c r="AD439" s="6">
        <v>0</v>
      </c>
      <c r="AE439" s="6">
        <v>0</v>
      </c>
      <c r="AF439" s="6">
        <v>0</v>
      </c>
      <c r="AG439" s="6">
        <v>0</v>
      </c>
      <c r="AH439" s="6">
        <v>0</v>
      </c>
      <c r="AI439" s="6" t="s">
        <v>1507</v>
      </c>
      <c r="AJ439" s="6" t="s">
        <v>1573</v>
      </c>
      <c r="AK439" s="6" t="s">
        <v>39</v>
      </c>
      <c r="AL439" s="6" t="s">
        <v>59</v>
      </c>
      <c r="AM439" s="6" t="s">
        <v>67</v>
      </c>
      <c r="AN439" s="6" t="s">
        <v>20</v>
      </c>
      <c r="AO439" s="6" t="s">
        <v>272</v>
      </c>
      <c r="AP439" s="6" t="s">
        <v>1510</v>
      </c>
      <c r="AQ439" s="6" t="s">
        <v>89</v>
      </c>
    </row>
    <row r="440" spans="1:43" x14ac:dyDescent="0.25">
      <c r="A440" s="6">
        <v>22910883</v>
      </c>
      <c r="B440" s="6">
        <v>23684059</v>
      </c>
      <c r="C440" s="6" t="s">
        <v>248</v>
      </c>
      <c r="D440" s="14">
        <v>45911.781157407408</v>
      </c>
      <c r="E440" s="14">
        <v>45911.786412037043</v>
      </c>
      <c r="F440" s="6" t="s">
        <v>17</v>
      </c>
      <c r="G440" s="6" t="s">
        <v>17</v>
      </c>
      <c r="H440" s="6" t="s">
        <v>1680</v>
      </c>
      <c r="I440" s="6" t="s">
        <v>13</v>
      </c>
      <c r="J440" s="6" t="s">
        <v>1681</v>
      </c>
      <c r="K440" s="6" t="s">
        <v>1462</v>
      </c>
      <c r="L440" s="6" t="s">
        <v>1462</v>
      </c>
      <c r="M440" s="14">
        <v>45911.774305555547</v>
      </c>
      <c r="N440" s="6">
        <v>4595976</v>
      </c>
      <c r="O440" s="6" t="s">
        <v>91</v>
      </c>
      <c r="P440" s="6" t="s">
        <v>252</v>
      </c>
      <c r="Q440" s="6" t="s">
        <v>253</v>
      </c>
      <c r="R440" s="6" t="s">
        <v>1463</v>
      </c>
      <c r="S440" s="6" t="s">
        <v>7</v>
      </c>
      <c r="T440" s="6" t="s">
        <v>254</v>
      </c>
      <c r="U440" s="6" t="s">
        <v>149</v>
      </c>
      <c r="V440" s="6" t="s">
        <v>255</v>
      </c>
      <c r="W440" s="6" t="s">
        <v>91</v>
      </c>
      <c r="X440" s="6" t="s">
        <v>1599</v>
      </c>
      <c r="Y440" s="6">
        <v>2250063092</v>
      </c>
      <c r="Z440" s="6" t="s">
        <v>88</v>
      </c>
      <c r="AA440" s="6" t="s">
        <v>91</v>
      </c>
      <c r="AB440" s="6">
        <v>2345</v>
      </c>
      <c r="AC440" s="6">
        <v>450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1682</v>
      </c>
      <c r="AJ440" s="6" t="s">
        <v>1483</v>
      </c>
      <c r="AK440" s="6" t="s">
        <v>13</v>
      </c>
      <c r="AL440" s="6" t="s">
        <v>55</v>
      </c>
      <c r="AM440" s="6" t="s">
        <v>1484</v>
      </c>
      <c r="AN440" s="6" t="s">
        <v>26</v>
      </c>
      <c r="AO440" s="6" t="s">
        <v>272</v>
      </c>
      <c r="AP440" s="6" t="s">
        <v>260</v>
      </c>
      <c r="AQ440" s="6" t="s">
        <v>24</v>
      </c>
    </row>
    <row r="441" spans="1:43" x14ac:dyDescent="0.25">
      <c r="A441" s="6">
        <v>22909949</v>
      </c>
      <c r="B441" s="6">
        <v>23683169</v>
      </c>
      <c r="C441" s="6" t="s">
        <v>248</v>
      </c>
      <c r="D441" s="14">
        <v>45911.705775462957</v>
      </c>
      <c r="E441" s="14">
        <v>45911.705972222233</v>
      </c>
      <c r="F441" s="6" t="s">
        <v>17</v>
      </c>
      <c r="G441" s="6" t="s">
        <v>17</v>
      </c>
      <c r="H441" s="6" t="s">
        <v>1683</v>
      </c>
      <c r="I441" s="6" t="s">
        <v>13</v>
      </c>
      <c r="J441" s="6" t="s">
        <v>1684</v>
      </c>
      <c r="K441" s="6" t="s">
        <v>1462</v>
      </c>
      <c r="L441" s="6" t="s">
        <v>1462</v>
      </c>
      <c r="M441" s="14">
        <v>45911.700694444437</v>
      </c>
      <c r="N441" s="6">
        <v>4595412</v>
      </c>
      <c r="O441" s="6" t="s">
        <v>91</v>
      </c>
      <c r="P441" s="6" t="s">
        <v>252</v>
      </c>
      <c r="Q441" s="6" t="s">
        <v>253</v>
      </c>
      <c r="R441" s="6" t="s">
        <v>253</v>
      </c>
      <c r="S441" s="6" t="s">
        <v>7</v>
      </c>
      <c r="T441" s="6" t="s">
        <v>254</v>
      </c>
      <c r="U441" s="6" t="s">
        <v>176</v>
      </c>
      <c r="V441" s="6" t="s">
        <v>405</v>
      </c>
      <c r="W441" s="6" t="s">
        <v>91</v>
      </c>
      <c r="X441" s="6" t="s">
        <v>1599</v>
      </c>
      <c r="Y441" s="6">
        <v>2250044797</v>
      </c>
      <c r="Z441" s="6" t="s">
        <v>83</v>
      </c>
      <c r="AA441" s="6" t="s">
        <v>91</v>
      </c>
      <c r="AB441" s="6">
        <v>487.61</v>
      </c>
      <c r="AC441" s="6">
        <v>450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1685</v>
      </c>
      <c r="AJ441" s="6" t="s">
        <v>1483</v>
      </c>
      <c r="AK441" s="6" t="s">
        <v>13</v>
      </c>
      <c r="AL441" s="6" t="s">
        <v>55</v>
      </c>
      <c r="AM441" s="6" t="s">
        <v>1484</v>
      </c>
      <c r="AN441" s="6" t="s">
        <v>26</v>
      </c>
      <c r="AO441" s="6" t="s">
        <v>272</v>
      </c>
      <c r="AP441" s="6" t="s">
        <v>260</v>
      </c>
      <c r="AQ441" s="6" t="s">
        <v>24</v>
      </c>
    </row>
    <row r="442" spans="1:43" x14ac:dyDescent="0.25">
      <c r="A442" s="6">
        <v>22911746</v>
      </c>
      <c r="B442" s="6">
        <v>23684876</v>
      </c>
      <c r="C442" s="6" t="s">
        <v>248</v>
      </c>
      <c r="D442" s="14">
        <v>45911.850543981483</v>
      </c>
      <c r="E442" s="14">
        <v>45911.85659722222</v>
      </c>
      <c r="F442" s="6" t="s">
        <v>17</v>
      </c>
      <c r="G442" s="6" t="s">
        <v>17</v>
      </c>
      <c r="H442" s="6" t="s">
        <v>1686</v>
      </c>
      <c r="I442" s="6" t="s">
        <v>13</v>
      </c>
      <c r="J442" s="6" t="s">
        <v>1687</v>
      </c>
      <c r="K442" s="6" t="s">
        <v>1462</v>
      </c>
      <c r="L442" s="6" t="s">
        <v>1462</v>
      </c>
      <c r="M442" s="14">
        <v>45910.747916666667</v>
      </c>
      <c r="N442" s="6">
        <v>4595716</v>
      </c>
      <c r="O442" s="6" t="s">
        <v>91</v>
      </c>
      <c r="P442" s="6" t="s">
        <v>252</v>
      </c>
      <c r="Q442" s="6" t="s">
        <v>253</v>
      </c>
      <c r="R442" s="6" t="s">
        <v>253</v>
      </c>
      <c r="S442" s="6" t="s">
        <v>7</v>
      </c>
      <c r="T442" s="6" t="s">
        <v>254</v>
      </c>
      <c r="U442" s="6" t="s">
        <v>1532</v>
      </c>
      <c r="V442" s="6" t="s">
        <v>1688</v>
      </c>
      <c r="W442" s="6" t="s">
        <v>91</v>
      </c>
      <c r="X442" s="6" t="s">
        <v>1599</v>
      </c>
      <c r="Y442" s="6">
        <v>2952872010</v>
      </c>
      <c r="Z442" s="6" t="s">
        <v>1534</v>
      </c>
      <c r="AA442" s="6" t="s">
        <v>91</v>
      </c>
      <c r="AB442" s="6">
        <v>450</v>
      </c>
      <c r="AC442" s="6">
        <v>0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1689</v>
      </c>
      <c r="AJ442" s="6" t="s">
        <v>1483</v>
      </c>
      <c r="AK442" s="6" t="s">
        <v>13</v>
      </c>
      <c r="AL442" s="6" t="s">
        <v>55</v>
      </c>
      <c r="AM442" s="6" t="s">
        <v>1484</v>
      </c>
      <c r="AN442" s="6" t="s">
        <v>26</v>
      </c>
      <c r="AO442" s="6" t="s">
        <v>272</v>
      </c>
      <c r="AP442" s="6" t="s">
        <v>260</v>
      </c>
      <c r="AQ442" s="6" t="s">
        <v>24</v>
      </c>
    </row>
    <row r="443" spans="1:43" x14ac:dyDescent="0.25">
      <c r="A443" s="6">
        <v>22912004</v>
      </c>
      <c r="B443" s="6">
        <v>23685094</v>
      </c>
      <c r="C443" s="6" t="s">
        <v>248</v>
      </c>
      <c r="D443" s="14">
        <v>45911.903495370367</v>
      </c>
      <c r="E443" s="14">
        <v>45911.988032407397</v>
      </c>
      <c r="F443" s="6" t="s">
        <v>17</v>
      </c>
      <c r="G443" s="6" t="s">
        <v>17</v>
      </c>
      <c r="H443" s="6" t="s">
        <v>1690</v>
      </c>
      <c r="I443" s="6" t="s">
        <v>16</v>
      </c>
      <c r="J443" s="6" t="s">
        <v>1691</v>
      </c>
      <c r="K443" s="6" t="s">
        <v>1649</v>
      </c>
      <c r="L443" s="6" t="s">
        <v>495</v>
      </c>
      <c r="M443" s="14">
        <v>45911</v>
      </c>
      <c r="N443" s="6" t="s">
        <v>1690</v>
      </c>
      <c r="O443" s="6" t="s">
        <v>91</v>
      </c>
      <c r="P443" s="6" t="s">
        <v>276</v>
      </c>
      <c r="Q443" s="6" t="s">
        <v>268</v>
      </c>
      <c r="R443" s="6" t="s">
        <v>269</v>
      </c>
      <c r="S443" s="6" t="s">
        <v>7</v>
      </c>
      <c r="T443" s="6" t="s">
        <v>254</v>
      </c>
      <c r="U443" s="6" t="s">
        <v>119</v>
      </c>
      <c r="V443" s="6" t="s">
        <v>1584</v>
      </c>
      <c r="W443" s="6" t="s">
        <v>391</v>
      </c>
      <c r="X443" s="6" t="s">
        <v>1599</v>
      </c>
      <c r="Y443" s="6">
        <v>2952966443</v>
      </c>
      <c r="Z443" s="6" t="s">
        <v>60</v>
      </c>
      <c r="AA443" s="6" t="s">
        <v>91</v>
      </c>
      <c r="AB443" s="6">
        <v>1155</v>
      </c>
      <c r="AC443" s="6">
        <v>149.19999999999999</v>
      </c>
      <c r="AD443" s="6">
        <v>805.57</v>
      </c>
      <c r="AE443" s="6">
        <v>0</v>
      </c>
      <c r="AF443" s="6">
        <v>149.19999999999999</v>
      </c>
      <c r="AG443" s="6">
        <v>0</v>
      </c>
      <c r="AH443" s="6">
        <v>0</v>
      </c>
      <c r="AI443" s="6" t="s">
        <v>288</v>
      </c>
      <c r="AJ443" s="6" t="s">
        <v>1692</v>
      </c>
      <c r="AK443" s="6" t="s">
        <v>16</v>
      </c>
      <c r="AL443" s="6" t="s">
        <v>49</v>
      </c>
      <c r="AM443" s="6" t="s">
        <v>1501</v>
      </c>
      <c r="AN443" s="6" t="s">
        <v>26</v>
      </c>
      <c r="AO443" s="6" t="s">
        <v>272</v>
      </c>
      <c r="AP443" s="6" t="s">
        <v>260</v>
      </c>
      <c r="AQ443" s="6" t="s">
        <v>24</v>
      </c>
    </row>
    <row r="444" spans="1:43" x14ac:dyDescent="0.25">
      <c r="A444" s="6">
        <v>22911619</v>
      </c>
      <c r="B444" s="6">
        <v>23684774</v>
      </c>
      <c r="C444" s="6" t="s">
        <v>248</v>
      </c>
      <c r="D444" s="14">
        <v>45911.826736111107</v>
      </c>
      <c r="E444" s="14">
        <v>45911.827569444453</v>
      </c>
      <c r="F444" s="6" t="s">
        <v>17</v>
      </c>
      <c r="G444" s="6" t="s">
        <v>17</v>
      </c>
      <c r="H444" s="6" t="s">
        <v>1693</v>
      </c>
      <c r="I444" s="6" t="s">
        <v>1503</v>
      </c>
      <c r="J444" s="6" t="s">
        <v>1694</v>
      </c>
      <c r="K444" s="6" t="s">
        <v>1505</v>
      </c>
      <c r="L444" s="6" t="s">
        <v>1505</v>
      </c>
      <c r="M444" s="14">
        <v>45911.314583333333</v>
      </c>
      <c r="N444" s="6" t="s">
        <v>91</v>
      </c>
      <c r="O444" s="6" t="s">
        <v>91</v>
      </c>
      <c r="P444" s="6" t="s">
        <v>252</v>
      </c>
      <c r="Q444" s="6" t="s">
        <v>253</v>
      </c>
      <c r="R444" s="6" t="s">
        <v>253</v>
      </c>
      <c r="S444" s="6" t="s">
        <v>7</v>
      </c>
      <c r="T444" s="6" t="s">
        <v>254</v>
      </c>
      <c r="U444" s="6" t="s">
        <v>132</v>
      </c>
      <c r="V444" s="6" t="s">
        <v>1522</v>
      </c>
      <c r="W444" s="6" t="s">
        <v>91</v>
      </c>
      <c r="X444" s="6" t="s">
        <v>1599</v>
      </c>
      <c r="Y444" s="6">
        <v>2250076385</v>
      </c>
      <c r="Z444" s="6" t="s">
        <v>39</v>
      </c>
      <c r="AA444" s="6" t="s">
        <v>91</v>
      </c>
      <c r="AB444" s="6">
        <v>823.84</v>
      </c>
      <c r="AC444" s="6">
        <v>120.57</v>
      </c>
      <c r="AD444" s="6">
        <v>0</v>
      </c>
      <c r="AE444" s="6">
        <v>82.38</v>
      </c>
      <c r="AF444" s="6">
        <v>0</v>
      </c>
      <c r="AG444" s="6">
        <v>0</v>
      </c>
      <c r="AH444" s="6">
        <v>36.25</v>
      </c>
      <c r="AI444" s="6" t="s">
        <v>1507</v>
      </c>
      <c r="AJ444" s="6" t="s">
        <v>1508</v>
      </c>
      <c r="AK444" s="6" t="s">
        <v>39</v>
      </c>
      <c r="AL444" s="6" t="s">
        <v>57</v>
      </c>
      <c r="AM444" s="6" t="s">
        <v>1509</v>
      </c>
      <c r="AN444" s="6" t="s">
        <v>43</v>
      </c>
      <c r="AO444" s="6" t="s">
        <v>272</v>
      </c>
      <c r="AP444" s="6" t="s">
        <v>1510</v>
      </c>
      <c r="AQ444" s="6" t="s">
        <v>89</v>
      </c>
    </row>
    <row r="445" spans="1:43" x14ac:dyDescent="0.25">
      <c r="A445" s="6">
        <v>22908935</v>
      </c>
      <c r="B445" s="6">
        <v>23682176</v>
      </c>
      <c r="C445" s="6" t="s">
        <v>248</v>
      </c>
      <c r="D445" s="14">
        <v>45911.570891203701</v>
      </c>
      <c r="E445" s="14">
        <v>45911.571643518517</v>
      </c>
      <c r="F445" s="6" t="s">
        <v>17</v>
      </c>
      <c r="G445" s="6" t="s">
        <v>17</v>
      </c>
      <c r="H445" s="6" t="s">
        <v>1695</v>
      </c>
      <c r="I445" s="6" t="s">
        <v>1503</v>
      </c>
      <c r="J445" s="6" t="s">
        <v>1696</v>
      </c>
      <c r="K445" s="6" t="s">
        <v>1505</v>
      </c>
      <c r="L445" s="6" t="s">
        <v>1505</v>
      </c>
      <c r="M445" s="14">
        <v>45911.069444444453</v>
      </c>
      <c r="N445" s="6" t="s">
        <v>91</v>
      </c>
      <c r="O445" s="6" t="s">
        <v>91</v>
      </c>
      <c r="P445" s="6" t="s">
        <v>252</v>
      </c>
      <c r="Q445" s="6" t="s">
        <v>253</v>
      </c>
      <c r="R445" s="6" t="s">
        <v>253</v>
      </c>
      <c r="S445" s="6" t="s">
        <v>7</v>
      </c>
      <c r="T445" s="6" t="s">
        <v>254</v>
      </c>
      <c r="U445" s="6" t="s">
        <v>132</v>
      </c>
      <c r="V445" s="6" t="s">
        <v>1697</v>
      </c>
      <c r="W445" s="6" t="s">
        <v>91</v>
      </c>
      <c r="X445" s="6" t="s">
        <v>1599</v>
      </c>
      <c r="Y445" s="6">
        <v>2250011889</v>
      </c>
      <c r="Z445" s="6" t="s">
        <v>39</v>
      </c>
      <c r="AA445" s="6" t="s">
        <v>91</v>
      </c>
      <c r="AB445" s="6">
        <v>258</v>
      </c>
      <c r="AC445" s="6">
        <v>450</v>
      </c>
      <c r="AD445" s="6">
        <v>0</v>
      </c>
      <c r="AE445" s="6">
        <v>0</v>
      </c>
      <c r="AF445" s="6">
        <v>0</v>
      </c>
      <c r="AG445" s="6">
        <v>0</v>
      </c>
      <c r="AH445" s="6">
        <v>40</v>
      </c>
      <c r="AI445" s="6" t="s">
        <v>1507</v>
      </c>
      <c r="AJ445" s="6" t="s">
        <v>1508</v>
      </c>
      <c r="AK445" s="6" t="s">
        <v>39</v>
      </c>
      <c r="AL445" s="6" t="s">
        <v>57</v>
      </c>
      <c r="AM445" s="6" t="s">
        <v>1509</v>
      </c>
      <c r="AN445" s="6" t="s">
        <v>43</v>
      </c>
      <c r="AO445" s="6" t="s">
        <v>272</v>
      </c>
      <c r="AP445" s="6" t="s">
        <v>1510</v>
      </c>
      <c r="AQ445" s="6" t="s">
        <v>89</v>
      </c>
    </row>
    <row r="446" spans="1:43" x14ac:dyDescent="0.25">
      <c r="A446" s="6">
        <v>22909200</v>
      </c>
      <c r="B446" s="6">
        <v>23682403</v>
      </c>
      <c r="C446" s="6" t="s">
        <v>248</v>
      </c>
      <c r="D446" s="14">
        <v>45911.617986111109</v>
      </c>
      <c r="E446" s="14">
        <v>45911.61986111111</v>
      </c>
      <c r="F446" s="6" t="s">
        <v>17</v>
      </c>
      <c r="G446" s="6" t="s">
        <v>17</v>
      </c>
      <c r="H446" s="6" t="s">
        <v>1698</v>
      </c>
      <c r="I446" s="6" t="s">
        <v>1503</v>
      </c>
      <c r="J446" s="6" t="s">
        <v>1699</v>
      </c>
      <c r="K446" s="6" t="s">
        <v>1505</v>
      </c>
      <c r="L446" s="6" t="s">
        <v>1505</v>
      </c>
      <c r="M446" s="14">
        <v>45910.445833333331</v>
      </c>
      <c r="N446" s="6" t="s">
        <v>91</v>
      </c>
      <c r="O446" s="6" t="s">
        <v>91</v>
      </c>
      <c r="P446" s="6" t="s">
        <v>252</v>
      </c>
      <c r="Q446" s="6" t="s">
        <v>253</v>
      </c>
      <c r="R446" s="6" t="s">
        <v>253</v>
      </c>
      <c r="S446" s="6" t="s">
        <v>7</v>
      </c>
      <c r="T446" s="6" t="s">
        <v>254</v>
      </c>
      <c r="U446" s="6" t="s">
        <v>132</v>
      </c>
      <c r="V446" s="6" t="s">
        <v>1700</v>
      </c>
      <c r="W446" s="6" t="s">
        <v>91</v>
      </c>
      <c r="X446" s="6" t="s">
        <v>1599</v>
      </c>
      <c r="Y446" s="6">
        <v>2250024175</v>
      </c>
      <c r="Z446" s="6" t="s">
        <v>39</v>
      </c>
      <c r="AA446" s="6" t="s">
        <v>91</v>
      </c>
      <c r="AB446" s="6">
        <v>1894.32</v>
      </c>
      <c r="AC446" s="6">
        <v>33.64</v>
      </c>
      <c r="AD446" s="6">
        <v>0</v>
      </c>
      <c r="AE446" s="6">
        <v>189.43</v>
      </c>
      <c r="AF446" s="6">
        <v>0</v>
      </c>
      <c r="AG446" s="6">
        <v>0</v>
      </c>
      <c r="AH446" s="6">
        <v>250.05</v>
      </c>
      <c r="AI446" s="6" t="s">
        <v>1507</v>
      </c>
      <c r="AJ446" s="6" t="s">
        <v>1701</v>
      </c>
      <c r="AK446" s="6" t="s">
        <v>39</v>
      </c>
      <c r="AL446" s="6" t="s">
        <v>57</v>
      </c>
      <c r="AM446" s="6" t="s">
        <v>1509</v>
      </c>
      <c r="AN446" s="6" t="s">
        <v>43</v>
      </c>
      <c r="AO446" s="6" t="s">
        <v>272</v>
      </c>
      <c r="AP446" s="6" t="s">
        <v>1510</v>
      </c>
      <c r="AQ446" s="6" t="s">
        <v>89</v>
      </c>
    </row>
    <row r="447" spans="1:43" x14ac:dyDescent="0.25">
      <c r="A447" s="6">
        <v>22909200</v>
      </c>
      <c r="B447" s="6">
        <v>23682404</v>
      </c>
      <c r="C447" s="6" t="s">
        <v>637</v>
      </c>
      <c r="D447" s="14">
        <v>45911.617986111109</v>
      </c>
      <c r="E447" s="14">
        <v>45911.61986111111</v>
      </c>
      <c r="F447" s="6" t="s">
        <v>17</v>
      </c>
      <c r="G447" s="6" t="s">
        <v>17</v>
      </c>
      <c r="H447" s="6" t="s">
        <v>1698</v>
      </c>
      <c r="I447" s="6" t="s">
        <v>1503</v>
      </c>
      <c r="J447" s="6" t="s">
        <v>1702</v>
      </c>
      <c r="K447" s="6" t="s">
        <v>1505</v>
      </c>
      <c r="L447" s="6" t="s">
        <v>1505</v>
      </c>
      <c r="M447" s="14">
        <v>45910.445833333331</v>
      </c>
      <c r="N447" s="6" t="s">
        <v>91</v>
      </c>
      <c r="O447" s="6" t="s">
        <v>91</v>
      </c>
      <c r="P447" s="6" t="s">
        <v>252</v>
      </c>
      <c r="Q447" s="6" t="s">
        <v>253</v>
      </c>
      <c r="R447" s="6" t="s">
        <v>253</v>
      </c>
      <c r="S447" s="6" t="s">
        <v>7</v>
      </c>
      <c r="T447" s="6" t="s">
        <v>254</v>
      </c>
      <c r="U447" s="6" t="s">
        <v>132</v>
      </c>
      <c r="V447" s="6" t="s">
        <v>1700</v>
      </c>
      <c r="W447" s="6" t="s">
        <v>91</v>
      </c>
      <c r="X447" s="6" t="s">
        <v>1599</v>
      </c>
      <c r="Y447" s="6">
        <v>2250024176</v>
      </c>
      <c r="Z447" s="6" t="s">
        <v>39</v>
      </c>
      <c r="AA447" s="6" t="s">
        <v>91</v>
      </c>
      <c r="AB447" s="6">
        <v>1894.32</v>
      </c>
      <c r="AC447" s="6">
        <v>33.64</v>
      </c>
      <c r="AD447" s="6">
        <v>0</v>
      </c>
      <c r="AE447" s="6">
        <v>189.43</v>
      </c>
      <c r="AF447" s="6">
        <v>0</v>
      </c>
      <c r="AG447" s="6">
        <v>0</v>
      </c>
      <c r="AH447" s="6">
        <v>0</v>
      </c>
      <c r="AI447" s="6" t="s">
        <v>1507</v>
      </c>
      <c r="AJ447" s="6" t="s">
        <v>1701</v>
      </c>
      <c r="AK447" s="6" t="s">
        <v>39</v>
      </c>
      <c r="AL447" s="6" t="s">
        <v>57</v>
      </c>
      <c r="AM447" s="6" t="s">
        <v>1509</v>
      </c>
      <c r="AN447" s="6" t="s">
        <v>43</v>
      </c>
      <c r="AO447" s="6" t="s">
        <v>272</v>
      </c>
      <c r="AP447" s="6" t="s">
        <v>1510</v>
      </c>
      <c r="AQ447" s="6" t="s">
        <v>89</v>
      </c>
    </row>
    <row r="448" spans="1:43" x14ac:dyDescent="0.25">
      <c r="A448" s="6">
        <v>22911982</v>
      </c>
      <c r="B448" s="6">
        <v>23685068</v>
      </c>
      <c r="C448" s="6" t="s">
        <v>248</v>
      </c>
      <c r="D448" s="14">
        <v>45911.900763888887</v>
      </c>
      <c r="E448" s="14">
        <v>45911.91302083333</v>
      </c>
      <c r="F448" s="6" t="s">
        <v>17</v>
      </c>
      <c r="G448" s="6" t="s">
        <v>17</v>
      </c>
      <c r="H448" s="6" t="s">
        <v>1703</v>
      </c>
      <c r="I448" s="6" t="s">
        <v>16</v>
      </c>
      <c r="J448" s="6" t="s">
        <v>1704</v>
      </c>
      <c r="K448" s="6" t="s">
        <v>1588</v>
      </c>
      <c r="L448" s="6" t="s">
        <v>1705</v>
      </c>
      <c r="M448" s="14">
        <v>45911</v>
      </c>
      <c r="N448" s="6" t="s">
        <v>1703</v>
      </c>
      <c r="O448" s="6" t="s">
        <v>91</v>
      </c>
      <c r="P448" s="6" t="s">
        <v>276</v>
      </c>
      <c r="Q448" s="6" t="s">
        <v>253</v>
      </c>
      <c r="R448" s="6" t="s">
        <v>253</v>
      </c>
      <c r="S448" s="6" t="s">
        <v>7</v>
      </c>
      <c r="T448" s="6" t="s">
        <v>254</v>
      </c>
      <c r="U448" s="6" t="s">
        <v>169</v>
      </c>
      <c r="V448" s="6" t="s">
        <v>574</v>
      </c>
      <c r="W448" s="6" t="s">
        <v>91</v>
      </c>
      <c r="X448" s="6" t="s">
        <v>1599</v>
      </c>
      <c r="Y448" s="6">
        <v>2953004193</v>
      </c>
      <c r="Z448" s="6" t="s">
        <v>99</v>
      </c>
      <c r="AA448" s="6" t="s">
        <v>91</v>
      </c>
      <c r="AB448" s="6">
        <v>2473.42</v>
      </c>
      <c r="AC448" s="6">
        <v>59.54</v>
      </c>
      <c r="AD448" s="6">
        <v>135.30000000000001</v>
      </c>
      <c r="AE448" s="6">
        <v>0</v>
      </c>
      <c r="AF448" s="6">
        <v>59.54</v>
      </c>
      <c r="AG448" s="6">
        <v>0</v>
      </c>
      <c r="AH448" s="6">
        <v>0</v>
      </c>
      <c r="AI448" s="6" t="s">
        <v>288</v>
      </c>
      <c r="AJ448" s="6" t="s">
        <v>1516</v>
      </c>
      <c r="AK448" s="6" t="s">
        <v>16</v>
      </c>
      <c r="AL448" s="6" t="s">
        <v>59</v>
      </c>
      <c r="AM448" s="6" t="s">
        <v>67</v>
      </c>
      <c r="AN448" s="6" t="s">
        <v>20</v>
      </c>
      <c r="AO448" s="6" t="s">
        <v>272</v>
      </c>
      <c r="AP448" s="6" t="s">
        <v>260</v>
      </c>
      <c r="AQ448" s="6" t="s">
        <v>24</v>
      </c>
    </row>
    <row r="449" spans="1:43" x14ac:dyDescent="0.25">
      <c r="A449" s="6">
        <v>22911996</v>
      </c>
      <c r="B449" s="6">
        <v>23685084</v>
      </c>
      <c r="C449" s="6" t="s">
        <v>248</v>
      </c>
      <c r="D449" s="14">
        <v>45911.901921296303</v>
      </c>
      <c r="E449" s="14">
        <v>45911.910254629627</v>
      </c>
      <c r="F449" s="6" t="s">
        <v>17</v>
      </c>
      <c r="G449" s="6" t="s">
        <v>17</v>
      </c>
      <c r="H449" s="6" t="s">
        <v>1706</v>
      </c>
      <c r="I449" s="6" t="s">
        <v>16</v>
      </c>
      <c r="J449" s="6" t="s">
        <v>1707</v>
      </c>
      <c r="K449" s="6" t="s">
        <v>1604</v>
      </c>
      <c r="L449" s="6" t="s">
        <v>369</v>
      </c>
      <c r="M449" s="14">
        <v>45911.30972222222</v>
      </c>
      <c r="N449" s="6" t="s">
        <v>1706</v>
      </c>
      <c r="O449" s="6" t="s">
        <v>91</v>
      </c>
      <c r="P449" s="6" t="s">
        <v>276</v>
      </c>
      <c r="Q449" s="6" t="s">
        <v>1592</v>
      </c>
      <c r="R449" s="6" t="s">
        <v>1593</v>
      </c>
      <c r="S449" s="6" t="s">
        <v>7</v>
      </c>
      <c r="T449" s="6" t="s">
        <v>254</v>
      </c>
      <c r="U449" s="6" t="s">
        <v>134</v>
      </c>
      <c r="V449" s="6" t="s">
        <v>524</v>
      </c>
      <c r="W449" s="6" t="s">
        <v>391</v>
      </c>
      <c r="X449" s="6" t="s">
        <v>1599</v>
      </c>
      <c r="Y449" s="6">
        <v>2953012901</v>
      </c>
      <c r="Z449" s="6" t="s">
        <v>76</v>
      </c>
      <c r="AA449" s="6" t="s">
        <v>91</v>
      </c>
      <c r="AB449" s="6">
        <v>0</v>
      </c>
      <c r="AC449" s="6">
        <v>0</v>
      </c>
      <c r="AD449" s="6">
        <v>450</v>
      </c>
      <c r="AE449" s="6">
        <v>0</v>
      </c>
      <c r="AF449" s="6">
        <v>0</v>
      </c>
      <c r="AG449" s="6">
        <v>0</v>
      </c>
      <c r="AH449" s="6">
        <v>0</v>
      </c>
      <c r="AI449" s="6" t="s">
        <v>288</v>
      </c>
      <c r="AJ449" s="6" t="s">
        <v>393</v>
      </c>
      <c r="AK449" s="6" t="s">
        <v>16</v>
      </c>
      <c r="AL449" s="6" t="s">
        <v>61</v>
      </c>
      <c r="AM449" s="6" t="s">
        <v>394</v>
      </c>
      <c r="AN449" s="6" t="s">
        <v>20</v>
      </c>
      <c r="AO449" s="6" t="s">
        <v>272</v>
      </c>
      <c r="AP449" s="6" t="s">
        <v>260</v>
      </c>
      <c r="AQ449" s="6" t="s">
        <v>24</v>
      </c>
    </row>
    <row r="450" spans="1:43" x14ac:dyDescent="0.25">
      <c r="A450" s="6">
        <v>22905480</v>
      </c>
      <c r="B450" s="6">
        <v>23679421</v>
      </c>
      <c r="C450" s="6" t="s">
        <v>248</v>
      </c>
      <c r="D450" s="14">
        <v>45910.937523148154</v>
      </c>
      <c r="E450" s="14">
        <v>45911.57271990741</v>
      </c>
      <c r="F450" s="6" t="s">
        <v>17</v>
      </c>
      <c r="G450" s="6" t="s">
        <v>17</v>
      </c>
      <c r="H450" s="6" t="s">
        <v>1708</v>
      </c>
      <c r="I450" s="6" t="s">
        <v>16</v>
      </c>
      <c r="J450" s="6" t="s">
        <v>1709</v>
      </c>
      <c r="K450" s="6" t="s">
        <v>1604</v>
      </c>
      <c r="L450" s="6" t="s">
        <v>369</v>
      </c>
      <c r="M450" s="14">
        <v>45905.594444444447</v>
      </c>
      <c r="N450" s="6" t="s">
        <v>1708</v>
      </c>
      <c r="O450" s="6" t="s">
        <v>91</v>
      </c>
      <c r="P450" s="6" t="s">
        <v>276</v>
      </c>
      <c r="Q450" s="6" t="s">
        <v>1592</v>
      </c>
      <c r="R450" s="6" t="s">
        <v>1593</v>
      </c>
      <c r="S450" s="6" t="s">
        <v>7</v>
      </c>
      <c r="T450" s="6" t="s">
        <v>254</v>
      </c>
      <c r="U450" s="6" t="s">
        <v>134</v>
      </c>
      <c r="V450" s="6" t="s">
        <v>524</v>
      </c>
      <c r="W450" s="6" t="s">
        <v>391</v>
      </c>
      <c r="X450" s="6" t="s">
        <v>1599</v>
      </c>
      <c r="Y450" s="6">
        <v>2952994552</v>
      </c>
      <c r="Z450" s="6" t="s">
        <v>76</v>
      </c>
      <c r="AA450" s="6" t="s">
        <v>91</v>
      </c>
      <c r="AB450" s="6">
        <v>0</v>
      </c>
      <c r="AC450" s="6">
        <v>0</v>
      </c>
      <c r="AD450" s="6">
        <v>450</v>
      </c>
      <c r="AE450" s="6">
        <v>0</v>
      </c>
      <c r="AF450" s="6">
        <v>0</v>
      </c>
      <c r="AG450" s="6">
        <v>0</v>
      </c>
      <c r="AH450" s="6">
        <v>0</v>
      </c>
      <c r="AI450" s="6" t="s">
        <v>288</v>
      </c>
      <c r="AJ450" s="6" t="s">
        <v>393</v>
      </c>
      <c r="AK450" s="6" t="s">
        <v>16</v>
      </c>
      <c r="AL450" s="6" t="s">
        <v>61</v>
      </c>
      <c r="AM450" s="6" t="s">
        <v>394</v>
      </c>
      <c r="AN450" s="6" t="s">
        <v>20</v>
      </c>
      <c r="AO450" s="6" t="s">
        <v>272</v>
      </c>
      <c r="AP450" s="6" t="s">
        <v>260</v>
      </c>
      <c r="AQ450" s="6" t="s">
        <v>24</v>
      </c>
    </row>
    <row r="451" spans="1:43" x14ac:dyDescent="0.25">
      <c r="A451" s="6">
        <v>22910216</v>
      </c>
      <c r="B451" s="6">
        <v>23683432</v>
      </c>
      <c r="C451" s="6" t="s">
        <v>1671</v>
      </c>
      <c r="D451" s="14">
        <v>45911.743321759262</v>
      </c>
      <c r="E451" s="14">
        <v>45912.212361111109</v>
      </c>
      <c r="F451" s="6" t="s">
        <v>17</v>
      </c>
      <c r="G451" s="6" t="s">
        <v>17</v>
      </c>
      <c r="H451" s="6" t="s">
        <v>1710</v>
      </c>
      <c r="I451" s="6" t="s">
        <v>15</v>
      </c>
      <c r="J451" s="6" t="s">
        <v>1711</v>
      </c>
      <c r="K451" s="6" t="s">
        <v>374</v>
      </c>
      <c r="L451" s="6" t="s">
        <v>1649</v>
      </c>
      <c r="M451" s="14">
        <v>45910.743055555547</v>
      </c>
      <c r="N451" s="6" t="s">
        <v>1712</v>
      </c>
      <c r="O451" s="6" t="s">
        <v>91</v>
      </c>
      <c r="P451" s="6" t="s">
        <v>252</v>
      </c>
      <c r="Q451" s="6" t="s">
        <v>268</v>
      </c>
      <c r="R451" s="6" t="s">
        <v>1713</v>
      </c>
      <c r="S451" s="6" t="s">
        <v>7</v>
      </c>
      <c r="T451" s="6" t="s">
        <v>254</v>
      </c>
      <c r="U451" s="6" t="s">
        <v>134</v>
      </c>
      <c r="V451" s="6" t="s">
        <v>524</v>
      </c>
      <c r="W451" s="6" t="s">
        <v>391</v>
      </c>
      <c r="X451" s="6" t="s">
        <v>1599</v>
      </c>
      <c r="Y451" s="6">
        <v>2953010992</v>
      </c>
      <c r="Z451" s="6" t="s">
        <v>76</v>
      </c>
      <c r="AA451" s="6" t="s">
        <v>91</v>
      </c>
      <c r="AB451" s="6">
        <v>22769.62</v>
      </c>
      <c r="AC451" s="6">
        <v>460.13</v>
      </c>
      <c r="AD451" s="6">
        <v>0</v>
      </c>
      <c r="AE451" s="6">
        <v>0</v>
      </c>
      <c r="AF451" s="6">
        <v>0</v>
      </c>
      <c r="AG451" s="6">
        <v>0</v>
      </c>
      <c r="AH451" s="6">
        <v>13</v>
      </c>
      <c r="AI451" s="6" t="s">
        <v>91</v>
      </c>
      <c r="AJ451" s="6" t="s">
        <v>1714</v>
      </c>
      <c r="AK451" s="6" t="s">
        <v>15</v>
      </c>
      <c r="AL451" s="6" t="s">
        <v>51</v>
      </c>
      <c r="AM451" s="6" t="s">
        <v>1591</v>
      </c>
      <c r="AN451" s="6" t="s">
        <v>20</v>
      </c>
      <c r="AO451" s="6" t="s">
        <v>272</v>
      </c>
      <c r="AP451" s="6" t="s">
        <v>260</v>
      </c>
      <c r="AQ451" s="6" t="s">
        <v>24</v>
      </c>
    </row>
    <row r="452" spans="1:43" x14ac:dyDescent="0.25">
      <c r="A452" s="6">
        <v>22850692</v>
      </c>
      <c r="B452" s="6">
        <v>23632156</v>
      </c>
      <c r="C452" s="6" t="s">
        <v>248</v>
      </c>
      <c r="D452" s="14">
        <v>45901.872499999998</v>
      </c>
      <c r="E452" s="14">
        <v>45911.561122685183</v>
      </c>
      <c r="F452" s="6" t="s">
        <v>17</v>
      </c>
      <c r="G452" s="6" t="s">
        <v>23</v>
      </c>
      <c r="H452" s="6" t="s">
        <v>1715</v>
      </c>
      <c r="I452" s="6" t="s">
        <v>16</v>
      </c>
      <c r="J452" s="6" t="s">
        <v>1716</v>
      </c>
      <c r="K452" s="6" t="s">
        <v>1628</v>
      </c>
      <c r="L452" s="6" t="s">
        <v>1649</v>
      </c>
      <c r="M452" s="14">
        <v>45901.344444444447</v>
      </c>
      <c r="N452" s="6" t="s">
        <v>1715</v>
      </c>
      <c r="O452" s="6" t="s">
        <v>91</v>
      </c>
      <c r="P452" s="6" t="s">
        <v>252</v>
      </c>
      <c r="Q452" s="6" t="s">
        <v>253</v>
      </c>
      <c r="R452" s="6" t="s">
        <v>253</v>
      </c>
      <c r="S452" s="6" t="s">
        <v>7</v>
      </c>
      <c r="T452" s="6" t="s">
        <v>254</v>
      </c>
      <c r="U452" s="6" t="s">
        <v>134</v>
      </c>
      <c r="V452" s="6" t="s">
        <v>524</v>
      </c>
      <c r="W452" s="6" t="s">
        <v>391</v>
      </c>
      <c r="X452" s="6" t="s">
        <v>1599</v>
      </c>
      <c r="Y452" s="6">
        <v>2971612638</v>
      </c>
      <c r="Z452" s="6" t="s">
        <v>76</v>
      </c>
      <c r="AA452" s="6" t="s">
        <v>91</v>
      </c>
      <c r="AB452" s="6">
        <v>2349.63</v>
      </c>
      <c r="AC452" s="6">
        <v>195.2</v>
      </c>
      <c r="AD452" s="6">
        <v>0</v>
      </c>
      <c r="AE452" s="6">
        <v>0</v>
      </c>
      <c r="AF452" s="6">
        <v>0</v>
      </c>
      <c r="AG452" s="6">
        <v>0</v>
      </c>
      <c r="AH452" s="6">
        <v>55</v>
      </c>
      <c r="AI452" s="6" t="s">
        <v>288</v>
      </c>
      <c r="AJ452" s="6" t="s">
        <v>1717</v>
      </c>
      <c r="AK452" s="6" t="s">
        <v>16</v>
      </c>
      <c r="AL452" s="6" t="s">
        <v>73</v>
      </c>
      <c r="AM452" s="6" t="s">
        <v>1718</v>
      </c>
      <c r="AN452" s="6" t="s">
        <v>27</v>
      </c>
      <c r="AO452" s="6" t="s">
        <v>272</v>
      </c>
      <c r="AP452" s="6" t="s">
        <v>260</v>
      </c>
      <c r="AQ452" s="6" t="s">
        <v>24</v>
      </c>
    </row>
    <row r="453" spans="1:43" x14ac:dyDescent="0.25">
      <c r="A453" s="6">
        <v>22896205</v>
      </c>
      <c r="B453" s="6">
        <v>23671159</v>
      </c>
      <c r="C453" s="6" t="s">
        <v>1671</v>
      </c>
      <c r="D453" s="14">
        <v>45909.638229166667</v>
      </c>
      <c r="E453" s="14">
        <v>45910.204305555562</v>
      </c>
      <c r="F453" s="6" t="s">
        <v>17</v>
      </c>
      <c r="G453" s="6" t="s">
        <v>19</v>
      </c>
      <c r="H453" s="6" t="s">
        <v>1719</v>
      </c>
      <c r="I453" s="6" t="s">
        <v>15</v>
      </c>
      <c r="J453" s="6" t="s">
        <v>1720</v>
      </c>
      <c r="K453" s="6" t="s">
        <v>1721</v>
      </c>
      <c r="L453" s="6" t="s">
        <v>1604</v>
      </c>
      <c r="M453" s="14">
        <v>45908.638194444437</v>
      </c>
      <c r="N453" s="6" t="s">
        <v>1722</v>
      </c>
      <c r="O453" s="6" t="s">
        <v>91</v>
      </c>
      <c r="P453" s="6" t="s">
        <v>252</v>
      </c>
      <c r="Q453" s="6" t="s">
        <v>268</v>
      </c>
      <c r="R453" s="6" t="s">
        <v>1713</v>
      </c>
      <c r="S453" s="6" t="s">
        <v>7</v>
      </c>
      <c r="T453" s="6" t="s">
        <v>254</v>
      </c>
      <c r="U453" s="6" t="s">
        <v>130</v>
      </c>
      <c r="V453" s="6" t="s">
        <v>504</v>
      </c>
      <c r="W453" s="6" t="s">
        <v>391</v>
      </c>
      <c r="X453" s="6" t="s">
        <v>1599</v>
      </c>
      <c r="Y453" s="6">
        <v>2952994610</v>
      </c>
      <c r="Z453" s="6" t="s">
        <v>54</v>
      </c>
      <c r="AA453" s="6" t="s">
        <v>91</v>
      </c>
      <c r="AB453" s="6">
        <v>514.88</v>
      </c>
      <c r="AC453" s="6">
        <v>116.64</v>
      </c>
      <c r="AD453" s="6">
        <v>0</v>
      </c>
      <c r="AE453" s="6">
        <v>0</v>
      </c>
      <c r="AF453" s="6">
        <v>0</v>
      </c>
      <c r="AG453" s="6">
        <v>0</v>
      </c>
      <c r="AH453" s="6">
        <v>42</v>
      </c>
      <c r="AI453" s="6" t="s">
        <v>91</v>
      </c>
      <c r="AJ453" s="6" t="s">
        <v>1723</v>
      </c>
      <c r="AK453" s="6" t="s">
        <v>15</v>
      </c>
      <c r="AL453" s="6" t="s">
        <v>51</v>
      </c>
      <c r="AM453" s="6" t="s">
        <v>1591</v>
      </c>
      <c r="AN453" s="6" t="s">
        <v>20</v>
      </c>
      <c r="AO453" s="6" t="s">
        <v>272</v>
      </c>
      <c r="AP453" s="6" t="s">
        <v>260</v>
      </c>
      <c r="AQ453" s="6" t="s">
        <v>24</v>
      </c>
    </row>
    <row r="454" spans="1:43" x14ac:dyDescent="0.25">
      <c r="A454" s="6">
        <v>22889110</v>
      </c>
      <c r="B454" s="6">
        <v>23664603</v>
      </c>
      <c r="C454" s="6" t="s">
        <v>248</v>
      </c>
      <c r="D454" s="14">
        <v>45908.547094907408</v>
      </c>
      <c r="E454" s="14">
        <v>45911.561203703714</v>
      </c>
      <c r="F454" s="6" t="s">
        <v>17</v>
      </c>
      <c r="G454" s="6" t="s">
        <v>19</v>
      </c>
      <c r="H454" s="6" t="s">
        <v>1724</v>
      </c>
      <c r="I454" s="6" t="s">
        <v>16</v>
      </c>
      <c r="J454" s="6" t="s">
        <v>1725</v>
      </c>
      <c r="K454" s="6" t="s">
        <v>1588</v>
      </c>
      <c r="L454" s="6" t="s">
        <v>369</v>
      </c>
      <c r="M454" s="14">
        <v>45902.239583333343</v>
      </c>
      <c r="N454" s="6" t="s">
        <v>1724</v>
      </c>
      <c r="O454" s="6" t="s">
        <v>91</v>
      </c>
      <c r="P454" s="6" t="s">
        <v>276</v>
      </c>
      <c r="Q454" s="6" t="s">
        <v>1592</v>
      </c>
      <c r="R454" s="6" t="s">
        <v>1593</v>
      </c>
      <c r="S454" s="6" t="s">
        <v>7</v>
      </c>
      <c r="T454" s="6" t="s">
        <v>254</v>
      </c>
      <c r="U454" s="6" t="s">
        <v>130</v>
      </c>
      <c r="V454" s="6" t="s">
        <v>1726</v>
      </c>
      <c r="W454" s="6" t="s">
        <v>391</v>
      </c>
      <c r="X454" s="6" t="s">
        <v>1599</v>
      </c>
      <c r="Y454" s="6">
        <v>2952950883</v>
      </c>
      <c r="Z454" s="6" t="s">
        <v>54</v>
      </c>
      <c r="AA454" s="6" t="s">
        <v>91</v>
      </c>
      <c r="AB454" s="6">
        <v>0</v>
      </c>
      <c r="AC454" s="6">
        <v>0</v>
      </c>
      <c r="AD454" s="6">
        <v>801.61</v>
      </c>
      <c r="AE454" s="6">
        <v>0</v>
      </c>
      <c r="AF454" s="6">
        <v>0</v>
      </c>
      <c r="AG454" s="6">
        <v>0</v>
      </c>
      <c r="AH454" s="6">
        <v>0</v>
      </c>
      <c r="AI454" s="6" t="s">
        <v>288</v>
      </c>
      <c r="AJ454" s="6" t="s">
        <v>393</v>
      </c>
      <c r="AK454" s="6" t="s">
        <v>16</v>
      </c>
      <c r="AL454" s="6" t="s">
        <v>61</v>
      </c>
      <c r="AM454" s="6" t="s">
        <v>394</v>
      </c>
      <c r="AN454" s="6" t="s">
        <v>20</v>
      </c>
      <c r="AO454" s="6" t="s">
        <v>272</v>
      </c>
      <c r="AP454" s="6" t="s">
        <v>260</v>
      </c>
      <c r="AQ454" s="6" t="s">
        <v>24</v>
      </c>
    </row>
    <row r="455" spans="1:43" x14ac:dyDescent="0.25">
      <c r="A455" s="6">
        <v>22909804</v>
      </c>
      <c r="B455" s="6">
        <v>23683039</v>
      </c>
      <c r="C455" s="6" t="s">
        <v>248</v>
      </c>
      <c r="D455" s="14">
        <v>45911.69021990741</v>
      </c>
      <c r="E455" s="14">
        <v>45911.692233796297</v>
      </c>
      <c r="F455" s="6" t="s">
        <v>17</v>
      </c>
      <c r="G455" s="6" t="s">
        <v>17</v>
      </c>
      <c r="H455" s="6" t="s">
        <v>1727</v>
      </c>
      <c r="I455" s="6" t="s">
        <v>1503</v>
      </c>
      <c r="J455" s="6" t="s">
        <v>1728</v>
      </c>
      <c r="K455" s="6" t="s">
        <v>1505</v>
      </c>
      <c r="L455" s="6" t="s">
        <v>1505</v>
      </c>
      <c r="M455" s="14">
        <v>45911.427777777782</v>
      </c>
      <c r="N455" s="6" t="s">
        <v>91</v>
      </c>
      <c r="O455" s="6" t="s">
        <v>91</v>
      </c>
      <c r="P455" s="6" t="s">
        <v>252</v>
      </c>
      <c r="Q455" s="6" t="s">
        <v>253</v>
      </c>
      <c r="R455" s="6" t="s">
        <v>253</v>
      </c>
      <c r="S455" s="6" t="s">
        <v>7</v>
      </c>
      <c r="T455" s="6" t="s">
        <v>254</v>
      </c>
      <c r="U455" s="6" t="s">
        <v>1729</v>
      </c>
      <c r="V455" s="6" t="s">
        <v>1730</v>
      </c>
      <c r="W455" s="6" t="s">
        <v>91</v>
      </c>
      <c r="X455" s="6" t="s">
        <v>1599</v>
      </c>
      <c r="Y455" s="6">
        <v>2250042719</v>
      </c>
      <c r="Z455" s="6" t="s">
        <v>39</v>
      </c>
      <c r="AA455" s="6" t="s">
        <v>91</v>
      </c>
      <c r="AB455" s="6">
        <v>1405.44</v>
      </c>
      <c r="AC455" s="6">
        <v>74.599999999999994</v>
      </c>
      <c r="AD455" s="6">
        <v>0</v>
      </c>
      <c r="AE455" s="6">
        <v>140.54</v>
      </c>
      <c r="AF455" s="6">
        <v>0</v>
      </c>
      <c r="AG455" s="6">
        <v>0</v>
      </c>
      <c r="AH455" s="6">
        <v>92.76</v>
      </c>
      <c r="AI455" s="6" t="s">
        <v>1507</v>
      </c>
      <c r="AJ455" s="6" t="s">
        <v>1508</v>
      </c>
      <c r="AK455" s="6" t="s">
        <v>39</v>
      </c>
      <c r="AL455" s="6" t="s">
        <v>57</v>
      </c>
      <c r="AM455" s="6" t="s">
        <v>1509</v>
      </c>
      <c r="AN455" s="6" t="s">
        <v>43</v>
      </c>
      <c r="AO455" s="6" t="s">
        <v>272</v>
      </c>
      <c r="AP455" s="6" t="s">
        <v>1510</v>
      </c>
      <c r="AQ455" s="6" t="s">
        <v>89</v>
      </c>
    </row>
    <row r="456" spans="1:43" x14ac:dyDescent="0.25">
      <c r="A456" s="6">
        <v>22910122</v>
      </c>
      <c r="B456" s="6">
        <v>23683328</v>
      </c>
      <c r="C456" s="6" t="s">
        <v>248</v>
      </c>
      <c r="D456" s="14">
        <v>45911.733414351853</v>
      </c>
      <c r="E456" s="14">
        <v>45911.747291666667</v>
      </c>
      <c r="F456" s="6" t="s">
        <v>17</v>
      </c>
      <c r="G456" s="6" t="s">
        <v>17</v>
      </c>
      <c r="H456" s="6" t="s">
        <v>1731</v>
      </c>
      <c r="I456" s="6" t="s">
        <v>13</v>
      </c>
      <c r="J456" s="6" t="s">
        <v>1732</v>
      </c>
      <c r="K456" s="6" t="s">
        <v>1733</v>
      </c>
      <c r="L456" s="6" t="s">
        <v>1733</v>
      </c>
      <c r="M456" s="14">
        <v>45910.635416666657</v>
      </c>
      <c r="N456" s="6">
        <v>4594986</v>
      </c>
      <c r="O456" s="6" t="s">
        <v>91</v>
      </c>
      <c r="P456" s="6" t="s">
        <v>252</v>
      </c>
      <c r="Q456" s="6" t="s">
        <v>253</v>
      </c>
      <c r="R456" s="6" t="s">
        <v>1463</v>
      </c>
      <c r="S456" s="6" t="s">
        <v>7</v>
      </c>
      <c r="T456" s="6" t="s">
        <v>254</v>
      </c>
      <c r="U456" s="6" t="s">
        <v>194</v>
      </c>
      <c r="V456" s="6" t="s">
        <v>1734</v>
      </c>
      <c r="W456" s="6" t="s">
        <v>91</v>
      </c>
      <c r="X456" s="6" t="s">
        <v>1599</v>
      </c>
      <c r="Y456" s="6">
        <v>2953005171</v>
      </c>
      <c r="Z456" s="6" t="s">
        <v>1735</v>
      </c>
      <c r="AA456" s="6" t="s">
        <v>91</v>
      </c>
      <c r="AB456" s="6">
        <v>5145.5544</v>
      </c>
      <c r="AC456" s="6">
        <v>858.79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1736</v>
      </c>
      <c r="AJ456" s="6" t="s">
        <v>1737</v>
      </c>
      <c r="AK456" s="6" t="s">
        <v>13</v>
      </c>
      <c r="AL456" s="6" t="s">
        <v>49</v>
      </c>
      <c r="AM456" s="6" t="s">
        <v>1501</v>
      </c>
      <c r="AN456" s="6" t="s">
        <v>26</v>
      </c>
      <c r="AO456" s="6" t="s">
        <v>272</v>
      </c>
      <c r="AP456" s="6" t="s">
        <v>260</v>
      </c>
      <c r="AQ456" s="6" t="s">
        <v>37</v>
      </c>
    </row>
    <row r="457" spans="1:43" x14ac:dyDescent="0.25">
      <c r="A457" s="6">
        <v>22910188</v>
      </c>
      <c r="B457" s="6">
        <v>23683389</v>
      </c>
      <c r="C457" s="6" t="s">
        <v>248</v>
      </c>
      <c r="D457" s="14">
        <v>45911.740069444437</v>
      </c>
      <c r="E457" s="14">
        <v>45911.7497337963</v>
      </c>
      <c r="F457" s="6" t="s">
        <v>17</v>
      </c>
      <c r="G457" s="6" t="s">
        <v>17</v>
      </c>
      <c r="H457" s="6" t="s">
        <v>1738</v>
      </c>
      <c r="I457" s="6" t="s">
        <v>13</v>
      </c>
      <c r="J457" s="6" t="s">
        <v>1739</v>
      </c>
      <c r="K457" s="6" t="s">
        <v>1733</v>
      </c>
      <c r="L457" s="6" t="s">
        <v>1733</v>
      </c>
      <c r="M457" s="14">
        <v>45910.811805555553</v>
      </c>
      <c r="N457" s="6">
        <v>4595664</v>
      </c>
      <c r="O457" s="6" t="s">
        <v>91</v>
      </c>
      <c r="P457" s="6" t="s">
        <v>252</v>
      </c>
      <c r="Q457" s="6" t="s">
        <v>253</v>
      </c>
      <c r="R457" s="6" t="s">
        <v>1463</v>
      </c>
      <c r="S457" s="6" t="s">
        <v>7</v>
      </c>
      <c r="T457" s="6" t="s">
        <v>254</v>
      </c>
      <c r="U457" s="6" t="s">
        <v>194</v>
      </c>
      <c r="V457" s="6" t="s">
        <v>1734</v>
      </c>
      <c r="W457" s="6" t="s">
        <v>91</v>
      </c>
      <c r="X457" s="6" t="s">
        <v>1599</v>
      </c>
      <c r="Y457" s="6">
        <v>2953004182</v>
      </c>
      <c r="Z457" s="6" t="s">
        <v>1735</v>
      </c>
      <c r="AA457" s="6" t="s">
        <v>91</v>
      </c>
      <c r="AB457" s="6">
        <v>4748.4566000000004</v>
      </c>
      <c r="AC457" s="6">
        <v>805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1740</v>
      </c>
      <c r="AJ457" s="6" t="s">
        <v>1741</v>
      </c>
      <c r="AK457" s="6" t="s">
        <v>13</v>
      </c>
      <c r="AL457" s="6" t="s">
        <v>49</v>
      </c>
      <c r="AM457" s="6" t="s">
        <v>1501</v>
      </c>
      <c r="AN457" s="6" t="s">
        <v>26</v>
      </c>
      <c r="AO457" s="6" t="s">
        <v>272</v>
      </c>
      <c r="AP457" s="6" t="s">
        <v>260</v>
      </c>
      <c r="AQ457" s="6" t="s">
        <v>37</v>
      </c>
    </row>
    <row r="458" spans="1:43" x14ac:dyDescent="0.25">
      <c r="A458" s="6">
        <v>22905137</v>
      </c>
      <c r="B458" s="6">
        <v>23685089</v>
      </c>
      <c r="C458" s="6" t="s">
        <v>637</v>
      </c>
      <c r="D458" s="14">
        <v>45910.88621527778</v>
      </c>
      <c r="E458" s="14">
        <v>45911.904282407413</v>
      </c>
      <c r="F458" s="6" t="s">
        <v>17</v>
      </c>
      <c r="G458" s="6" t="s">
        <v>17</v>
      </c>
      <c r="H458" s="6" t="s">
        <v>1742</v>
      </c>
      <c r="I458" s="6" t="s">
        <v>16</v>
      </c>
      <c r="J458" s="6" t="s">
        <v>1743</v>
      </c>
      <c r="K458" s="6" t="s">
        <v>1744</v>
      </c>
      <c r="L458" s="6" t="s">
        <v>470</v>
      </c>
      <c r="M458" s="14">
        <v>45909.586805555547</v>
      </c>
      <c r="N458" s="6" t="s">
        <v>1745</v>
      </c>
      <c r="O458" s="6" t="s">
        <v>91</v>
      </c>
      <c r="P458" s="6" t="s">
        <v>252</v>
      </c>
      <c r="Q458" s="6" t="s">
        <v>268</v>
      </c>
      <c r="R458" s="6" t="s">
        <v>1593</v>
      </c>
      <c r="S458" s="6" t="s">
        <v>7</v>
      </c>
      <c r="T458" s="6" t="s">
        <v>254</v>
      </c>
      <c r="U458" s="6" t="s">
        <v>146</v>
      </c>
      <c r="V458" s="6" t="s">
        <v>473</v>
      </c>
      <c r="W458" s="6" t="s">
        <v>391</v>
      </c>
      <c r="X458" s="6" t="s">
        <v>1599</v>
      </c>
      <c r="Y458" s="6">
        <v>2953010962</v>
      </c>
      <c r="Z458" s="6" t="s">
        <v>84</v>
      </c>
      <c r="AA458" s="6" t="s">
        <v>91</v>
      </c>
      <c r="AB458" s="6">
        <v>4026</v>
      </c>
      <c r="AC458" s="6">
        <v>0</v>
      </c>
      <c r="AD458" s="6">
        <v>3696.15</v>
      </c>
      <c r="AE458" s="6">
        <v>0</v>
      </c>
      <c r="AF458" s="6">
        <v>59.54</v>
      </c>
      <c r="AG458" s="6">
        <v>0</v>
      </c>
      <c r="AH458" s="6">
        <v>0</v>
      </c>
      <c r="AI458" s="6" t="s">
        <v>288</v>
      </c>
      <c r="AJ458" s="6" t="s">
        <v>393</v>
      </c>
      <c r="AK458" s="6" t="s">
        <v>16</v>
      </c>
      <c r="AL458" s="6" t="s">
        <v>61</v>
      </c>
      <c r="AM458" s="6" t="s">
        <v>394</v>
      </c>
      <c r="AN458" s="6" t="s">
        <v>20</v>
      </c>
      <c r="AO458" s="6" t="s">
        <v>272</v>
      </c>
      <c r="AP458" s="6" t="s">
        <v>260</v>
      </c>
      <c r="AQ458" s="6" t="s">
        <v>24</v>
      </c>
    </row>
    <row r="459" spans="1:43" x14ac:dyDescent="0.25">
      <c r="A459" s="6">
        <v>22904717</v>
      </c>
      <c r="B459" s="6">
        <v>23678744</v>
      </c>
      <c r="C459" s="6" t="s">
        <v>248</v>
      </c>
      <c r="D459" s="14">
        <v>45910.816365740742</v>
      </c>
      <c r="E459" s="14">
        <v>45911.559675925928</v>
      </c>
      <c r="F459" s="6" t="s">
        <v>17</v>
      </c>
      <c r="G459" s="6" t="s">
        <v>17</v>
      </c>
      <c r="H459" s="6" t="s">
        <v>1746</v>
      </c>
      <c r="I459" s="6" t="s">
        <v>337</v>
      </c>
      <c r="J459" s="6" t="s">
        <v>1747</v>
      </c>
      <c r="K459" s="6" t="s">
        <v>1748</v>
      </c>
      <c r="L459" s="6" t="s">
        <v>1748</v>
      </c>
      <c r="M459" s="14">
        <v>45910.745138888888</v>
      </c>
      <c r="N459" s="6">
        <v>232427</v>
      </c>
      <c r="O459" s="6" t="s">
        <v>91</v>
      </c>
      <c r="P459" s="6" t="s">
        <v>252</v>
      </c>
      <c r="Q459" s="6" t="s">
        <v>253</v>
      </c>
      <c r="R459" s="6" t="s">
        <v>253</v>
      </c>
      <c r="S459" s="6" t="s">
        <v>7</v>
      </c>
      <c r="T459" s="6" t="s">
        <v>254</v>
      </c>
      <c r="U459" s="6" t="s">
        <v>129</v>
      </c>
      <c r="V459" s="6" t="s">
        <v>1749</v>
      </c>
      <c r="W459" s="6" t="s">
        <v>91</v>
      </c>
      <c r="X459" s="6" t="s">
        <v>1599</v>
      </c>
      <c r="Y459" s="6">
        <v>2952865232</v>
      </c>
      <c r="Z459" s="6" t="s">
        <v>72</v>
      </c>
      <c r="AA459" s="6" t="s">
        <v>91</v>
      </c>
      <c r="AB459" s="6">
        <v>0</v>
      </c>
      <c r="AC459" s="6">
        <v>420.84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1750</v>
      </c>
      <c r="AJ459" s="6" t="s">
        <v>1751</v>
      </c>
      <c r="AK459" s="6" t="s">
        <v>12</v>
      </c>
      <c r="AL459" s="6" t="s">
        <v>49</v>
      </c>
      <c r="AM459" s="6" t="s">
        <v>1501</v>
      </c>
      <c r="AN459" s="6" t="s">
        <v>26</v>
      </c>
      <c r="AO459" s="6" t="s">
        <v>272</v>
      </c>
      <c r="AP459" s="6" t="s">
        <v>260</v>
      </c>
      <c r="AQ459" s="6" t="s">
        <v>37</v>
      </c>
    </row>
    <row r="460" spans="1:43" x14ac:dyDescent="0.25">
      <c r="A460" s="6">
        <v>22913620</v>
      </c>
      <c r="B460" s="6">
        <v>23686209</v>
      </c>
      <c r="C460" s="6" t="s">
        <v>248</v>
      </c>
      <c r="D460" s="14">
        <v>45912.281712962962</v>
      </c>
      <c r="E460" s="14">
        <v>45912.287847222222</v>
      </c>
      <c r="F460" s="6" t="s">
        <v>17</v>
      </c>
      <c r="G460" s="6" t="s">
        <v>17</v>
      </c>
      <c r="H460" s="6" t="s">
        <v>1752</v>
      </c>
      <c r="I460" s="6" t="s">
        <v>16</v>
      </c>
      <c r="J460" s="6" t="s">
        <v>1753</v>
      </c>
      <c r="K460" s="6" t="s">
        <v>1604</v>
      </c>
      <c r="L460" s="6" t="s">
        <v>704</v>
      </c>
      <c r="M460" s="14">
        <v>45910.606944444437</v>
      </c>
      <c r="N460" s="6" t="s">
        <v>705</v>
      </c>
      <c r="O460" s="6" t="s">
        <v>91</v>
      </c>
      <c r="P460" s="6" t="s">
        <v>252</v>
      </c>
      <c r="Q460" s="6" t="s">
        <v>1592</v>
      </c>
      <c r="R460" s="6" t="s">
        <v>1593</v>
      </c>
      <c r="S460" s="6" t="s">
        <v>7</v>
      </c>
      <c r="T460" s="6" t="s">
        <v>254</v>
      </c>
      <c r="U460" s="6" t="s">
        <v>116</v>
      </c>
      <c r="V460" s="6" t="s">
        <v>724</v>
      </c>
      <c r="W460" s="6" t="s">
        <v>91</v>
      </c>
      <c r="X460" s="6" t="s">
        <v>1599</v>
      </c>
      <c r="Y460" s="6">
        <v>2953012883</v>
      </c>
      <c r="Z460" s="6" t="s">
        <v>56</v>
      </c>
      <c r="AA460" s="6" t="s">
        <v>91</v>
      </c>
      <c r="AB460" s="6">
        <v>0</v>
      </c>
      <c r="AC460" s="6">
        <v>43.11</v>
      </c>
      <c r="AD460" s="6">
        <v>450</v>
      </c>
      <c r="AE460" s="6">
        <v>0</v>
      </c>
      <c r="AF460" s="6">
        <v>43.11</v>
      </c>
      <c r="AG460" s="6">
        <v>0</v>
      </c>
      <c r="AH460" s="6">
        <v>0</v>
      </c>
      <c r="AI460" s="6" t="s">
        <v>288</v>
      </c>
      <c r="AJ460" s="6" t="s">
        <v>1754</v>
      </c>
      <c r="AK460" s="6" t="s">
        <v>16</v>
      </c>
      <c r="AL460" s="6" t="s">
        <v>49</v>
      </c>
      <c r="AM460" s="6" t="s">
        <v>1501</v>
      </c>
      <c r="AN460" s="6" t="s">
        <v>26</v>
      </c>
      <c r="AO460" s="6" t="s">
        <v>272</v>
      </c>
      <c r="AP460" s="6" t="s">
        <v>260</v>
      </c>
      <c r="AQ460" s="6" t="s">
        <v>24</v>
      </c>
    </row>
    <row r="461" spans="1:43" x14ac:dyDescent="0.25">
      <c r="A461" s="6">
        <v>22912008</v>
      </c>
      <c r="B461" s="6">
        <v>23685097</v>
      </c>
      <c r="C461" s="6" t="s">
        <v>248</v>
      </c>
      <c r="D461" s="14">
        <v>45911.904282407413</v>
      </c>
      <c r="E461" s="14">
        <v>45911.910763888889</v>
      </c>
      <c r="F461" s="6" t="s">
        <v>17</v>
      </c>
      <c r="G461" s="6" t="s">
        <v>17</v>
      </c>
      <c r="H461" s="6" t="s">
        <v>1755</v>
      </c>
      <c r="I461" s="6" t="s">
        <v>16</v>
      </c>
      <c r="J461" s="6" t="s">
        <v>1756</v>
      </c>
      <c r="K461" s="6" t="s">
        <v>1604</v>
      </c>
      <c r="L461" s="6" t="s">
        <v>690</v>
      </c>
      <c r="M461" s="14">
        <v>45903.533333333333</v>
      </c>
      <c r="N461" s="6" t="s">
        <v>1757</v>
      </c>
      <c r="O461" s="6" t="s">
        <v>91</v>
      </c>
      <c r="P461" s="6" t="s">
        <v>252</v>
      </c>
      <c r="Q461" s="6" t="s">
        <v>1592</v>
      </c>
      <c r="R461" s="6" t="s">
        <v>1593</v>
      </c>
      <c r="S461" s="6" t="s">
        <v>7</v>
      </c>
      <c r="T461" s="6" t="s">
        <v>254</v>
      </c>
      <c r="U461" s="6" t="s">
        <v>116</v>
      </c>
      <c r="V461" s="6" t="s">
        <v>633</v>
      </c>
      <c r="W461" s="6" t="s">
        <v>91</v>
      </c>
      <c r="X461" s="6" t="s">
        <v>1599</v>
      </c>
      <c r="Y461" s="6">
        <v>2953012929</v>
      </c>
      <c r="Z461" s="6" t="s">
        <v>56</v>
      </c>
      <c r="AA461" s="6" t="s">
        <v>91</v>
      </c>
      <c r="AB461" s="6">
        <v>0</v>
      </c>
      <c r="AC461" s="6">
        <v>0</v>
      </c>
      <c r="AD461" s="6">
        <v>450</v>
      </c>
      <c r="AE461" s="6">
        <v>0</v>
      </c>
      <c r="AF461" s="6">
        <v>49.22</v>
      </c>
      <c r="AG461" s="6">
        <v>0</v>
      </c>
      <c r="AH461" s="6">
        <v>0</v>
      </c>
      <c r="AI461" s="6" t="s">
        <v>288</v>
      </c>
      <c r="AJ461" s="6" t="s">
        <v>1758</v>
      </c>
      <c r="AK461" s="6" t="s">
        <v>16</v>
      </c>
      <c r="AL461" s="6" t="s">
        <v>51</v>
      </c>
      <c r="AM461" s="6" t="s">
        <v>1591</v>
      </c>
      <c r="AN461" s="6" t="s">
        <v>20</v>
      </c>
      <c r="AO461" s="6" t="s">
        <v>272</v>
      </c>
      <c r="AP461" s="6" t="s">
        <v>260</v>
      </c>
      <c r="AQ461" s="6" t="s">
        <v>24</v>
      </c>
    </row>
    <row r="462" spans="1:43" x14ac:dyDescent="0.25">
      <c r="A462" s="6">
        <v>22912008</v>
      </c>
      <c r="B462" s="6">
        <v>23685098</v>
      </c>
      <c r="C462" s="6" t="s">
        <v>637</v>
      </c>
      <c r="D462" s="14">
        <v>45911.904282407413</v>
      </c>
      <c r="E462" s="14">
        <v>45911.910763888889</v>
      </c>
      <c r="F462" s="6" t="s">
        <v>17</v>
      </c>
      <c r="G462" s="6" t="s">
        <v>17</v>
      </c>
      <c r="H462" s="6" t="s">
        <v>1755</v>
      </c>
      <c r="I462" s="6" t="s">
        <v>16</v>
      </c>
      <c r="J462" s="6" t="s">
        <v>1756</v>
      </c>
      <c r="K462" s="6" t="s">
        <v>1604</v>
      </c>
      <c r="L462" s="6" t="s">
        <v>690</v>
      </c>
      <c r="M462" s="14">
        <v>45903.533333333333</v>
      </c>
      <c r="N462" s="6" t="s">
        <v>1757</v>
      </c>
      <c r="O462" s="6" t="s">
        <v>91</v>
      </c>
      <c r="P462" s="6" t="s">
        <v>252</v>
      </c>
      <c r="Q462" s="6" t="s">
        <v>1592</v>
      </c>
      <c r="R462" s="6" t="s">
        <v>1593</v>
      </c>
      <c r="S462" s="6" t="s">
        <v>7</v>
      </c>
      <c r="T462" s="6" t="s">
        <v>254</v>
      </c>
      <c r="U462" s="6" t="s">
        <v>116</v>
      </c>
      <c r="V462" s="6" t="s">
        <v>633</v>
      </c>
      <c r="W462" s="6" t="s">
        <v>91</v>
      </c>
      <c r="X462" s="6" t="s">
        <v>1599</v>
      </c>
      <c r="Y462" s="6">
        <v>2953012929</v>
      </c>
      <c r="Z462" s="6" t="s">
        <v>56</v>
      </c>
      <c r="AA462" s="6" t="s">
        <v>91</v>
      </c>
      <c r="AB462" s="6">
        <v>0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288</v>
      </c>
      <c r="AJ462" s="6" t="s">
        <v>1758</v>
      </c>
      <c r="AK462" s="6" t="s">
        <v>16</v>
      </c>
      <c r="AL462" s="6" t="s">
        <v>51</v>
      </c>
      <c r="AM462" s="6" t="s">
        <v>1591</v>
      </c>
      <c r="AN462" s="6" t="s">
        <v>20</v>
      </c>
      <c r="AO462" s="6" t="s">
        <v>272</v>
      </c>
      <c r="AP462" s="6" t="s">
        <v>260</v>
      </c>
      <c r="AQ462" s="6" t="s">
        <v>24</v>
      </c>
    </row>
    <row r="463" spans="1:43" x14ac:dyDescent="0.25">
      <c r="A463" s="6">
        <v>22912008</v>
      </c>
      <c r="B463" s="6">
        <v>23685099</v>
      </c>
      <c r="C463" s="6" t="s">
        <v>638</v>
      </c>
      <c r="D463" s="14">
        <v>45911.904282407413</v>
      </c>
      <c r="E463" s="14">
        <v>45911.910763888889</v>
      </c>
      <c r="F463" s="6" t="s">
        <v>17</v>
      </c>
      <c r="G463" s="6" t="s">
        <v>17</v>
      </c>
      <c r="H463" s="6" t="s">
        <v>1755</v>
      </c>
      <c r="I463" s="6" t="s">
        <v>16</v>
      </c>
      <c r="J463" s="6" t="s">
        <v>1756</v>
      </c>
      <c r="K463" s="6" t="s">
        <v>1604</v>
      </c>
      <c r="L463" s="6" t="s">
        <v>690</v>
      </c>
      <c r="M463" s="14">
        <v>45903.533333333333</v>
      </c>
      <c r="N463" s="6" t="s">
        <v>1757</v>
      </c>
      <c r="O463" s="6" t="s">
        <v>91</v>
      </c>
      <c r="P463" s="6" t="s">
        <v>252</v>
      </c>
      <c r="Q463" s="6" t="s">
        <v>1592</v>
      </c>
      <c r="R463" s="6" t="s">
        <v>1593</v>
      </c>
      <c r="S463" s="6" t="s">
        <v>7</v>
      </c>
      <c r="T463" s="6" t="s">
        <v>254</v>
      </c>
      <c r="U463" s="6" t="s">
        <v>116</v>
      </c>
      <c r="V463" s="6" t="s">
        <v>633</v>
      </c>
      <c r="W463" s="6" t="s">
        <v>91</v>
      </c>
      <c r="X463" s="6" t="s">
        <v>1599</v>
      </c>
      <c r="Y463" s="6">
        <v>2953012929</v>
      </c>
      <c r="Z463" s="6" t="s">
        <v>56</v>
      </c>
      <c r="AA463" s="6" t="s">
        <v>91</v>
      </c>
      <c r="AB463" s="6">
        <v>0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288</v>
      </c>
      <c r="AJ463" s="6" t="s">
        <v>1758</v>
      </c>
      <c r="AK463" s="6" t="s">
        <v>16</v>
      </c>
      <c r="AL463" s="6" t="s">
        <v>51</v>
      </c>
      <c r="AM463" s="6" t="s">
        <v>1591</v>
      </c>
      <c r="AN463" s="6" t="s">
        <v>20</v>
      </c>
      <c r="AO463" s="6" t="s">
        <v>272</v>
      </c>
      <c r="AP463" s="6" t="s">
        <v>260</v>
      </c>
      <c r="AQ463" s="6" t="s">
        <v>24</v>
      </c>
    </row>
    <row r="464" spans="1:43" x14ac:dyDescent="0.25">
      <c r="A464" s="6">
        <v>22911992</v>
      </c>
      <c r="B464" s="6">
        <v>23685079</v>
      </c>
      <c r="C464" s="6" t="s">
        <v>248</v>
      </c>
      <c r="D464" s="14">
        <v>45911.901550925933</v>
      </c>
      <c r="E464" s="14">
        <v>45912.290625000001</v>
      </c>
      <c r="F464" s="6" t="s">
        <v>17</v>
      </c>
      <c r="G464" s="6" t="s">
        <v>17</v>
      </c>
      <c r="H464" s="6" t="s">
        <v>1759</v>
      </c>
      <c r="I464" s="6" t="s">
        <v>16</v>
      </c>
      <c r="J464" s="6" t="s">
        <v>1760</v>
      </c>
      <c r="K464" s="6" t="s">
        <v>1604</v>
      </c>
      <c r="L464" s="6" t="s">
        <v>690</v>
      </c>
      <c r="M464" s="14">
        <v>45911.39166666667</v>
      </c>
      <c r="N464" s="6" t="s">
        <v>1761</v>
      </c>
      <c r="O464" s="6" t="s">
        <v>91</v>
      </c>
      <c r="P464" s="6" t="s">
        <v>252</v>
      </c>
      <c r="Q464" s="6" t="s">
        <v>1592</v>
      </c>
      <c r="R464" s="6" t="s">
        <v>1593</v>
      </c>
      <c r="S464" s="6" t="s">
        <v>7</v>
      </c>
      <c r="T464" s="6" t="s">
        <v>254</v>
      </c>
      <c r="U464" s="6" t="s">
        <v>116</v>
      </c>
      <c r="V464" s="6" t="s">
        <v>633</v>
      </c>
      <c r="W464" s="6" t="s">
        <v>91</v>
      </c>
      <c r="X464" s="6" t="s">
        <v>1599</v>
      </c>
      <c r="Y464" s="6">
        <v>2953012909</v>
      </c>
      <c r="Z464" s="6" t="s">
        <v>56</v>
      </c>
      <c r="AA464" s="6" t="s">
        <v>91</v>
      </c>
      <c r="AB464" s="6">
        <v>0</v>
      </c>
      <c r="AC464" s="6">
        <v>0</v>
      </c>
      <c r="AD464" s="6">
        <v>447.75</v>
      </c>
      <c r="AE464" s="6">
        <v>0</v>
      </c>
      <c r="AF464" s="6">
        <v>0</v>
      </c>
      <c r="AG464" s="6">
        <v>0</v>
      </c>
      <c r="AH464" s="6">
        <v>0</v>
      </c>
      <c r="AI464" s="6" t="s">
        <v>288</v>
      </c>
      <c r="AJ464" s="6" t="s">
        <v>1611</v>
      </c>
      <c r="AK464" s="6" t="s">
        <v>16</v>
      </c>
      <c r="AL464" s="6" t="s">
        <v>65</v>
      </c>
      <c r="AM464" s="6" t="s">
        <v>394</v>
      </c>
      <c r="AN464" s="6" t="s">
        <v>20</v>
      </c>
      <c r="AO464" s="6" t="s">
        <v>272</v>
      </c>
      <c r="AP464" s="6" t="s">
        <v>260</v>
      </c>
      <c r="AQ464" s="6" t="s">
        <v>24</v>
      </c>
    </row>
    <row r="465" spans="1:43" x14ac:dyDescent="0.25">
      <c r="A465" s="6">
        <v>22905394</v>
      </c>
      <c r="B465" s="6">
        <v>23679336</v>
      </c>
      <c r="C465" s="6" t="s">
        <v>248</v>
      </c>
      <c r="D465" s="14">
        <v>45910.932662037027</v>
      </c>
      <c r="E465" s="14">
        <v>45911.56927083333</v>
      </c>
      <c r="F465" s="6" t="s">
        <v>17</v>
      </c>
      <c r="G465" s="6" t="s">
        <v>17</v>
      </c>
      <c r="H465" s="6" t="s">
        <v>1762</v>
      </c>
      <c r="I465" s="6" t="s">
        <v>16</v>
      </c>
      <c r="J465" s="6" t="s">
        <v>1763</v>
      </c>
      <c r="K465" s="6" t="s">
        <v>1604</v>
      </c>
      <c r="L465" s="6" t="s">
        <v>1764</v>
      </c>
      <c r="M465" s="14">
        <v>45908.602777777778</v>
      </c>
      <c r="N465" s="6" t="s">
        <v>1762</v>
      </c>
      <c r="O465" s="6" t="s">
        <v>91</v>
      </c>
      <c r="P465" s="6" t="s">
        <v>276</v>
      </c>
      <c r="Q465" s="6" t="s">
        <v>1592</v>
      </c>
      <c r="R465" s="6" t="s">
        <v>1593</v>
      </c>
      <c r="S465" s="6" t="s">
        <v>7</v>
      </c>
      <c r="T465" s="6" t="s">
        <v>254</v>
      </c>
      <c r="U465" s="6" t="s">
        <v>174</v>
      </c>
      <c r="V465" s="6" t="s">
        <v>1765</v>
      </c>
      <c r="W465" s="6" t="s">
        <v>91</v>
      </c>
      <c r="X465" s="6" t="s">
        <v>1599</v>
      </c>
      <c r="Y465" s="6">
        <v>2952994607</v>
      </c>
      <c r="Z465" s="6" t="s">
        <v>102</v>
      </c>
      <c r="AA465" s="6" t="s">
        <v>91</v>
      </c>
      <c r="AB465" s="6">
        <v>0</v>
      </c>
      <c r="AC465" s="6">
        <v>0</v>
      </c>
      <c r="AD465" s="6">
        <v>450</v>
      </c>
      <c r="AE465" s="6">
        <v>0</v>
      </c>
      <c r="AF465" s="6">
        <v>35.1</v>
      </c>
      <c r="AG465" s="6">
        <v>0</v>
      </c>
      <c r="AH465" s="6">
        <v>0</v>
      </c>
      <c r="AI465" s="6" t="s">
        <v>288</v>
      </c>
      <c r="AJ465" s="6" t="s">
        <v>1766</v>
      </c>
      <c r="AK465" s="6" t="s">
        <v>16</v>
      </c>
      <c r="AL465" s="6" t="s">
        <v>53</v>
      </c>
      <c r="AM465" s="6" t="s">
        <v>67</v>
      </c>
      <c r="AN465" s="6" t="s">
        <v>20</v>
      </c>
      <c r="AO465" s="6" t="s">
        <v>272</v>
      </c>
      <c r="AP465" s="6" t="s">
        <v>260</v>
      </c>
      <c r="AQ465" s="6" t="s">
        <v>24</v>
      </c>
    </row>
    <row r="466" spans="1:43" x14ac:dyDescent="0.25">
      <c r="A466" s="6">
        <v>22912014</v>
      </c>
      <c r="B466" s="6">
        <v>23685102</v>
      </c>
      <c r="C466" s="6" t="s">
        <v>248</v>
      </c>
      <c r="D466" s="14">
        <v>45911.904398148137</v>
      </c>
      <c r="E466" s="14">
        <v>45911.910891203697</v>
      </c>
      <c r="F466" s="6" t="s">
        <v>17</v>
      </c>
      <c r="G466" s="6" t="s">
        <v>17</v>
      </c>
      <c r="H466" s="6" t="s">
        <v>1767</v>
      </c>
      <c r="I466" s="6" t="s">
        <v>16</v>
      </c>
      <c r="J466" s="6" t="s">
        <v>1768</v>
      </c>
      <c r="K466" s="6" t="s">
        <v>1604</v>
      </c>
      <c r="L466" s="6" t="s">
        <v>1628</v>
      </c>
      <c r="M466" s="14">
        <v>45911.649305555547</v>
      </c>
      <c r="N466" s="6" t="s">
        <v>1769</v>
      </c>
      <c r="O466" s="6" t="s">
        <v>91</v>
      </c>
      <c r="P466" s="6" t="s">
        <v>252</v>
      </c>
      <c r="Q466" s="6" t="s">
        <v>1592</v>
      </c>
      <c r="R466" s="6" t="s">
        <v>1593</v>
      </c>
      <c r="S466" s="6" t="s">
        <v>7</v>
      </c>
      <c r="T466" s="6" t="s">
        <v>254</v>
      </c>
      <c r="U466" s="6" t="s">
        <v>173</v>
      </c>
      <c r="V466" s="6" t="s">
        <v>748</v>
      </c>
      <c r="W466" s="6" t="s">
        <v>91</v>
      </c>
      <c r="X466" s="6" t="s">
        <v>1599</v>
      </c>
      <c r="Y466" s="6">
        <v>2953012930</v>
      </c>
      <c r="Z466" s="6" t="s">
        <v>103</v>
      </c>
      <c r="AA466" s="6" t="s">
        <v>91</v>
      </c>
      <c r="AB466" s="6">
        <v>0</v>
      </c>
      <c r="AC466" s="6">
        <v>6.23</v>
      </c>
      <c r="AD466" s="6">
        <v>447.75</v>
      </c>
      <c r="AE466" s="6">
        <v>0</v>
      </c>
      <c r="AF466" s="6">
        <v>6.23</v>
      </c>
      <c r="AG466" s="6">
        <v>0</v>
      </c>
      <c r="AH466" s="6">
        <v>0</v>
      </c>
      <c r="AI466" s="6" t="s">
        <v>288</v>
      </c>
      <c r="AJ466" s="6" t="s">
        <v>1611</v>
      </c>
      <c r="AK466" s="6" t="s">
        <v>16</v>
      </c>
      <c r="AL466" s="6" t="s">
        <v>65</v>
      </c>
      <c r="AM466" s="6" t="s">
        <v>394</v>
      </c>
      <c r="AN466" s="6" t="s">
        <v>20</v>
      </c>
      <c r="AO466" s="6" t="s">
        <v>272</v>
      </c>
      <c r="AP466" s="6" t="s">
        <v>260</v>
      </c>
      <c r="AQ466" s="6" t="s">
        <v>24</v>
      </c>
    </row>
    <row r="467" spans="1:43" x14ac:dyDescent="0.25">
      <c r="A467" s="6">
        <v>22909280</v>
      </c>
      <c r="B467" s="6">
        <v>23682482</v>
      </c>
      <c r="C467" s="6" t="s">
        <v>248</v>
      </c>
      <c r="D467" s="14">
        <v>45911.628587962958</v>
      </c>
      <c r="E467" s="14">
        <v>45911.647835648153</v>
      </c>
      <c r="F467" s="6" t="s">
        <v>17</v>
      </c>
      <c r="G467" s="6" t="s">
        <v>17</v>
      </c>
      <c r="H467" s="6" t="s">
        <v>1770</v>
      </c>
      <c r="I467" s="6" t="s">
        <v>16</v>
      </c>
      <c r="J467" s="6" t="s">
        <v>1771</v>
      </c>
      <c r="K467" s="6" t="s">
        <v>1649</v>
      </c>
      <c r="L467" s="6" t="s">
        <v>690</v>
      </c>
      <c r="M467" s="14">
        <v>45898.456944444442</v>
      </c>
      <c r="N467" s="6" t="s">
        <v>1772</v>
      </c>
      <c r="O467" s="6" t="s">
        <v>91</v>
      </c>
      <c r="P467" s="6" t="s">
        <v>252</v>
      </c>
      <c r="Q467" s="6" t="s">
        <v>253</v>
      </c>
      <c r="R467" s="6" t="s">
        <v>1463</v>
      </c>
      <c r="S467" s="6" t="s">
        <v>7</v>
      </c>
      <c r="T467" s="6" t="s">
        <v>254</v>
      </c>
      <c r="U467" s="6" t="s">
        <v>116</v>
      </c>
      <c r="V467" s="6" t="s">
        <v>633</v>
      </c>
      <c r="W467" s="6" t="s">
        <v>91</v>
      </c>
      <c r="X467" s="6" t="s">
        <v>1599</v>
      </c>
      <c r="Y467" s="6">
        <v>2952915048</v>
      </c>
      <c r="Z467" s="6" t="s">
        <v>56</v>
      </c>
      <c r="AA467" s="6" t="s">
        <v>91</v>
      </c>
      <c r="AB467" s="6">
        <v>2316.12</v>
      </c>
      <c r="AC467" s="6">
        <v>59.54</v>
      </c>
      <c r="AD467" s="6">
        <v>135.28</v>
      </c>
      <c r="AE467" s="6">
        <v>0</v>
      </c>
      <c r="AF467" s="6">
        <v>59.54</v>
      </c>
      <c r="AG467" s="6">
        <v>0</v>
      </c>
      <c r="AH467" s="6">
        <v>0</v>
      </c>
      <c r="AI467" s="6" t="s">
        <v>288</v>
      </c>
      <c r="AJ467" s="6" t="s">
        <v>1773</v>
      </c>
      <c r="AK467" s="6" t="s">
        <v>16</v>
      </c>
      <c r="AL467" s="6" t="s">
        <v>49</v>
      </c>
      <c r="AM467" s="6" t="s">
        <v>1501</v>
      </c>
      <c r="AN467" s="6" t="s">
        <v>26</v>
      </c>
      <c r="AO467" s="6" t="s">
        <v>272</v>
      </c>
      <c r="AP467" s="6" t="s">
        <v>260</v>
      </c>
      <c r="AQ467" s="6" t="s">
        <v>24</v>
      </c>
    </row>
    <row r="468" spans="1:43" x14ac:dyDescent="0.25">
      <c r="A468" s="6">
        <v>22911995</v>
      </c>
      <c r="B468" s="6">
        <v>23685082</v>
      </c>
      <c r="C468" s="6" t="s">
        <v>248</v>
      </c>
      <c r="D468" s="14">
        <v>45911.901712962957</v>
      </c>
      <c r="E468" s="14">
        <v>45911.910254629627</v>
      </c>
      <c r="F468" s="6" t="s">
        <v>17</v>
      </c>
      <c r="G468" s="6" t="s">
        <v>17</v>
      </c>
      <c r="H468" s="6" t="s">
        <v>1774</v>
      </c>
      <c r="I468" s="6" t="s">
        <v>16</v>
      </c>
      <c r="J468" s="6" t="s">
        <v>1775</v>
      </c>
      <c r="K468" s="6" t="s">
        <v>1604</v>
      </c>
      <c r="L468" s="6" t="s">
        <v>1776</v>
      </c>
      <c r="M468" s="14">
        <v>45904.560416666667</v>
      </c>
      <c r="N468" s="6" t="s">
        <v>1777</v>
      </c>
      <c r="O468" s="6" t="s">
        <v>91</v>
      </c>
      <c r="P468" s="6" t="s">
        <v>252</v>
      </c>
      <c r="Q468" s="6" t="s">
        <v>1592</v>
      </c>
      <c r="R468" s="6" t="s">
        <v>1593</v>
      </c>
      <c r="S468" s="6" t="s">
        <v>7</v>
      </c>
      <c r="T468" s="6" t="s">
        <v>254</v>
      </c>
      <c r="U468" s="6" t="s">
        <v>116</v>
      </c>
      <c r="V468" s="6" t="s">
        <v>633</v>
      </c>
      <c r="W468" s="6" t="s">
        <v>91</v>
      </c>
      <c r="X468" s="6" t="s">
        <v>1599</v>
      </c>
      <c r="Y468" s="6">
        <v>2953012905</v>
      </c>
      <c r="Z468" s="6" t="s">
        <v>56</v>
      </c>
      <c r="AA468" s="6" t="s">
        <v>91</v>
      </c>
      <c r="AB468" s="6">
        <v>0</v>
      </c>
      <c r="AC468" s="6">
        <v>0</v>
      </c>
      <c r="AD468" s="6">
        <v>450</v>
      </c>
      <c r="AE468" s="6">
        <v>0</v>
      </c>
      <c r="AF468" s="6">
        <v>0</v>
      </c>
      <c r="AG468" s="6">
        <v>0</v>
      </c>
      <c r="AH468" s="6">
        <v>0</v>
      </c>
      <c r="AI468" s="6" t="s">
        <v>288</v>
      </c>
      <c r="AJ468" s="6" t="s">
        <v>1778</v>
      </c>
      <c r="AK468" s="6" t="s">
        <v>16</v>
      </c>
      <c r="AL468" s="6" t="s">
        <v>51</v>
      </c>
      <c r="AM468" s="6" t="s">
        <v>1591</v>
      </c>
      <c r="AN468" s="6" t="s">
        <v>20</v>
      </c>
      <c r="AO468" s="6" t="s">
        <v>272</v>
      </c>
      <c r="AP468" s="6" t="s">
        <v>260</v>
      </c>
      <c r="AQ468" s="6" t="s">
        <v>24</v>
      </c>
    </row>
    <row r="469" spans="1:43" x14ac:dyDescent="0.25">
      <c r="A469" s="6">
        <v>22911995</v>
      </c>
      <c r="B469" s="6">
        <v>23685083</v>
      </c>
      <c r="C469" s="6" t="s">
        <v>637</v>
      </c>
      <c r="D469" s="14">
        <v>45911.901712962957</v>
      </c>
      <c r="E469" s="14">
        <v>45911.910254629627</v>
      </c>
      <c r="F469" s="6" t="s">
        <v>17</v>
      </c>
      <c r="G469" s="6" t="s">
        <v>17</v>
      </c>
      <c r="H469" s="6" t="s">
        <v>1774</v>
      </c>
      <c r="I469" s="6" t="s">
        <v>16</v>
      </c>
      <c r="J469" s="6" t="s">
        <v>1775</v>
      </c>
      <c r="K469" s="6" t="s">
        <v>1604</v>
      </c>
      <c r="L469" s="6" t="s">
        <v>1776</v>
      </c>
      <c r="M469" s="14">
        <v>45904.560416666667</v>
      </c>
      <c r="N469" s="6" t="s">
        <v>1777</v>
      </c>
      <c r="O469" s="6" t="s">
        <v>91</v>
      </c>
      <c r="P469" s="6" t="s">
        <v>252</v>
      </c>
      <c r="Q469" s="6" t="s">
        <v>1592</v>
      </c>
      <c r="R469" s="6" t="s">
        <v>1593</v>
      </c>
      <c r="S469" s="6" t="s">
        <v>7</v>
      </c>
      <c r="T469" s="6" t="s">
        <v>254</v>
      </c>
      <c r="U469" s="6" t="s">
        <v>116</v>
      </c>
      <c r="V469" s="6" t="s">
        <v>633</v>
      </c>
      <c r="W469" s="6" t="s">
        <v>91</v>
      </c>
      <c r="X469" s="6" t="s">
        <v>1599</v>
      </c>
      <c r="Y469" s="6">
        <v>2953012905</v>
      </c>
      <c r="Z469" s="6" t="s">
        <v>56</v>
      </c>
      <c r="AA469" s="6" t="s">
        <v>91</v>
      </c>
      <c r="AB469" s="6">
        <v>0</v>
      </c>
      <c r="AC469" s="6">
        <v>0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288</v>
      </c>
      <c r="AJ469" s="6" t="s">
        <v>1778</v>
      </c>
      <c r="AK469" s="6" t="s">
        <v>16</v>
      </c>
      <c r="AL469" s="6" t="s">
        <v>51</v>
      </c>
      <c r="AM469" s="6" t="s">
        <v>1591</v>
      </c>
      <c r="AN469" s="6" t="s">
        <v>20</v>
      </c>
      <c r="AO469" s="6" t="s">
        <v>272</v>
      </c>
      <c r="AP469" s="6" t="s">
        <v>260</v>
      </c>
      <c r="AQ469" s="6" t="s">
        <v>24</v>
      </c>
    </row>
    <row r="470" spans="1:43" x14ac:dyDescent="0.25">
      <c r="A470" s="6">
        <v>22820696</v>
      </c>
      <c r="B470" s="6">
        <v>23606778</v>
      </c>
      <c r="C470" s="6" t="s">
        <v>248</v>
      </c>
      <c r="D470" s="14">
        <v>45896.553900462961</v>
      </c>
      <c r="E470" s="14">
        <v>45911.560763888891</v>
      </c>
      <c r="F470" s="6" t="s">
        <v>17</v>
      </c>
      <c r="G470" s="6" t="s">
        <v>25</v>
      </c>
      <c r="H470" s="6" t="s">
        <v>1779</v>
      </c>
      <c r="I470" s="6" t="s">
        <v>16</v>
      </c>
      <c r="J470" s="6" t="s">
        <v>1780</v>
      </c>
      <c r="K470" s="6" t="s">
        <v>1744</v>
      </c>
      <c r="L470" s="6" t="s">
        <v>495</v>
      </c>
      <c r="M470" s="14">
        <v>45754.3125</v>
      </c>
      <c r="N470" s="6" t="s">
        <v>1779</v>
      </c>
      <c r="O470" s="6" t="s">
        <v>91</v>
      </c>
      <c r="P470" s="6" t="s">
        <v>276</v>
      </c>
      <c r="Q470" s="6" t="s">
        <v>253</v>
      </c>
      <c r="R470" s="6" t="s">
        <v>1463</v>
      </c>
      <c r="S470" s="6" t="s">
        <v>7</v>
      </c>
      <c r="T470" s="6" t="s">
        <v>254</v>
      </c>
      <c r="U470" s="6" t="s">
        <v>116</v>
      </c>
      <c r="V470" s="6" t="s">
        <v>633</v>
      </c>
      <c r="W470" s="6" t="s">
        <v>91</v>
      </c>
      <c r="X470" s="6" t="s">
        <v>1599</v>
      </c>
      <c r="Y470" s="6">
        <v>2872625750</v>
      </c>
      <c r="Z470" s="6" t="s">
        <v>56</v>
      </c>
      <c r="AA470" s="6" t="s">
        <v>91</v>
      </c>
      <c r="AB470" s="6">
        <v>25375.65</v>
      </c>
      <c r="AC470" s="6">
        <v>55.65</v>
      </c>
      <c r="AD470" s="6">
        <v>510.73</v>
      </c>
      <c r="AE470" s="6">
        <v>0</v>
      </c>
      <c r="AF470" s="6">
        <v>55.65</v>
      </c>
      <c r="AG470" s="6">
        <v>0</v>
      </c>
      <c r="AH470" s="6">
        <v>0</v>
      </c>
      <c r="AI470" s="6" t="s">
        <v>288</v>
      </c>
      <c r="AJ470" s="6" t="s">
        <v>1781</v>
      </c>
      <c r="AK470" s="6" t="s">
        <v>16</v>
      </c>
      <c r="AL470" s="6" t="s">
        <v>51</v>
      </c>
      <c r="AM470" s="6" t="s">
        <v>1591</v>
      </c>
      <c r="AN470" s="6" t="s">
        <v>20</v>
      </c>
      <c r="AO470" s="6" t="s">
        <v>272</v>
      </c>
      <c r="AP470" s="6" t="s">
        <v>260</v>
      </c>
      <c r="AQ470" s="6" t="s">
        <v>24</v>
      </c>
    </row>
    <row r="471" spans="1:43" x14ac:dyDescent="0.25">
      <c r="A471" s="6">
        <v>22911997</v>
      </c>
      <c r="B471" s="6">
        <v>23685085</v>
      </c>
      <c r="C471" s="6" t="s">
        <v>248</v>
      </c>
      <c r="D471" s="14">
        <v>45911.901967592603</v>
      </c>
      <c r="E471" s="14">
        <v>45912.287164351852</v>
      </c>
      <c r="F471" s="6" t="s">
        <v>17</v>
      </c>
      <c r="G471" s="6" t="s">
        <v>17</v>
      </c>
      <c r="H471" s="6" t="s">
        <v>1782</v>
      </c>
      <c r="I471" s="6" t="s">
        <v>16</v>
      </c>
      <c r="J471" s="6" t="s">
        <v>1783</v>
      </c>
      <c r="K471" s="6" t="s">
        <v>1604</v>
      </c>
      <c r="L471" s="6" t="s">
        <v>661</v>
      </c>
      <c r="M471" s="14">
        <v>45911</v>
      </c>
      <c r="N471" s="6" t="s">
        <v>1784</v>
      </c>
      <c r="O471" s="6" t="s">
        <v>91</v>
      </c>
      <c r="P471" s="6" t="s">
        <v>252</v>
      </c>
      <c r="Q471" s="6" t="s">
        <v>1592</v>
      </c>
      <c r="R471" s="6" t="s">
        <v>1593</v>
      </c>
      <c r="S471" s="6" t="s">
        <v>7</v>
      </c>
      <c r="T471" s="6" t="s">
        <v>254</v>
      </c>
      <c r="U471" s="6" t="s">
        <v>116</v>
      </c>
      <c r="V471" s="6" t="s">
        <v>633</v>
      </c>
      <c r="W471" s="6" t="s">
        <v>91</v>
      </c>
      <c r="X471" s="6" t="s">
        <v>1599</v>
      </c>
      <c r="Y471" s="6">
        <v>2953012900</v>
      </c>
      <c r="Z471" s="6" t="s">
        <v>56</v>
      </c>
      <c r="AA471" s="6" t="s">
        <v>91</v>
      </c>
      <c r="AB471" s="6">
        <v>0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288</v>
      </c>
      <c r="AJ471" s="6" t="s">
        <v>1611</v>
      </c>
      <c r="AK471" s="6" t="s">
        <v>16</v>
      </c>
      <c r="AL471" s="6" t="s">
        <v>65</v>
      </c>
      <c r="AM471" s="6" t="s">
        <v>394</v>
      </c>
      <c r="AN471" s="6" t="s">
        <v>20</v>
      </c>
      <c r="AO471" s="6" t="s">
        <v>272</v>
      </c>
      <c r="AP471" s="6" t="s">
        <v>260</v>
      </c>
      <c r="AQ471" s="6" t="s">
        <v>24</v>
      </c>
    </row>
    <row r="472" spans="1:43" x14ac:dyDescent="0.25">
      <c r="A472" s="6">
        <v>22909360</v>
      </c>
      <c r="B472" s="6">
        <v>23682567</v>
      </c>
      <c r="C472" s="6" t="s">
        <v>248</v>
      </c>
      <c r="D472" s="14">
        <v>45911.633981481478</v>
      </c>
      <c r="E472" s="14">
        <v>45911.901689814818</v>
      </c>
      <c r="F472" s="6" t="s">
        <v>17</v>
      </c>
      <c r="G472" s="6" t="s">
        <v>17</v>
      </c>
      <c r="H472" s="6" t="s">
        <v>1785</v>
      </c>
      <c r="I472" s="6" t="s">
        <v>16</v>
      </c>
      <c r="J472" s="6" t="s">
        <v>1786</v>
      </c>
      <c r="K472" s="6" t="s">
        <v>1604</v>
      </c>
      <c r="L472" s="6" t="s">
        <v>661</v>
      </c>
      <c r="M472" s="14">
        <v>45897.491666666669</v>
      </c>
      <c r="N472" s="6" t="s">
        <v>1787</v>
      </c>
      <c r="O472" s="6" t="s">
        <v>91</v>
      </c>
      <c r="P472" s="6" t="s">
        <v>252</v>
      </c>
      <c r="Q472" s="6" t="s">
        <v>1592</v>
      </c>
      <c r="R472" s="6" t="s">
        <v>1593</v>
      </c>
      <c r="S472" s="6" t="s">
        <v>7</v>
      </c>
      <c r="T472" s="6" t="s">
        <v>254</v>
      </c>
      <c r="U472" s="6" t="s">
        <v>116</v>
      </c>
      <c r="V472" s="6" t="s">
        <v>633</v>
      </c>
      <c r="W472" s="6" t="s">
        <v>91</v>
      </c>
      <c r="X472" s="6" t="s">
        <v>1599</v>
      </c>
      <c r="Y472" s="6">
        <v>2953005192</v>
      </c>
      <c r="Z472" s="6" t="s">
        <v>56</v>
      </c>
      <c r="AA472" s="6" t="s">
        <v>91</v>
      </c>
      <c r="AB472" s="6">
        <v>0</v>
      </c>
      <c r="AC472" s="6">
        <v>0</v>
      </c>
      <c r="AD472" s="6">
        <v>450</v>
      </c>
      <c r="AE472" s="6">
        <v>0</v>
      </c>
      <c r="AF472" s="6">
        <v>60.62</v>
      </c>
      <c r="AG472" s="6">
        <v>0</v>
      </c>
      <c r="AH472" s="6">
        <v>0</v>
      </c>
      <c r="AI472" s="6" t="s">
        <v>288</v>
      </c>
      <c r="AJ472" s="6" t="s">
        <v>1788</v>
      </c>
      <c r="AK472" s="6" t="s">
        <v>16</v>
      </c>
      <c r="AL472" s="6" t="s">
        <v>51</v>
      </c>
      <c r="AM472" s="6" t="s">
        <v>1591</v>
      </c>
      <c r="AN472" s="6" t="s">
        <v>20</v>
      </c>
      <c r="AO472" s="6" t="s">
        <v>272</v>
      </c>
      <c r="AP472" s="6" t="s">
        <v>260</v>
      </c>
      <c r="AQ472" s="6" t="s">
        <v>24</v>
      </c>
    </row>
    <row r="473" spans="1:43" x14ac:dyDescent="0.25">
      <c r="A473" s="6">
        <v>22909360</v>
      </c>
      <c r="B473" s="6">
        <v>23682568</v>
      </c>
      <c r="C473" s="6" t="s">
        <v>637</v>
      </c>
      <c r="D473" s="14">
        <v>45911.633981481478</v>
      </c>
      <c r="E473" s="14">
        <v>45911.901689814818</v>
      </c>
      <c r="F473" s="6" t="s">
        <v>17</v>
      </c>
      <c r="G473" s="6" t="s">
        <v>17</v>
      </c>
      <c r="H473" s="6" t="s">
        <v>1785</v>
      </c>
      <c r="I473" s="6" t="s">
        <v>16</v>
      </c>
      <c r="J473" s="6" t="s">
        <v>1786</v>
      </c>
      <c r="K473" s="6" t="s">
        <v>1604</v>
      </c>
      <c r="L473" s="6" t="s">
        <v>661</v>
      </c>
      <c r="M473" s="14">
        <v>45897.491666666669</v>
      </c>
      <c r="N473" s="6" t="s">
        <v>1787</v>
      </c>
      <c r="O473" s="6" t="s">
        <v>91</v>
      </c>
      <c r="P473" s="6" t="s">
        <v>252</v>
      </c>
      <c r="Q473" s="6" t="s">
        <v>1592</v>
      </c>
      <c r="R473" s="6" t="s">
        <v>1593</v>
      </c>
      <c r="S473" s="6" t="s">
        <v>7</v>
      </c>
      <c r="T473" s="6" t="s">
        <v>254</v>
      </c>
      <c r="U473" s="6" t="s">
        <v>116</v>
      </c>
      <c r="V473" s="6" t="s">
        <v>633</v>
      </c>
      <c r="W473" s="6" t="s">
        <v>91</v>
      </c>
      <c r="X473" s="6" t="s">
        <v>1599</v>
      </c>
      <c r="Y473" s="6">
        <v>2953005192</v>
      </c>
      <c r="Z473" s="6" t="s">
        <v>56</v>
      </c>
      <c r="AA473" s="6" t="s">
        <v>91</v>
      </c>
      <c r="AB473" s="6">
        <v>0</v>
      </c>
      <c r="AC473" s="6">
        <v>0</v>
      </c>
      <c r="AD473" s="6">
        <v>450</v>
      </c>
      <c r="AE473" s="6">
        <v>0</v>
      </c>
      <c r="AF473" s="6">
        <v>0</v>
      </c>
      <c r="AG473" s="6">
        <v>0</v>
      </c>
      <c r="AH473" s="6">
        <v>0</v>
      </c>
      <c r="AI473" s="6" t="s">
        <v>288</v>
      </c>
      <c r="AJ473" s="6" t="s">
        <v>1788</v>
      </c>
      <c r="AK473" s="6" t="s">
        <v>16</v>
      </c>
      <c r="AL473" s="6" t="s">
        <v>51</v>
      </c>
      <c r="AM473" s="6" t="s">
        <v>1591</v>
      </c>
      <c r="AN473" s="6" t="s">
        <v>20</v>
      </c>
      <c r="AO473" s="6" t="s">
        <v>272</v>
      </c>
      <c r="AP473" s="6" t="s">
        <v>260</v>
      </c>
      <c r="AQ473" s="6" t="s">
        <v>24</v>
      </c>
    </row>
    <row r="474" spans="1:43" x14ac:dyDescent="0.25">
      <c r="A474" s="6">
        <v>22909360</v>
      </c>
      <c r="B474" s="6">
        <v>23682569</v>
      </c>
      <c r="C474" s="6" t="s">
        <v>638</v>
      </c>
      <c r="D474" s="14">
        <v>45911.633981481478</v>
      </c>
      <c r="E474" s="14">
        <v>45911.901689814818</v>
      </c>
      <c r="F474" s="6" t="s">
        <v>17</v>
      </c>
      <c r="G474" s="6" t="s">
        <v>17</v>
      </c>
      <c r="H474" s="6" t="s">
        <v>1785</v>
      </c>
      <c r="I474" s="6" t="s">
        <v>16</v>
      </c>
      <c r="J474" s="6" t="s">
        <v>1786</v>
      </c>
      <c r="K474" s="6" t="s">
        <v>1604</v>
      </c>
      <c r="L474" s="6" t="s">
        <v>661</v>
      </c>
      <c r="M474" s="14">
        <v>45897.491666666669</v>
      </c>
      <c r="N474" s="6" t="s">
        <v>1787</v>
      </c>
      <c r="O474" s="6" t="s">
        <v>91</v>
      </c>
      <c r="P474" s="6" t="s">
        <v>252</v>
      </c>
      <c r="Q474" s="6" t="s">
        <v>1592</v>
      </c>
      <c r="R474" s="6" t="s">
        <v>1593</v>
      </c>
      <c r="S474" s="6" t="s">
        <v>7</v>
      </c>
      <c r="T474" s="6" t="s">
        <v>254</v>
      </c>
      <c r="U474" s="6" t="s">
        <v>116</v>
      </c>
      <c r="V474" s="6" t="s">
        <v>633</v>
      </c>
      <c r="W474" s="6" t="s">
        <v>91</v>
      </c>
      <c r="X474" s="6" t="s">
        <v>1599</v>
      </c>
      <c r="Y474" s="6">
        <v>2953005192</v>
      </c>
      <c r="Z474" s="6" t="s">
        <v>56</v>
      </c>
      <c r="AA474" s="6" t="s">
        <v>91</v>
      </c>
      <c r="AB474" s="6">
        <v>0</v>
      </c>
      <c r="AC474" s="6">
        <v>0</v>
      </c>
      <c r="AD474" s="6">
        <v>450</v>
      </c>
      <c r="AE474" s="6">
        <v>0</v>
      </c>
      <c r="AF474" s="6">
        <v>0</v>
      </c>
      <c r="AG474" s="6">
        <v>0</v>
      </c>
      <c r="AH474" s="6">
        <v>0</v>
      </c>
      <c r="AI474" s="6" t="s">
        <v>288</v>
      </c>
      <c r="AJ474" s="6" t="s">
        <v>1788</v>
      </c>
      <c r="AK474" s="6" t="s">
        <v>16</v>
      </c>
      <c r="AL474" s="6" t="s">
        <v>51</v>
      </c>
      <c r="AM474" s="6" t="s">
        <v>1591</v>
      </c>
      <c r="AN474" s="6" t="s">
        <v>20</v>
      </c>
      <c r="AO474" s="6" t="s">
        <v>272</v>
      </c>
      <c r="AP474" s="6" t="s">
        <v>260</v>
      </c>
      <c r="AQ474" s="6" t="s">
        <v>24</v>
      </c>
    </row>
    <row r="475" spans="1:43" x14ac:dyDescent="0.25">
      <c r="A475" s="6">
        <v>22823400</v>
      </c>
      <c r="B475" s="6">
        <v>23611696</v>
      </c>
      <c r="C475" s="6" t="s">
        <v>637</v>
      </c>
      <c r="D475" s="14">
        <v>45896.817094907397</v>
      </c>
      <c r="E475" s="14">
        <v>45911.63144675926</v>
      </c>
      <c r="F475" s="6" t="s">
        <v>17</v>
      </c>
      <c r="G475" s="6" t="s">
        <v>25</v>
      </c>
      <c r="H475" s="6" t="s">
        <v>1789</v>
      </c>
      <c r="I475" s="6" t="s">
        <v>16</v>
      </c>
      <c r="J475" s="6" t="s">
        <v>1790</v>
      </c>
      <c r="K475" s="6" t="s">
        <v>1604</v>
      </c>
      <c r="L475" s="6" t="s">
        <v>495</v>
      </c>
      <c r="M475" s="14">
        <v>45896.613888888889</v>
      </c>
      <c r="N475" s="6" t="s">
        <v>1789</v>
      </c>
      <c r="O475" s="6" t="s">
        <v>91</v>
      </c>
      <c r="P475" s="6" t="s">
        <v>276</v>
      </c>
      <c r="Q475" s="6" t="s">
        <v>268</v>
      </c>
      <c r="R475" s="6" t="s">
        <v>269</v>
      </c>
      <c r="S475" s="6" t="s">
        <v>7</v>
      </c>
      <c r="T475" s="6" t="s">
        <v>254</v>
      </c>
      <c r="U475" s="6" t="s">
        <v>116</v>
      </c>
      <c r="V475" s="6" t="s">
        <v>633</v>
      </c>
      <c r="W475" s="6" t="s">
        <v>91</v>
      </c>
      <c r="X475" s="6" t="s">
        <v>1599</v>
      </c>
      <c r="Y475" s="6">
        <v>2952914997</v>
      </c>
      <c r="Z475" s="6" t="s">
        <v>56</v>
      </c>
      <c r="AA475" s="6" t="s">
        <v>91</v>
      </c>
      <c r="AB475" s="6">
        <v>1922.9914000000001</v>
      </c>
      <c r="AC475" s="6">
        <v>85.72</v>
      </c>
      <c r="AD475" s="6">
        <v>0</v>
      </c>
      <c r="AE475" s="6">
        <v>0</v>
      </c>
      <c r="AF475" s="6">
        <v>85.72</v>
      </c>
      <c r="AG475" s="6">
        <v>0</v>
      </c>
      <c r="AH475" s="6">
        <v>0</v>
      </c>
      <c r="AI475" s="6" t="s">
        <v>288</v>
      </c>
      <c r="AJ475" s="6" t="s">
        <v>1791</v>
      </c>
      <c r="AK475" s="6" t="s">
        <v>16</v>
      </c>
      <c r="AL475" s="6" t="s">
        <v>49</v>
      </c>
      <c r="AM475" s="6" t="s">
        <v>1501</v>
      </c>
      <c r="AN475" s="6" t="s">
        <v>26</v>
      </c>
      <c r="AO475" s="6" t="s">
        <v>272</v>
      </c>
      <c r="AP475" s="6" t="s">
        <v>260</v>
      </c>
      <c r="AQ475" s="6" t="s">
        <v>24</v>
      </c>
    </row>
    <row r="476" spans="1:43" x14ac:dyDescent="0.25">
      <c r="A476" s="6">
        <v>22913631</v>
      </c>
      <c r="B476" s="6">
        <v>23686220</v>
      </c>
      <c r="C476" s="6" t="s">
        <v>248</v>
      </c>
      <c r="D476" s="14">
        <v>45912.28229166667</v>
      </c>
      <c r="E476" s="14">
        <v>45912.283854166657</v>
      </c>
      <c r="F476" s="6" t="s">
        <v>17</v>
      </c>
      <c r="G476" s="6" t="s">
        <v>17</v>
      </c>
      <c r="H476" s="6" t="s">
        <v>1792</v>
      </c>
      <c r="I476" s="6" t="s">
        <v>16</v>
      </c>
      <c r="J476" s="6" t="s">
        <v>1793</v>
      </c>
      <c r="K476" s="6" t="s">
        <v>1604</v>
      </c>
      <c r="L476" s="6" t="s">
        <v>495</v>
      </c>
      <c r="M476" s="14">
        <v>45910.693749999999</v>
      </c>
      <c r="N476" s="6" t="s">
        <v>1794</v>
      </c>
      <c r="O476" s="6" t="s">
        <v>91</v>
      </c>
      <c r="P476" s="6" t="s">
        <v>276</v>
      </c>
      <c r="Q476" s="6" t="s">
        <v>1592</v>
      </c>
      <c r="R476" s="6" t="s">
        <v>1593</v>
      </c>
      <c r="S476" s="6" t="s">
        <v>7</v>
      </c>
      <c r="T476" s="6" t="s">
        <v>254</v>
      </c>
      <c r="U476" s="6" t="s">
        <v>116</v>
      </c>
      <c r="V476" s="6" t="s">
        <v>633</v>
      </c>
      <c r="W476" s="6" t="s">
        <v>91</v>
      </c>
      <c r="X476" s="6" t="s">
        <v>1599</v>
      </c>
      <c r="Y476" s="6">
        <v>2953012888</v>
      </c>
      <c r="Z476" s="6" t="s">
        <v>56</v>
      </c>
      <c r="AA476" s="6" t="s">
        <v>91</v>
      </c>
      <c r="AB476" s="6">
        <v>0</v>
      </c>
      <c r="AC476" s="6">
        <v>0</v>
      </c>
      <c r="AD476" s="6">
        <v>450</v>
      </c>
      <c r="AE476" s="6">
        <v>0</v>
      </c>
      <c r="AF476" s="6">
        <v>0</v>
      </c>
      <c r="AG476" s="6">
        <v>0</v>
      </c>
      <c r="AH476" s="6">
        <v>0</v>
      </c>
      <c r="AI476" s="6" t="s">
        <v>288</v>
      </c>
      <c r="AJ476" s="6" t="s">
        <v>1611</v>
      </c>
      <c r="AK476" s="6" t="s">
        <v>16</v>
      </c>
      <c r="AL476" s="6" t="s">
        <v>65</v>
      </c>
      <c r="AM476" s="6" t="s">
        <v>394</v>
      </c>
      <c r="AN476" s="6" t="s">
        <v>20</v>
      </c>
      <c r="AO476" s="6" t="s">
        <v>272</v>
      </c>
      <c r="AP476" s="6" t="s">
        <v>260</v>
      </c>
      <c r="AQ476" s="6" t="s">
        <v>24</v>
      </c>
    </row>
    <row r="477" spans="1:43" x14ac:dyDescent="0.25">
      <c r="A477" s="6">
        <v>22913659</v>
      </c>
      <c r="B477" s="6">
        <v>23686249</v>
      </c>
      <c r="C477" s="6" t="s">
        <v>248</v>
      </c>
      <c r="D477" s="14">
        <v>45912.283865740741</v>
      </c>
      <c r="E477" s="14">
        <v>45912.287210648137</v>
      </c>
      <c r="F477" s="6" t="s">
        <v>17</v>
      </c>
      <c r="G477" s="6" t="s">
        <v>17</v>
      </c>
      <c r="H477" s="6" t="s">
        <v>1795</v>
      </c>
      <c r="I477" s="6" t="s">
        <v>16</v>
      </c>
      <c r="J477" s="6" t="s">
        <v>1796</v>
      </c>
      <c r="K477" s="6" t="s">
        <v>1604</v>
      </c>
      <c r="L477" s="6" t="s">
        <v>495</v>
      </c>
      <c r="M477" s="14">
        <v>45887.34375</v>
      </c>
      <c r="N477" s="6" t="s">
        <v>1795</v>
      </c>
      <c r="O477" s="6" t="s">
        <v>91</v>
      </c>
      <c r="P477" s="6" t="s">
        <v>276</v>
      </c>
      <c r="Q477" s="6" t="s">
        <v>253</v>
      </c>
      <c r="R477" s="6" t="s">
        <v>1463</v>
      </c>
      <c r="S477" s="6" t="s">
        <v>7</v>
      </c>
      <c r="T477" s="6" t="s">
        <v>254</v>
      </c>
      <c r="U477" s="6" t="s">
        <v>116</v>
      </c>
      <c r="V477" s="6" t="s">
        <v>633</v>
      </c>
      <c r="W477" s="6" t="s">
        <v>91</v>
      </c>
      <c r="X477" s="6" t="s">
        <v>1599</v>
      </c>
      <c r="Y477" s="6">
        <v>2952865555</v>
      </c>
      <c r="Z477" s="6" t="s">
        <v>56</v>
      </c>
      <c r="AA477" s="6" t="s">
        <v>91</v>
      </c>
      <c r="AB477" s="6">
        <v>971.47</v>
      </c>
      <c r="AC477" s="6">
        <v>60.62</v>
      </c>
      <c r="AD477" s="6">
        <v>0</v>
      </c>
      <c r="AE477" s="6">
        <v>0</v>
      </c>
      <c r="AF477" s="6">
        <v>60.62</v>
      </c>
      <c r="AG477" s="6">
        <v>0</v>
      </c>
      <c r="AH477" s="6">
        <v>0</v>
      </c>
      <c r="AI477" s="6" t="s">
        <v>288</v>
      </c>
      <c r="AJ477" s="6" t="s">
        <v>1797</v>
      </c>
      <c r="AK477" s="6" t="s">
        <v>16</v>
      </c>
      <c r="AL477" s="6" t="s">
        <v>49</v>
      </c>
      <c r="AM477" s="6" t="s">
        <v>1501</v>
      </c>
      <c r="AN477" s="6" t="s">
        <v>26</v>
      </c>
      <c r="AO477" s="6" t="s">
        <v>272</v>
      </c>
      <c r="AP477" s="6" t="s">
        <v>260</v>
      </c>
      <c r="AQ477" s="6" t="s">
        <v>24</v>
      </c>
    </row>
    <row r="478" spans="1:43" x14ac:dyDescent="0.25">
      <c r="A478" s="6">
        <v>22913659</v>
      </c>
      <c r="B478" s="6">
        <v>23686250</v>
      </c>
      <c r="C478" s="6" t="s">
        <v>637</v>
      </c>
      <c r="D478" s="14">
        <v>45912.283865740741</v>
      </c>
      <c r="E478" s="14">
        <v>45912.287210648137</v>
      </c>
      <c r="F478" s="6" t="s">
        <v>17</v>
      </c>
      <c r="G478" s="6" t="s">
        <v>17</v>
      </c>
      <c r="H478" s="6" t="s">
        <v>1795</v>
      </c>
      <c r="I478" s="6" t="s">
        <v>16</v>
      </c>
      <c r="J478" s="6" t="s">
        <v>1796</v>
      </c>
      <c r="K478" s="6" t="s">
        <v>1604</v>
      </c>
      <c r="L478" s="6" t="s">
        <v>495</v>
      </c>
      <c r="M478" s="14">
        <v>45887.34375</v>
      </c>
      <c r="N478" s="6" t="s">
        <v>1795</v>
      </c>
      <c r="O478" s="6" t="s">
        <v>91</v>
      </c>
      <c r="P478" s="6" t="s">
        <v>276</v>
      </c>
      <c r="Q478" s="6" t="s">
        <v>253</v>
      </c>
      <c r="R478" s="6" t="s">
        <v>1463</v>
      </c>
      <c r="S478" s="6" t="s">
        <v>7</v>
      </c>
      <c r="T478" s="6" t="s">
        <v>254</v>
      </c>
      <c r="U478" s="6" t="s">
        <v>116</v>
      </c>
      <c r="V478" s="6" t="s">
        <v>633</v>
      </c>
      <c r="W478" s="6" t="s">
        <v>91</v>
      </c>
      <c r="X478" s="6" t="s">
        <v>1599</v>
      </c>
      <c r="Y478" s="6">
        <v>2952865556</v>
      </c>
      <c r="Z478" s="6" t="s">
        <v>56</v>
      </c>
      <c r="AA478" s="6" t="s">
        <v>91</v>
      </c>
      <c r="AB478" s="6">
        <v>398.71</v>
      </c>
      <c r="AC478" s="6">
        <v>48.3</v>
      </c>
      <c r="AD478" s="6">
        <v>0</v>
      </c>
      <c r="AE478" s="6">
        <v>0</v>
      </c>
      <c r="AF478" s="6">
        <v>48.3</v>
      </c>
      <c r="AG478" s="6">
        <v>0</v>
      </c>
      <c r="AH478" s="6">
        <v>0</v>
      </c>
      <c r="AI478" s="6" t="s">
        <v>288</v>
      </c>
      <c r="AJ478" s="6" t="s">
        <v>1797</v>
      </c>
      <c r="AK478" s="6" t="s">
        <v>16</v>
      </c>
      <c r="AL478" s="6" t="s">
        <v>49</v>
      </c>
      <c r="AM478" s="6" t="s">
        <v>1501</v>
      </c>
      <c r="AN478" s="6" t="s">
        <v>26</v>
      </c>
      <c r="AO478" s="6" t="s">
        <v>272</v>
      </c>
      <c r="AP478" s="6" t="s">
        <v>260</v>
      </c>
      <c r="AQ478" s="6" t="s">
        <v>24</v>
      </c>
    </row>
    <row r="479" spans="1:43" x14ac:dyDescent="0.25">
      <c r="A479" s="6">
        <v>22911963</v>
      </c>
      <c r="B479" s="6">
        <v>23685043</v>
      </c>
      <c r="C479" s="6" t="s">
        <v>248</v>
      </c>
      <c r="D479" s="14">
        <v>45911.899224537039</v>
      </c>
      <c r="E479" s="14">
        <v>45911.903321759259</v>
      </c>
      <c r="F479" s="6" t="s">
        <v>17</v>
      </c>
      <c r="G479" s="6" t="s">
        <v>17</v>
      </c>
      <c r="H479" s="6" t="s">
        <v>1798</v>
      </c>
      <c r="I479" s="6" t="s">
        <v>16</v>
      </c>
      <c r="J479" s="6" t="s">
        <v>1799</v>
      </c>
      <c r="K479" s="6" t="s">
        <v>1604</v>
      </c>
      <c r="L479" s="6" t="s">
        <v>495</v>
      </c>
      <c r="M479" s="14">
        <v>45891.588194444441</v>
      </c>
      <c r="N479" s="6" t="s">
        <v>1798</v>
      </c>
      <c r="O479" s="6" t="s">
        <v>91</v>
      </c>
      <c r="P479" s="6" t="s">
        <v>276</v>
      </c>
      <c r="Q479" s="6" t="s">
        <v>268</v>
      </c>
      <c r="R479" s="6" t="s">
        <v>269</v>
      </c>
      <c r="S479" s="6" t="s">
        <v>7</v>
      </c>
      <c r="T479" s="6" t="s">
        <v>254</v>
      </c>
      <c r="U479" s="6" t="s">
        <v>116</v>
      </c>
      <c r="V479" s="6" t="s">
        <v>633</v>
      </c>
      <c r="W479" s="6" t="s">
        <v>91</v>
      </c>
      <c r="X479" s="6" t="s">
        <v>1599</v>
      </c>
      <c r="Y479" s="6">
        <v>2953005187</v>
      </c>
      <c r="Z479" s="6" t="s">
        <v>56</v>
      </c>
      <c r="AA479" s="6" t="s">
        <v>91</v>
      </c>
      <c r="AB479" s="6">
        <v>1581.3548000000001</v>
      </c>
      <c r="AC479" s="6">
        <v>94.78</v>
      </c>
      <c r="AD479" s="6">
        <v>0</v>
      </c>
      <c r="AE479" s="6">
        <v>0</v>
      </c>
      <c r="AF479" s="6">
        <v>94.78</v>
      </c>
      <c r="AG479" s="6">
        <v>0</v>
      </c>
      <c r="AH479" s="6">
        <v>0</v>
      </c>
      <c r="AI479" s="6" t="s">
        <v>288</v>
      </c>
      <c r="AJ479" s="6" t="s">
        <v>1800</v>
      </c>
      <c r="AK479" s="6" t="s">
        <v>16</v>
      </c>
      <c r="AL479" s="6" t="s">
        <v>51</v>
      </c>
      <c r="AM479" s="6" t="s">
        <v>1591</v>
      </c>
      <c r="AN479" s="6" t="s">
        <v>20</v>
      </c>
      <c r="AO479" s="6" t="s">
        <v>272</v>
      </c>
      <c r="AP479" s="6" t="s">
        <v>260</v>
      </c>
      <c r="AQ479" s="6" t="s">
        <v>24</v>
      </c>
    </row>
    <row r="480" spans="1:43" x14ac:dyDescent="0.25">
      <c r="A480" s="6">
        <v>22911963</v>
      </c>
      <c r="B480" s="6">
        <v>23685044</v>
      </c>
      <c r="C480" s="6" t="s">
        <v>637</v>
      </c>
      <c r="D480" s="14">
        <v>45911.899224537039</v>
      </c>
      <c r="E480" s="14">
        <v>45911.903321759259</v>
      </c>
      <c r="F480" s="6" t="s">
        <v>17</v>
      </c>
      <c r="G480" s="6" t="s">
        <v>17</v>
      </c>
      <c r="H480" s="6" t="s">
        <v>1798</v>
      </c>
      <c r="I480" s="6" t="s">
        <v>16</v>
      </c>
      <c r="J480" s="6" t="s">
        <v>1799</v>
      </c>
      <c r="K480" s="6" t="s">
        <v>1604</v>
      </c>
      <c r="L480" s="6" t="s">
        <v>495</v>
      </c>
      <c r="M480" s="14">
        <v>45891.588194444441</v>
      </c>
      <c r="N480" s="6" t="s">
        <v>1798</v>
      </c>
      <c r="O480" s="6" t="s">
        <v>91</v>
      </c>
      <c r="P480" s="6" t="s">
        <v>276</v>
      </c>
      <c r="Q480" s="6" t="s">
        <v>1592</v>
      </c>
      <c r="R480" s="6" t="s">
        <v>1593</v>
      </c>
      <c r="S480" s="6" t="s">
        <v>7</v>
      </c>
      <c r="T480" s="6" t="s">
        <v>254</v>
      </c>
      <c r="U480" s="6" t="s">
        <v>116</v>
      </c>
      <c r="V480" s="6" t="s">
        <v>633</v>
      </c>
      <c r="W480" s="6" t="s">
        <v>91</v>
      </c>
      <c r="X480" s="6" t="s">
        <v>1599</v>
      </c>
      <c r="Y480" s="6">
        <v>2953005187</v>
      </c>
      <c r="Z480" s="6" t="s">
        <v>56</v>
      </c>
      <c r="AA480" s="6" t="s">
        <v>91</v>
      </c>
      <c r="AB480" s="6">
        <v>0</v>
      </c>
      <c r="AC480" s="6">
        <v>0</v>
      </c>
      <c r="AD480" s="6">
        <v>450</v>
      </c>
      <c r="AE480" s="6">
        <v>0</v>
      </c>
      <c r="AF480" s="6">
        <v>0</v>
      </c>
      <c r="AG480" s="6">
        <v>0</v>
      </c>
      <c r="AH480" s="6">
        <v>0</v>
      </c>
      <c r="AI480" s="6" t="s">
        <v>288</v>
      </c>
      <c r="AJ480" s="6" t="s">
        <v>1800</v>
      </c>
      <c r="AK480" s="6" t="s">
        <v>16</v>
      </c>
      <c r="AL480" s="6" t="s">
        <v>51</v>
      </c>
      <c r="AM480" s="6" t="s">
        <v>1591</v>
      </c>
      <c r="AN480" s="6" t="s">
        <v>20</v>
      </c>
      <c r="AO480" s="6" t="s">
        <v>272</v>
      </c>
      <c r="AP480" s="6" t="s">
        <v>260</v>
      </c>
      <c r="AQ480" s="6" t="s">
        <v>24</v>
      </c>
    </row>
    <row r="481" spans="1:43" x14ac:dyDescent="0.25">
      <c r="A481" s="6">
        <v>22909249</v>
      </c>
      <c r="B481" s="6">
        <v>23682447</v>
      </c>
      <c r="C481" s="6" t="s">
        <v>248</v>
      </c>
      <c r="D481" s="14">
        <v>45911.625937500001</v>
      </c>
      <c r="E481" s="14">
        <v>45911.630173611113</v>
      </c>
      <c r="F481" s="6" t="s">
        <v>17</v>
      </c>
      <c r="G481" s="6" t="s">
        <v>17</v>
      </c>
      <c r="H481" s="6" t="s">
        <v>1801</v>
      </c>
      <c r="I481" s="6" t="s">
        <v>16</v>
      </c>
      <c r="J481" s="6" t="s">
        <v>1802</v>
      </c>
      <c r="K481" s="6" t="s">
        <v>1604</v>
      </c>
      <c r="L481" s="6" t="s">
        <v>495</v>
      </c>
      <c r="M481" s="14">
        <v>45901.34097222222</v>
      </c>
      <c r="N481" s="6" t="s">
        <v>1801</v>
      </c>
      <c r="O481" s="6" t="s">
        <v>91</v>
      </c>
      <c r="P481" s="6" t="s">
        <v>276</v>
      </c>
      <c r="Q481" s="6" t="s">
        <v>253</v>
      </c>
      <c r="R481" s="6" t="s">
        <v>1463</v>
      </c>
      <c r="S481" s="6" t="s">
        <v>7</v>
      </c>
      <c r="T481" s="6" t="s">
        <v>254</v>
      </c>
      <c r="U481" s="6" t="s">
        <v>116</v>
      </c>
      <c r="V481" s="6" t="s">
        <v>633</v>
      </c>
      <c r="W481" s="6" t="s">
        <v>91</v>
      </c>
      <c r="X481" s="6" t="s">
        <v>1599</v>
      </c>
      <c r="Y481" s="6">
        <v>2952949871</v>
      </c>
      <c r="Z481" s="6" t="s">
        <v>56</v>
      </c>
      <c r="AA481" s="6" t="s">
        <v>91</v>
      </c>
      <c r="AB481" s="6">
        <v>1118.3599999999999</v>
      </c>
      <c r="AC481" s="6">
        <v>56.02</v>
      </c>
      <c r="AD481" s="6">
        <v>0</v>
      </c>
      <c r="AE481" s="6">
        <v>0</v>
      </c>
      <c r="AF481" s="6">
        <v>56.02</v>
      </c>
      <c r="AG481" s="6">
        <v>0</v>
      </c>
      <c r="AH481" s="6">
        <v>0</v>
      </c>
      <c r="AI481" s="6" t="s">
        <v>288</v>
      </c>
      <c r="AJ481" s="6" t="s">
        <v>1803</v>
      </c>
      <c r="AK481" s="6" t="s">
        <v>16</v>
      </c>
      <c r="AL481" s="6" t="s">
        <v>49</v>
      </c>
      <c r="AM481" s="6" t="s">
        <v>1501</v>
      </c>
      <c r="AN481" s="6" t="s">
        <v>26</v>
      </c>
      <c r="AO481" s="6" t="s">
        <v>272</v>
      </c>
      <c r="AP481" s="6" t="s">
        <v>260</v>
      </c>
      <c r="AQ481" s="6" t="s">
        <v>24</v>
      </c>
    </row>
    <row r="482" spans="1:43" x14ac:dyDescent="0.25">
      <c r="A482" s="6">
        <v>22909249</v>
      </c>
      <c r="B482" s="6">
        <v>23682448</v>
      </c>
      <c r="C482" s="6" t="s">
        <v>637</v>
      </c>
      <c r="D482" s="14">
        <v>45911.625937500001</v>
      </c>
      <c r="E482" s="14">
        <v>45911.630173611113</v>
      </c>
      <c r="F482" s="6" t="s">
        <v>17</v>
      </c>
      <c r="G482" s="6" t="s">
        <v>17</v>
      </c>
      <c r="H482" s="6" t="s">
        <v>1801</v>
      </c>
      <c r="I482" s="6" t="s">
        <v>16</v>
      </c>
      <c r="J482" s="6" t="s">
        <v>1802</v>
      </c>
      <c r="K482" s="6" t="s">
        <v>1604</v>
      </c>
      <c r="L482" s="6" t="s">
        <v>495</v>
      </c>
      <c r="M482" s="14">
        <v>45901.34097222222</v>
      </c>
      <c r="N482" s="6" t="s">
        <v>1801</v>
      </c>
      <c r="O482" s="6" t="s">
        <v>91</v>
      </c>
      <c r="P482" s="6" t="s">
        <v>276</v>
      </c>
      <c r="Q482" s="6" t="s">
        <v>253</v>
      </c>
      <c r="R482" s="6" t="s">
        <v>1463</v>
      </c>
      <c r="S482" s="6" t="s">
        <v>7</v>
      </c>
      <c r="T482" s="6" t="s">
        <v>254</v>
      </c>
      <c r="U482" s="6" t="s">
        <v>116</v>
      </c>
      <c r="V482" s="6" t="s">
        <v>633</v>
      </c>
      <c r="W482" s="6" t="s">
        <v>91</v>
      </c>
      <c r="X482" s="6" t="s">
        <v>1599</v>
      </c>
      <c r="Y482" s="6">
        <v>2952949872</v>
      </c>
      <c r="Z482" s="6" t="s">
        <v>56</v>
      </c>
      <c r="AA482" s="6" t="s">
        <v>91</v>
      </c>
      <c r="AB482" s="6">
        <v>646.22</v>
      </c>
      <c r="AC482" s="6">
        <v>48.3</v>
      </c>
      <c r="AD482" s="6">
        <v>0</v>
      </c>
      <c r="AE482" s="6">
        <v>0</v>
      </c>
      <c r="AF482" s="6">
        <v>48.3</v>
      </c>
      <c r="AG482" s="6">
        <v>0</v>
      </c>
      <c r="AH482" s="6">
        <v>0</v>
      </c>
      <c r="AI482" s="6" t="s">
        <v>288</v>
      </c>
      <c r="AJ482" s="6" t="s">
        <v>1803</v>
      </c>
      <c r="AK482" s="6" t="s">
        <v>16</v>
      </c>
      <c r="AL482" s="6" t="s">
        <v>49</v>
      </c>
      <c r="AM482" s="6" t="s">
        <v>1501</v>
      </c>
      <c r="AN482" s="6" t="s">
        <v>26</v>
      </c>
      <c r="AO482" s="6" t="s">
        <v>272</v>
      </c>
      <c r="AP482" s="6" t="s">
        <v>260</v>
      </c>
      <c r="AQ482" s="6" t="s">
        <v>24</v>
      </c>
    </row>
    <row r="483" spans="1:43" x14ac:dyDescent="0.25">
      <c r="A483" s="6">
        <v>22855200</v>
      </c>
      <c r="B483" s="6">
        <v>23635963</v>
      </c>
      <c r="C483" s="6" t="s">
        <v>248</v>
      </c>
      <c r="D483" s="14">
        <v>45902.648460648154</v>
      </c>
      <c r="E483" s="14">
        <v>45911.561122685183</v>
      </c>
      <c r="F483" s="6" t="s">
        <v>17</v>
      </c>
      <c r="G483" s="6" t="s">
        <v>23</v>
      </c>
      <c r="H483" s="6" t="s">
        <v>1804</v>
      </c>
      <c r="I483" s="6" t="s">
        <v>16</v>
      </c>
      <c r="J483" s="6" t="s">
        <v>1805</v>
      </c>
      <c r="K483" s="6" t="s">
        <v>1806</v>
      </c>
      <c r="L483" s="6" t="s">
        <v>495</v>
      </c>
      <c r="M483" s="14">
        <v>45875.613194444442</v>
      </c>
      <c r="N483" s="6" t="s">
        <v>1804</v>
      </c>
      <c r="O483" s="6" t="s">
        <v>91</v>
      </c>
      <c r="P483" s="6" t="s">
        <v>252</v>
      </c>
      <c r="Q483" s="6" t="s">
        <v>1592</v>
      </c>
      <c r="R483" s="6" t="s">
        <v>1593</v>
      </c>
      <c r="S483" s="6" t="s">
        <v>7</v>
      </c>
      <c r="T483" s="6" t="s">
        <v>254</v>
      </c>
      <c r="U483" s="6" t="s">
        <v>158</v>
      </c>
      <c r="V483" s="6" t="s">
        <v>629</v>
      </c>
      <c r="W483" s="6" t="s">
        <v>91</v>
      </c>
      <c r="X483" s="6" t="s">
        <v>1599</v>
      </c>
      <c r="Y483" s="6">
        <v>2971622816</v>
      </c>
      <c r="Z483" s="6" t="s">
        <v>54</v>
      </c>
      <c r="AA483" s="6" t="s">
        <v>91</v>
      </c>
      <c r="AB483" s="6">
        <v>0</v>
      </c>
      <c r="AC483" s="6">
        <v>0</v>
      </c>
      <c r="AD483" s="6">
        <v>450</v>
      </c>
      <c r="AE483" s="6">
        <v>0</v>
      </c>
      <c r="AF483" s="6">
        <v>11.75</v>
      </c>
      <c r="AG483" s="6">
        <v>0</v>
      </c>
      <c r="AH483" s="6">
        <v>0</v>
      </c>
      <c r="AI483" s="6" t="s">
        <v>288</v>
      </c>
      <c r="AJ483" s="6" t="s">
        <v>1807</v>
      </c>
      <c r="AK483" s="6" t="s">
        <v>16</v>
      </c>
      <c r="AL483" s="6" t="s">
        <v>51</v>
      </c>
      <c r="AM483" s="6" t="s">
        <v>1591</v>
      </c>
      <c r="AN483" s="6" t="s">
        <v>20</v>
      </c>
      <c r="AO483" s="6" t="s">
        <v>272</v>
      </c>
      <c r="AP483" s="6" t="s">
        <v>260</v>
      </c>
      <c r="AQ483" s="6" t="s">
        <v>24</v>
      </c>
    </row>
    <row r="484" spans="1:43" x14ac:dyDescent="0.25">
      <c r="A484" s="6">
        <v>22855200</v>
      </c>
      <c r="B484" s="6">
        <v>23635964</v>
      </c>
      <c r="C484" s="6" t="s">
        <v>637</v>
      </c>
      <c r="D484" s="14">
        <v>45902.648460648154</v>
      </c>
      <c r="E484" s="14">
        <v>45911.561122685183</v>
      </c>
      <c r="F484" s="6" t="s">
        <v>17</v>
      </c>
      <c r="G484" s="6" t="s">
        <v>23</v>
      </c>
      <c r="H484" s="6" t="s">
        <v>1804</v>
      </c>
      <c r="I484" s="6" t="s">
        <v>16</v>
      </c>
      <c r="J484" s="6" t="s">
        <v>1805</v>
      </c>
      <c r="K484" s="6" t="s">
        <v>1806</v>
      </c>
      <c r="L484" s="6" t="s">
        <v>495</v>
      </c>
      <c r="M484" s="14">
        <v>45875.613194444442</v>
      </c>
      <c r="N484" s="6" t="s">
        <v>1804</v>
      </c>
      <c r="O484" s="6" t="s">
        <v>91</v>
      </c>
      <c r="P484" s="6" t="s">
        <v>252</v>
      </c>
      <c r="Q484" s="6" t="s">
        <v>1592</v>
      </c>
      <c r="R484" s="6" t="s">
        <v>1593</v>
      </c>
      <c r="S484" s="6" t="s">
        <v>7</v>
      </c>
      <c r="T484" s="6" t="s">
        <v>254</v>
      </c>
      <c r="U484" s="6" t="s">
        <v>158</v>
      </c>
      <c r="V484" s="6" t="s">
        <v>629</v>
      </c>
      <c r="W484" s="6" t="s">
        <v>91</v>
      </c>
      <c r="X484" s="6" t="s">
        <v>1599</v>
      </c>
      <c r="Y484" s="6">
        <v>2971622816</v>
      </c>
      <c r="Z484" s="6" t="s">
        <v>54</v>
      </c>
      <c r="AA484" s="6" t="s">
        <v>91</v>
      </c>
      <c r="AB484" s="6">
        <v>256.43630000000002</v>
      </c>
      <c r="AC484" s="6">
        <v>0</v>
      </c>
      <c r="AD484" s="6">
        <v>450</v>
      </c>
      <c r="AE484" s="6">
        <v>0</v>
      </c>
      <c r="AF484" s="6">
        <v>0</v>
      </c>
      <c r="AG484" s="6">
        <v>0</v>
      </c>
      <c r="AH484" s="6">
        <v>0</v>
      </c>
      <c r="AI484" s="6" t="s">
        <v>288</v>
      </c>
      <c r="AJ484" s="6" t="s">
        <v>1807</v>
      </c>
      <c r="AK484" s="6" t="s">
        <v>16</v>
      </c>
      <c r="AL484" s="6" t="s">
        <v>51</v>
      </c>
      <c r="AM484" s="6" t="s">
        <v>1591</v>
      </c>
      <c r="AN484" s="6" t="s">
        <v>20</v>
      </c>
      <c r="AO484" s="6" t="s">
        <v>272</v>
      </c>
      <c r="AP484" s="6" t="s">
        <v>260</v>
      </c>
      <c r="AQ484" s="6" t="s">
        <v>24</v>
      </c>
    </row>
    <row r="485" spans="1:43" x14ac:dyDescent="0.25">
      <c r="A485" s="6">
        <v>22909287</v>
      </c>
      <c r="B485" s="6">
        <v>23682493</v>
      </c>
      <c r="C485" s="6" t="s">
        <v>248</v>
      </c>
      <c r="D485" s="14">
        <v>45911.629062499997</v>
      </c>
      <c r="E485" s="14">
        <v>45911.632476851853</v>
      </c>
      <c r="F485" s="6" t="s">
        <v>17</v>
      </c>
      <c r="G485" s="6" t="s">
        <v>17</v>
      </c>
      <c r="H485" s="6" t="s">
        <v>1808</v>
      </c>
      <c r="I485" s="6" t="s">
        <v>16</v>
      </c>
      <c r="J485" s="6" t="s">
        <v>1809</v>
      </c>
      <c r="K485" s="6" t="s">
        <v>1604</v>
      </c>
      <c r="L485" s="6" t="s">
        <v>495</v>
      </c>
      <c r="M485" s="14">
        <v>45909.59652777778</v>
      </c>
      <c r="N485" s="6" t="s">
        <v>1808</v>
      </c>
      <c r="O485" s="6" t="s">
        <v>91</v>
      </c>
      <c r="P485" s="6" t="s">
        <v>276</v>
      </c>
      <c r="Q485" s="6" t="s">
        <v>1592</v>
      </c>
      <c r="R485" s="6" t="s">
        <v>1593</v>
      </c>
      <c r="S485" s="6" t="s">
        <v>7</v>
      </c>
      <c r="T485" s="6" t="s">
        <v>254</v>
      </c>
      <c r="U485" s="6" t="s">
        <v>116</v>
      </c>
      <c r="V485" s="6" t="s">
        <v>633</v>
      </c>
      <c r="W485" s="6" t="s">
        <v>91</v>
      </c>
      <c r="X485" s="6" t="s">
        <v>1599</v>
      </c>
      <c r="Y485" s="6">
        <v>2952994647</v>
      </c>
      <c r="Z485" s="6" t="s">
        <v>56</v>
      </c>
      <c r="AA485" s="6" t="s">
        <v>91</v>
      </c>
      <c r="AB485" s="6">
        <v>0</v>
      </c>
      <c r="AC485" s="6">
        <v>0</v>
      </c>
      <c r="AD485" s="6">
        <v>450</v>
      </c>
      <c r="AE485" s="6">
        <v>0</v>
      </c>
      <c r="AF485" s="6">
        <v>46.93</v>
      </c>
      <c r="AG485" s="6">
        <v>0</v>
      </c>
      <c r="AH485" s="6">
        <v>0</v>
      </c>
      <c r="AI485" s="6" t="s">
        <v>288</v>
      </c>
      <c r="AJ485" s="6" t="s">
        <v>1810</v>
      </c>
      <c r="AK485" s="6" t="s">
        <v>16</v>
      </c>
      <c r="AL485" s="6" t="s">
        <v>49</v>
      </c>
      <c r="AM485" s="6" t="s">
        <v>1501</v>
      </c>
      <c r="AN485" s="6" t="s">
        <v>26</v>
      </c>
      <c r="AO485" s="6" t="s">
        <v>272</v>
      </c>
      <c r="AP485" s="6" t="s">
        <v>260</v>
      </c>
      <c r="AQ485" s="6" t="s">
        <v>24</v>
      </c>
    </row>
    <row r="486" spans="1:43" x14ac:dyDescent="0.25">
      <c r="A486" s="6">
        <v>22904979</v>
      </c>
      <c r="B486" s="6">
        <v>23678957</v>
      </c>
      <c r="C486" s="6" t="s">
        <v>248</v>
      </c>
      <c r="D486" s="14">
        <v>45910.876782407409</v>
      </c>
      <c r="E486" s="14">
        <v>45911.561249999999</v>
      </c>
      <c r="F486" s="6" t="s">
        <v>17</v>
      </c>
      <c r="G486" s="6" t="s">
        <v>17</v>
      </c>
      <c r="H486" s="6" t="s">
        <v>632</v>
      </c>
      <c r="I486" s="6" t="s">
        <v>16</v>
      </c>
      <c r="J486" s="6" t="s">
        <v>1811</v>
      </c>
      <c r="K486" s="6" t="s">
        <v>1588</v>
      </c>
      <c r="L486" s="6" t="s">
        <v>495</v>
      </c>
      <c r="M486" s="14">
        <v>45839.367361111108</v>
      </c>
      <c r="N486" s="6" t="s">
        <v>632</v>
      </c>
      <c r="O486" s="6" t="s">
        <v>91</v>
      </c>
      <c r="P486" s="6" t="s">
        <v>276</v>
      </c>
      <c r="Q486" s="6" t="s">
        <v>253</v>
      </c>
      <c r="R486" s="6" t="s">
        <v>1463</v>
      </c>
      <c r="S486" s="6" t="s">
        <v>7</v>
      </c>
      <c r="T486" s="6" t="s">
        <v>254</v>
      </c>
      <c r="U486" s="6" t="s">
        <v>116</v>
      </c>
      <c r="V486" s="6" t="s">
        <v>633</v>
      </c>
      <c r="W486" s="6" t="s">
        <v>91</v>
      </c>
      <c r="X486" s="6" t="s">
        <v>1599</v>
      </c>
      <c r="Y486" s="6">
        <v>9781620000</v>
      </c>
      <c r="Z486" s="6" t="s">
        <v>56</v>
      </c>
      <c r="AA486" s="6" t="s">
        <v>91</v>
      </c>
      <c r="AB486" s="6">
        <v>17566.400000000001</v>
      </c>
      <c r="AC486" s="6">
        <v>55.65</v>
      </c>
      <c r="AD486" s="6">
        <v>811.38</v>
      </c>
      <c r="AE486" s="6">
        <v>0</v>
      </c>
      <c r="AF486" s="6">
        <v>55.65</v>
      </c>
      <c r="AG486" s="6">
        <v>0</v>
      </c>
      <c r="AH486" s="6">
        <v>0</v>
      </c>
      <c r="AI486" s="6" t="s">
        <v>288</v>
      </c>
      <c r="AJ486" s="6" t="s">
        <v>1812</v>
      </c>
      <c r="AK486" s="6" t="s">
        <v>16</v>
      </c>
      <c r="AL486" s="6" t="s">
        <v>51</v>
      </c>
      <c r="AM486" s="6" t="s">
        <v>1591</v>
      </c>
      <c r="AN486" s="6" t="s">
        <v>20</v>
      </c>
      <c r="AO486" s="6" t="s">
        <v>272</v>
      </c>
      <c r="AP486" s="6" t="s">
        <v>260</v>
      </c>
      <c r="AQ486" s="6" t="s">
        <v>24</v>
      </c>
    </row>
    <row r="487" spans="1:43" x14ac:dyDescent="0.25">
      <c r="A487" s="6">
        <v>22904979</v>
      </c>
      <c r="B487" s="6">
        <v>23678958</v>
      </c>
      <c r="C487" s="6" t="s">
        <v>637</v>
      </c>
      <c r="D487" s="14">
        <v>45910.876782407409</v>
      </c>
      <c r="E487" s="14">
        <v>45911.561249999999</v>
      </c>
      <c r="F487" s="6" t="s">
        <v>17</v>
      </c>
      <c r="G487" s="6" t="s">
        <v>17</v>
      </c>
      <c r="H487" s="6" t="s">
        <v>632</v>
      </c>
      <c r="I487" s="6" t="s">
        <v>16</v>
      </c>
      <c r="J487" s="6" t="s">
        <v>1811</v>
      </c>
      <c r="K487" s="6" t="s">
        <v>1588</v>
      </c>
      <c r="L487" s="6" t="s">
        <v>495</v>
      </c>
      <c r="M487" s="14">
        <v>45839.367361111108</v>
      </c>
      <c r="N487" s="6" t="s">
        <v>632</v>
      </c>
      <c r="O487" s="6" t="s">
        <v>91</v>
      </c>
      <c r="P487" s="6" t="s">
        <v>276</v>
      </c>
      <c r="Q487" s="6" t="s">
        <v>1592</v>
      </c>
      <c r="R487" s="6" t="s">
        <v>1593</v>
      </c>
      <c r="S487" s="6" t="s">
        <v>7</v>
      </c>
      <c r="T487" s="6" t="s">
        <v>254</v>
      </c>
      <c r="U487" s="6" t="s">
        <v>116</v>
      </c>
      <c r="V487" s="6" t="s">
        <v>633</v>
      </c>
      <c r="W487" s="6" t="s">
        <v>91</v>
      </c>
      <c r="X487" s="6" t="s">
        <v>1599</v>
      </c>
      <c r="Y487" s="6">
        <v>9781620000</v>
      </c>
      <c r="Z487" s="6" t="s">
        <v>56</v>
      </c>
      <c r="AA487" s="6" t="s">
        <v>91</v>
      </c>
      <c r="AB487" s="6">
        <v>0</v>
      </c>
      <c r="AC487" s="6">
        <v>3.89</v>
      </c>
      <c r="AD487" s="6">
        <v>0</v>
      </c>
      <c r="AE487" s="6">
        <v>0</v>
      </c>
      <c r="AF487" s="6">
        <v>3.89</v>
      </c>
      <c r="AG487" s="6">
        <v>0</v>
      </c>
      <c r="AH487" s="6">
        <v>0</v>
      </c>
      <c r="AI487" s="6" t="s">
        <v>288</v>
      </c>
      <c r="AJ487" s="6" t="s">
        <v>1812</v>
      </c>
      <c r="AK487" s="6" t="s">
        <v>16</v>
      </c>
      <c r="AL487" s="6" t="s">
        <v>51</v>
      </c>
      <c r="AM487" s="6" t="s">
        <v>1591</v>
      </c>
      <c r="AN487" s="6" t="s">
        <v>20</v>
      </c>
      <c r="AO487" s="6" t="s">
        <v>272</v>
      </c>
      <c r="AP487" s="6" t="s">
        <v>260</v>
      </c>
      <c r="AQ487" s="6" t="s">
        <v>24</v>
      </c>
    </row>
    <row r="488" spans="1:43" x14ac:dyDescent="0.25">
      <c r="A488" s="6">
        <v>22911979</v>
      </c>
      <c r="B488" s="6">
        <v>23685349</v>
      </c>
      <c r="C488" s="6" t="s">
        <v>637</v>
      </c>
      <c r="D488" s="14">
        <v>45911.900416666656</v>
      </c>
      <c r="E488" s="14">
        <v>45912.002442129633</v>
      </c>
      <c r="F488" s="6" t="s">
        <v>17</v>
      </c>
      <c r="G488" s="6" t="s">
        <v>17</v>
      </c>
      <c r="H488" s="6" t="s">
        <v>1813</v>
      </c>
      <c r="I488" s="6" t="s">
        <v>16</v>
      </c>
      <c r="J488" s="6" t="s">
        <v>1814</v>
      </c>
      <c r="K488" s="6" t="s">
        <v>1649</v>
      </c>
      <c r="L488" s="6" t="s">
        <v>470</v>
      </c>
      <c r="M488" s="14">
        <v>45911.490972222222</v>
      </c>
      <c r="N488" s="6" t="s">
        <v>1813</v>
      </c>
      <c r="O488" s="6" t="s">
        <v>91</v>
      </c>
      <c r="P488" s="6" t="s">
        <v>276</v>
      </c>
      <c r="Q488" s="6" t="s">
        <v>268</v>
      </c>
      <c r="R488" s="6" t="s">
        <v>269</v>
      </c>
      <c r="S488" s="6" t="s">
        <v>7</v>
      </c>
      <c r="T488" s="6" t="s">
        <v>254</v>
      </c>
      <c r="U488" s="6" t="s">
        <v>144</v>
      </c>
      <c r="V488" s="6" t="s">
        <v>1815</v>
      </c>
      <c r="W488" s="6" t="s">
        <v>91</v>
      </c>
      <c r="X488" s="6" t="s">
        <v>1599</v>
      </c>
      <c r="Y488" s="6">
        <v>2971325536</v>
      </c>
      <c r="Z488" s="6" t="s">
        <v>54</v>
      </c>
      <c r="AA488" s="6" t="s">
        <v>91</v>
      </c>
      <c r="AB488" s="6">
        <v>2609.37</v>
      </c>
      <c r="AC488" s="6">
        <v>141.09</v>
      </c>
      <c r="AD488" s="6">
        <v>464.67</v>
      </c>
      <c r="AE488" s="6">
        <v>0</v>
      </c>
      <c r="AF488" s="6">
        <v>141.09</v>
      </c>
      <c r="AG488" s="6">
        <v>0</v>
      </c>
      <c r="AH488" s="6">
        <v>0</v>
      </c>
      <c r="AI488" s="6" t="s">
        <v>288</v>
      </c>
      <c r="AJ488" s="6" t="s">
        <v>1816</v>
      </c>
      <c r="AK488" s="6" t="s">
        <v>16</v>
      </c>
      <c r="AL488" s="6" t="s">
        <v>57</v>
      </c>
      <c r="AM488" s="6" t="s">
        <v>1509</v>
      </c>
      <c r="AN488" s="6" t="s">
        <v>43</v>
      </c>
      <c r="AO488" s="6" t="s">
        <v>272</v>
      </c>
      <c r="AP488" s="6" t="s">
        <v>260</v>
      </c>
      <c r="AQ488" s="6" t="s">
        <v>24</v>
      </c>
    </row>
    <row r="489" spans="1:43" x14ac:dyDescent="0.25">
      <c r="A489" s="6">
        <v>22905117</v>
      </c>
      <c r="B489" s="6">
        <v>23679088</v>
      </c>
      <c r="C489" s="6" t="s">
        <v>248</v>
      </c>
      <c r="D489" s="14">
        <v>45910.885393518518</v>
      </c>
      <c r="E489" s="14">
        <v>45911.561377314807</v>
      </c>
      <c r="F489" s="6" t="s">
        <v>17</v>
      </c>
      <c r="G489" s="6" t="s">
        <v>17</v>
      </c>
      <c r="H489" s="6" t="s">
        <v>1817</v>
      </c>
      <c r="I489" s="6" t="s">
        <v>16</v>
      </c>
      <c r="J489" s="6" t="s">
        <v>1818</v>
      </c>
      <c r="K489" s="6" t="s">
        <v>1604</v>
      </c>
      <c r="L489" s="6" t="s">
        <v>623</v>
      </c>
      <c r="M489" s="14">
        <v>45908</v>
      </c>
      <c r="N489" s="6" t="s">
        <v>1817</v>
      </c>
      <c r="O489" s="6" t="s">
        <v>91</v>
      </c>
      <c r="P489" s="6" t="s">
        <v>276</v>
      </c>
      <c r="Q489" s="6" t="s">
        <v>253</v>
      </c>
      <c r="R489" s="6" t="s">
        <v>253</v>
      </c>
      <c r="S489" s="6" t="s">
        <v>7</v>
      </c>
      <c r="T489" s="6" t="s">
        <v>254</v>
      </c>
      <c r="U489" s="6" t="s">
        <v>158</v>
      </c>
      <c r="V489" s="6" t="s">
        <v>625</v>
      </c>
      <c r="W489" s="6" t="s">
        <v>91</v>
      </c>
      <c r="X489" s="6" t="s">
        <v>1599</v>
      </c>
      <c r="Y489" s="6">
        <v>2953004151</v>
      </c>
      <c r="Z489" s="6" t="s">
        <v>54</v>
      </c>
      <c r="AA489" s="6" t="s">
        <v>91</v>
      </c>
      <c r="AB489" s="6">
        <v>542.23</v>
      </c>
      <c r="AC489" s="6">
        <v>59.95</v>
      </c>
      <c r="AD489" s="6">
        <v>0</v>
      </c>
      <c r="AE489" s="6">
        <v>0</v>
      </c>
      <c r="AF489" s="6">
        <v>59.95</v>
      </c>
      <c r="AG489" s="6">
        <v>0</v>
      </c>
      <c r="AH489" s="6">
        <v>0</v>
      </c>
      <c r="AI489" s="6" t="s">
        <v>288</v>
      </c>
      <c r="AJ489" s="6" t="s">
        <v>1819</v>
      </c>
      <c r="AK489" s="6" t="s">
        <v>16</v>
      </c>
      <c r="AL489" s="6" t="s">
        <v>69</v>
      </c>
      <c r="AM489" s="6" t="s">
        <v>67</v>
      </c>
      <c r="AN489" s="6" t="s">
        <v>20</v>
      </c>
      <c r="AO489" s="6" t="s">
        <v>272</v>
      </c>
      <c r="AP489" s="6" t="s">
        <v>260</v>
      </c>
      <c r="AQ489" s="6" t="s">
        <v>24</v>
      </c>
    </row>
    <row r="490" spans="1:43" x14ac:dyDescent="0.25">
      <c r="A490" s="6">
        <v>22909622</v>
      </c>
      <c r="B490" s="6">
        <v>23682863</v>
      </c>
      <c r="C490" s="6" t="s">
        <v>248</v>
      </c>
      <c r="D490" s="14">
        <v>45911.671875</v>
      </c>
      <c r="E490" s="14">
        <v>45911.681192129632</v>
      </c>
      <c r="F490" s="6" t="s">
        <v>17</v>
      </c>
      <c r="G490" s="6" t="s">
        <v>17</v>
      </c>
      <c r="H490" s="6" t="s">
        <v>1820</v>
      </c>
      <c r="I490" s="6" t="s">
        <v>13</v>
      </c>
      <c r="J490" s="6" t="s">
        <v>1821</v>
      </c>
      <c r="K490" s="6" t="s">
        <v>275</v>
      </c>
      <c r="L490" s="6" t="s">
        <v>275</v>
      </c>
      <c r="M490" s="14">
        <v>45845.708333333343</v>
      </c>
      <c r="N490" s="6">
        <v>4595885</v>
      </c>
      <c r="O490" s="6" t="s">
        <v>91</v>
      </c>
      <c r="P490" s="6" t="s">
        <v>252</v>
      </c>
      <c r="Q490" s="6" t="s">
        <v>253</v>
      </c>
      <c r="R490" s="6" t="s">
        <v>1463</v>
      </c>
      <c r="S490" s="6" t="s">
        <v>7</v>
      </c>
      <c r="T490" s="6" t="s">
        <v>254</v>
      </c>
      <c r="U490" s="6" t="s">
        <v>152</v>
      </c>
      <c r="V490" s="6" t="s">
        <v>1178</v>
      </c>
      <c r="W490" s="6" t="s">
        <v>91</v>
      </c>
      <c r="X490" s="6" t="s">
        <v>1822</v>
      </c>
      <c r="Y490" s="6">
        <v>2971325483</v>
      </c>
      <c r="Z490" s="6" t="s">
        <v>92</v>
      </c>
      <c r="AA490" s="6" t="s">
        <v>91</v>
      </c>
      <c r="AB490" s="6">
        <v>30206.046300000002</v>
      </c>
      <c r="AC490" s="6">
        <v>490.25</v>
      </c>
      <c r="AD490" s="6">
        <v>0</v>
      </c>
      <c r="AE490" s="6">
        <v>0</v>
      </c>
      <c r="AF490" s="6">
        <v>0</v>
      </c>
      <c r="AG490" s="6">
        <v>0</v>
      </c>
      <c r="AH490" s="6">
        <v>0</v>
      </c>
      <c r="AI490" s="6" t="s">
        <v>1823</v>
      </c>
      <c r="AJ490" s="6" t="s">
        <v>1824</v>
      </c>
      <c r="AK490" s="6" t="s">
        <v>13</v>
      </c>
      <c r="AL490" s="6" t="s">
        <v>49</v>
      </c>
      <c r="AM490" s="6" t="s">
        <v>1501</v>
      </c>
      <c r="AN490" s="6" t="s">
        <v>26</v>
      </c>
      <c r="AO490" s="6" t="s">
        <v>272</v>
      </c>
      <c r="AP490" s="6" t="s">
        <v>260</v>
      </c>
      <c r="AQ490" s="6" t="s">
        <v>37</v>
      </c>
    </row>
    <row r="491" spans="1:43" x14ac:dyDescent="0.25">
      <c r="A491" s="6">
        <v>22911979</v>
      </c>
      <c r="B491" s="6">
        <v>23685065</v>
      </c>
      <c r="C491" s="6" t="s">
        <v>248</v>
      </c>
      <c r="D491" s="14">
        <v>45911.900416666656</v>
      </c>
      <c r="E491" s="14">
        <v>45912.002442129633</v>
      </c>
      <c r="F491" s="6" t="s">
        <v>17</v>
      </c>
      <c r="G491" s="6" t="s">
        <v>17</v>
      </c>
      <c r="H491" s="6" t="s">
        <v>1813</v>
      </c>
      <c r="I491" s="6" t="s">
        <v>16</v>
      </c>
      <c r="J491" s="6" t="s">
        <v>1825</v>
      </c>
      <c r="K491" s="6" t="s">
        <v>1649</v>
      </c>
      <c r="L491" s="6" t="s">
        <v>470</v>
      </c>
      <c r="M491" s="14">
        <v>45911.490972222222</v>
      </c>
      <c r="N491" s="6" t="s">
        <v>1813</v>
      </c>
      <c r="O491" s="6" t="s">
        <v>91</v>
      </c>
      <c r="P491" s="6" t="s">
        <v>276</v>
      </c>
      <c r="Q491" s="6" t="s">
        <v>253</v>
      </c>
      <c r="R491" s="6" t="s">
        <v>253</v>
      </c>
      <c r="S491" s="6" t="s">
        <v>7</v>
      </c>
      <c r="T491" s="6" t="s">
        <v>254</v>
      </c>
      <c r="U491" s="6" t="s">
        <v>144</v>
      </c>
      <c r="V491" s="6" t="s">
        <v>1815</v>
      </c>
      <c r="W491" s="6" t="s">
        <v>91</v>
      </c>
      <c r="X491" s="6" t="s">
        <v>1826</v>
      </c>
      <c r="Y491" s="6">
        <v>2971325536</v>
      </c>
      <c r="Z491" s="6" t="s">
        <v>54</v>
      </c>
      <c r="AA491" s="6" t="s">
        <v>91</v>
      </c>
      <c r="AB491" s="6">
        <v>24128.03</v>
      </c>
      <c r="AC491" s="6">
        <v>141.09</v>
      </c>
      <c r="AD491" s="6">
        <v>464.67</v>
      </c>
      <c r="AE491" s="6">
        <v>0</v>
      </c>
      <c r="AF491" s="6">
        <v>0</v>
      </c>
      <c r="AG491" s="6">
        <v>0</v>
      </c>
      <c r="AH491" s="6">
        <v>0</v>
      </c>
      <c r="AI491" s="6" t="s">
        <v>288</v>
      </c>
      <c r="AJ491" s="6" t="s">
        <v>1816</v>
      </c>
      <c r="AK491" s="6" t="s">
        <v>16</v>
      </c>
      <c r="AL491" s="6" t="s">
        <v>57</v>
      </c>
      <c r="AM491" s="6" t="s">
        <v>1509</v>
      </c>
      <c r="AN491" s="6" t="s">
        <v>43</v>
      </c>
      <c r="AO491" s="6" t="s">
        <v>272</v>
      </c>
      <c r="AP491" s="6" t="s">
        <v>260</v>
      </c>
      <c r="AQ491" s="6" t="s">
        <v>24</v>
      </c>
    </row>
    <row r="492" spans="1:43" x14ac:dyDescent="0.25">
      <c r="A492" s="6">
        <v>22903055</v>
      </c>
      <c r="B492" s="6">
        <v>23677170</v>
      </c>
      <c r="C492" s="6" t="s">
        <v>1671</v>
      </c>
      <c r="D492" s="14">
        <v>45910.684803240743</v>
      </c>
      <c r="E492" s="14">
        <v>45910.692326388889</v>
      </c>
      <c r="F492" s="6" t="s">
        <v>17</v>
      </c>
      <c r="G492" s="6" t="s">
        <v>17</v>
      </c>
      <c r="H492" s="6" t="s">
        <v>1827</v>
      </c>
      <c r="I492" s="6" t="s">
        <v>15</v>
      </c>
      <c r="J492" s="6" t="s">
        <v>1828</v>
      </c>
      <c r="K492" s="6" t="s">
        <v>1538</v>
      </c>
      <c r="L492" s="6" t="s">
        <v>1806</v>
      </c>
      <c r="M492" s="14">
        <v>45905.68472222222</v>
      </c>
      <c r="N492" s="6">
        <v>83508</v>
      </c>
      <c r="O492" s="6" t="s">
        <v>91</v>
      </c>
      <c r="P492" s="6" t="s">
        <v>252</v>
      </c>
      <c r="Q492" s="6" t="s">
        <v>253</v>
      </c>
      <c r="R492" s="6" t="s">
        <v>1463</v>
      </c>
      <c r="S492" s="6" t="s">
        <v>7</v>
      </c>
      <c r="T492" s="6" t="s">
        <v>254</v>
      </c>
      <c r="U492" s="6" t="s">
        <v>166</v>
      </c>
      <c r="V492" s="6" t="s">
        <v>1539</v>
      </c>
      <c r="W492" s="6" t="s">
        <v>91</v>
      </c>
      <c r="X492" s="6" t="s">
        <v>1829</v>
      </c>
      <c r="Y492" s="6">
        <v>2952970705</v>
      </c>
      <c r="Z492" s="6" t="s">
        <v>101</v>
      </c>
      <c r="AA492" s="6" t="s">
        <v>91</v>
      </c>
      <c r="AB492" s="6">
        <v>14580.18</v>
      </c>
      <c r="AC492" s="6">
        <v>1328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91</v>
      </c>
      <c r="AJ492" s="6" t="s">
        <v>1830</v>
      </c>
      <c r="AK492" s="6" t="s">
        <v>15</v>
      </c>
      <c r="AL492" s="6" t="s">
        <v>51</v>
      </c>
      <c r="AM492" s="6" t="s">
        <v>1591</v>
      </c>
      <c r="AN492" s="6" t="s">
        <v>20</v>
      </c>
      <c r="AO492" s="6" t="s">
        <v>272</v>
      </c>
      <c r="AP492" s="6" t="s">
        <v>260</v>
      </c>
      <c r="AQ492" s="6" t="s">
        <v>24</v>
      </c>
    </row>
    <row r="493" spans="1:43" x14ac:dyDescent="0.25">
      <c r="A493" s="6">
        <v>22908765</v>
      </c>
      <c r="B493" s="6">
        <v>23682039</v>
      </c>
      <c r="C493" s="6" t="s">
        <v>248</v>
      </c>
      <c r="D493" s="14">
        <v>45911.533877314818</v>
      </c>
      <c r="E493" s="14">
        <v>45911.929178240738</v>
      </c>
      <c r="F493" s="6" t="s">
        <v>17</v>
      </c>
      <c r="G493" s="6" t="s">
        <v>17</v>
      </c>
      <c r="H493" s="6" t="s">
        <v>1831</v>
      </c>
      <c r="I493" s="6" t="s">
        <v>337</v>
      </c>
      <c r="J493" s="6" t="s">
        <v>1832</v>
      </c>
      <c r="K493" s="6" t="s">
        <v>1833</v>
      </c>
      <c r="L493" s="6" t="s">
        <v>1833</v>
      </c>
      <c r="M493" s="14">
        <v>45911.445138888892</v>
      </c>
      <c r="N493" s="6">
        <v>11723</v>
      </c>
      <c r="O493" s="6" t="s">
        <v>91</v>
      </c>
      <c r="P493" s="6" t="s">
        <v>252</v>
      </c>
      <c r="Q493" s="6" t="s">
        <v>268</v>
      </c>
      <c r="R493" s="6" t="s">
        <v>269</v>
      </c>
      <c r="S493" s="6" t="s">
        <v>7</v>
      </c>
      <c r="T493" s="6" t="s">
        <v>254</v>
      </c>
      <c r="U493" s="6" t="s">
        <v>125</v>
      </c>
      <c r="V493" s="6" t="s">
        <v>340</v>
      </c>
      <c r="W493" s="6" t="s">
        <v>91</v>
      </c>
      <c r="X493" s="6" t="s">
        <v>1829</v>
      </c>
      <c r="Y493" s="6">
        <v>1928692523</v>
      </c>
      <c r="Z493" s="6" t="s">
        <v>68</v>
      </c>
      <c r="AA493" s="6" t="s">
        <v>91</v>
      </c>
      <c r="AB493" s="6">
        <v>0</v>
      </c>
      <c r="AC493" s="6">
        <v>1784.66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1834</v>
      </c>
      <c r="AJ493" s="6" t="s">
        <v>1835</v>
      </c>
      <c r="AK493" s="6" t="s">
        <v>12</v>
      </c>
      <c r="AL493" s="6" t="s">
        <v>53</v>
      </c>
      <c r="AM493" s="6" t="s">
        <v>67</v>
      </c>
      <c r="AN493" s="6" t="s">
        <v>20</v>
      </c>
      <c r="AO493" s="6" t="s">
        <v>272</v>
      </c>
      <c r="AP493" s="6" t="s">
        <v>273</v>
      </c>
      <c r="AQ493" s="6" t="s">
        <v>90</v>
      </c>
    </row>
    <row r="494" spans="1:43" x14ac:dyDescent="0.25">
      <c r="A494" s="6">
        <v>22806186</v>
      </c>
      <c r="B494" s="6">
        <v>23593741</v>
      </c>
      <c r="C494" s="6" t="s">
        <v>248</v>
      </c>
      <c r="D494" s="14">
        <v>45894.491724537038</v>
      </c>
      <c r="E494" s="14">
        <v>45911.560752314806</v>
      </c>
      <c r="F494" s="6" t="s">
        <v>17</v>
      </c>
      <c r="G494" s="6" t="s">
        <v>25</v>
      </c>
      <c r="H494" s="6" t="s">
        <v>1836</v>
      </c>
      <c r="I494" s="6" t="s">
        <v>16</v>
      </c>
      <c r="J494" s="6" t="s">
        <v>1837</v>
      </c>
      <c r="K494" s="6" t="s">
        <v>1744</v>
      </c>
      <c r="L494" s="6" t="s">
        <v>495</v>
      </c>
      <c r="M494" s="14">
        <v>45680.352083333331</v>
      </c>
      <c r="N494" s="6" t="s">
        <v>1836</v>
      </c>
      <c r="O494" s="6" t="s">
        <v>91</v>
      </c>
      <c r="P494" s="6" t="s">
        <v>276</v>
      </c>
      <c r="Q494" s="6" t="s">
        <v>1592</v>
      </c>
      <c r="R494" s="6" t="s">
        <v>1593</v>
      </c>
      <c r="S494" s="6" t="s">
        <v>7</v>
      </c>
      <c r="T494" s="6" t="s">
        <v>254</v>
      </c>
      <c r="U494" s="6" t="s">
        <v>119</v>
      </c>
      <c r="V494" s="6" t="s">
        <v>1838</v>
      </c>
      <c r="W494" s="6" t="s">
        <v>391</v>
      </c>
      <c r="X494" s="6" t="s">
        <v>1829</v>
      </c>
      <c r="Y494" s="6">
        <v>6643080000</v>
      </c>
      <c r="Z494" s="6" t="s">
        <v>60</v>
      </c>
      <c r="AA494" s="6" t="s">
        <v>91</v>
      </c>
      <c r="AB494" s="6">
        <v>0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20.89</v>
      </c>
      <c r="AI494" s="6" t="s">
        <v>288</v>
      </c>
      <c r="AJ494" s="6" t="s">
        <v>1839</v>
      </c>
      <c r="AK494" s="6" t="s">
        <v>16</v>
      </c>
      <c r="AL494" s="6" t="s">
        <v>51</v>
      </c>
      <c r="AM494" s="6" t="s">
        <v>1591</v>
      </c>
      <c r="AN494" s="6" t="s">
        <v>20</v>
      </c>
      <c r="AO494" s="6" t="s">
        <v>272</v>
      </c>
      <c r="AP494" s="6" t="s">
        <v>260</v>
      </c>
      <c r="AQ494" s="6" t="s">
        <v>24</v>
      </c>
    </row>
    <row r="495" spans="1:43" x14ac:dyDescent="0.25">
      <c r="A495" s="6">
        <v>22806186</v>
      </c>
      <c r="B495" s="6">
        <v>23593742</v>
      </c>
      <c r="C495" s="6" t="s">
        <v>637</v>
      </c>
      <c r="D495" s="14">
        <v>45894.491724537038</v>
      </c>
      <c r="E495" s="14">
        <v>45911.560752314806</v>
      </c>
      <c r="F495" s="6" t="s">
        <v>17</v>
      </c>
      <c r="G495" s="6" t="s">
        <v>25</v>
      </c>
      <c r="H495" s="6" t="s">
        <v>1836</v>
      </c>
      <c r="I495" s="6" t="s">
        <v>16</v>
      </c>
      <c r="J495" s="6" t="s">
        <v>1837</v>
      </c>
      <c r="K495" s="6" t="s">
        <v>1744</v>
      </c>
      <c r="L495" s="6" t="s">
        <v>495</v>
      </c>
      <c r="M495" s="14">
        <v>45680.352083333331</v>
      </c>
      <c r="N495" s="6" t="s">
        <v>1836</v>
      </c>
      <c r="O495" s="6" t="s">
        <v>91</v>
      </c>
      <c r="P495" s="6" t="s">
        <v>276</v>
      </c>
      <c r="Q495" s="6" t="s">
        <v>253</v>
      </c>
      <c r="R495" s="6" t="s">
        <v>1463</v>
      </c>
      <c r="S495" s="6" t="s">
        <v>7</v>
      </c>
      <c r="T495" s="6" t="s">
        <v>254</v>
      </c>
      <c r="U495" s="6" t="s">
        <v>119</v>
      </c>
      <c r="V495" s="6" t="s">
        <v>1838</v>
      </c>
      <c r="W495" s="6" t="s">
        <v>391</v>
      </c>
      <c r="X495" s="6" t="s">
        <v>1829</v>
      </c>
      <c r="Y495" s="6">
        <v>6643080000</v>
      </c>
      <c r="Z495" s="6" t="s">
        <v>60</v>
      </c>
      <c r="AA495" s="6" t="s">
        <v>91</v>
      </c>
      <c r="AB495" s="6">
        <v>1411.67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20.89</v>
      </c>
      <c r="AI495" s="6" t="s">
        <v>288</v>
      </c>
      <c r="AJ495" s="6" t="s">
        <v>1839</v>
      </c>
      <c r="AK495" s="6" t="s">
        <v>16</v>
      </c>
      <c r="AL495" s="6" t="s">
        <v>51</v>
      </c>
      <c r="AM495" s="6" t="s">
        <v>1591</v>
      </c>
      <c r="AN495" s="6" t="s">
        <v>20</v>
      </c>
      <c r="AO495" s="6" t="s">
        <v>272</v>
      </c>
      <c r="AP495" s="6" t="s">
        <v>260</v>
      </c>
      <c r="AQ495" s="6" t="s">
        <v>24</v>
      </c>
    </row>
    <row r="496" spans="1:43" x14ac:dyDescent="0.25">
      <c r="A496" s="6">
        <v>22806186</v>
      </c>
      <c r="B496" s="6">
        <v>23593743</v>
      </c>
      <c r="C496" s="6" t="s">
        <v>638</v>
      </c>
      <c r="D496" s="14">
        <v>45894.491724537038</v>
      </c>
      <c r="E496" s="14">
        <v>45911.560752314806</v>
      </c>
      <c r="F496" s="6" t="s">
        <v>17</v>
      </c>
      <c r="G496" s="6" t="s">
        <v>25</v>
      </c>
      <c r="H496" s="6" t="s">
        <v>1836</v>
      </c>
      <c r="I496" s="6" t="s">
        <v>16</v>
      </c>
      <c r="J496" s="6" t="s">
        <v>1837</v>
      </c>
      <c r="K496" s="6" t="s">
        <v>1744</v>
      </c>
      <c r="L496" s="6" t="s">
        <v>495</v>
      </c>
      <c r="M496" s="14">
        <v>45680.352083333331</v>
      </c>
      <c r="N496" s="6" t="s">
        <v>1836</v>
      </c>
      <c r="O496" s="6" t="s">
        <v>91</v>
      </c>
      <c r="P496" s="6" t="s">
        <v>276</v>
      </c>
      <c r="Q496" s="6" t="s">
        <v>253</v>
      </c>
      <c r="R496" s="6" t="s">
        <v>1463</v>
      </c>
      <c r="S496" s="6" t="s">
        <v>7</v>
      </c>
      <c r="T496" s="6" t="s">
        <v>254</v>
      </c>
      <c r="U496" s="6" t="s">
        <v>119</v>
      </c>
      <c r="V496" s="6" t="s">
        <v>1838</v>
      </c>
      <c r="W496" s="6" t="s">
        <v>391</v>
      </c>
      <c r="X496" s="6" t="s">
        <v>1829</v>
      </c>
      <c r="Y496" s="6">
        <v>6643080000</v>
      </c>
      <c r="Z496" s="6" t="s">
        <v>60</v>
      </c>
      <c r="AA496" s="6" t="s">
        <v>91</v>
      </c>
      <c r="AB496" s="6">
        <v>1364.27</v>
      </c>
      <c r="AC496" s="6">
        <v>0</v>
      </c>
      <c r="AD496" s="6">
        <v>0</v>
      </c>
      <c r="AE496" s="6">
        <v>0</v>
      </c>
      <c r="AF496" s="6">
        <v>0</v>
      </c>
      <c r="AG496" s="6">
        <v>0</v>
      </c>
      <c r="AH496" s="6">
        <v>20.89</v>
      </c>
      <c r="AI496" s="6" t="s">
        <v>288</v>
      </c>
      <c r="AJ496" s="6" t="s">
        <v>1839</v>
      </c>
      <c r="AK496" s="6" t="s">
        <v>16</v>
      </c>
      <c r="AL496" s="6" t="s">
        <v>51</v>
      </c>
      <c r="AM496" s="6" t="s">
        <v>1591</v>
      </c>
      <c r="AN496" s="6" t="s">
        <v>20</v>
      </c>
      <c r="AO496" s="6" t="s">
        <v>272</v>
      </c>
      <c r="AP496" s="6" t="s">
        <v>260</v>
      </c>
      <c r="AQ496" s="6" t="s">
        <v>24</v>
      </c>
    </row>
    <row r="497" spans="1:43" x14ac:dyDescent="0.25">
      <c r="A497" s="6">
        <v>22905382</v>
      </c>
      <c r="B497" s="6">
        <v>23679318</v>
      </c>
      <c r="C497" s="6" t="s">
        <v>248</v>
      </c>
      <c r="D497" s="14">
        <v>45910.93204861111</v>
      </c>
      <c r="E497" s="14">
        <v>45911.56925925926</v>
      </c>
      <c r="F497" s="6" t="s">
        <v>17</v>
      </c>
      <c r="G497" s="6" t="s">
        <v>17</v>
      </c>
      <c r="H497" s="6" t="s">
        <v>1840</v>
      </c>
      <c r="I497" s="6" t="s">
        <v>16</v>
      </c>
      <c r="J497" s="6" t="s">
        <v>1841</v>
      </c>
      <c r="K497" s="6" t="s">
        <v>1744</v>
      </c>
      <c r="L497" s="6" t="s">
        <v>1842</v>
      </c>
      <c r="M497" s="14">
        <v>45903.497916666667</v>
      </c>
      <c r="N497" s="6" t="s">
        <v>292</v>
      </c>
      <c r="O497" s="6" t="s">
        <v>91</v>
      </c>
      <c r="P497" s="6" t="s">
        <v>252</v>
      </c>
      <c r="Q497" s="6" t="s">
        <v>253</v>
      </c>
      <c r="R497" s="6" t="s">
        <v>253</v>
      </c>
      <c r="S497" s="6" t="s">
        <v>7</v>
      </c>
      <c r="T497" s="6" t="s">
        <v>254</v>
      </c>
      <c r="U497" s="6" t="s">
        <v>113</v>
      </c>
      <c r="V497" s="6" t="s">
        <v>1606</v>
      </c>
      <c r="W497" s="6" t="s">
        <v>91</v>
      </c>
      <c r="X497" s="6" t="s">
        <v>1829</v>
      </c>
      <c r="Y497" s="6">
        <v>6691950000</v>
      </c>
      <c r="Z497" s="6" t="s">
        <v>50</v>
      </c>
      <c r="AA497" s="6" t="s">
        <v>91</v>
      </c>
      <c r="AB497" s="6">
        <v>693.98580000000004</v>
      </c>
      <c r="AC497" s="6">
        <v>0</v>
      </c>
      <c r="AD497" s="6">
        <v>1245.24</v>
      </c>
      <c r="AE497" s="6">
        <v>0</v>
      </c>
      <c r="AF497" s="6">
        <v>0</v>
      </c>
      <c r="AG497" s="6">
        <v>0</v>
      </c>
      <c r="AH497" s="6">
        <v>0</v>
      </c>
      <c r="AI497" s="6" t="s">
        <v>288</v>
      </c>
      <c r="AJ497" s="6" t="s">
        <v>1843</v>
      </c>
      <c r="AK497" s="6" t="s">
        <v>16</v>
      </c>
      <c r="AL497" s="6" t="s">
        <v>51</v>
      </c>
      <c r="AM497" s="6" t="s">
        <v>1591</v>
      </c>
      <c r="AN497" s="6" t="s">
        <v>20</v>
      </c>
      <c r="AO497" s="6" t="s">
        <v>272</v>
      </c>
      <c r="AP497" s="6" t="s">
        <v>260</v>
      </c>
      <c r="AQ497" s="6" t="s">
        <v>24</v>
      </c>
    </row>
    <row r="498" spans="1:43" x14ac:dyDescent="0.25">
      <c r="A498" s="6">
        <v>22905382</v>
      </c>
      <c r="B498" s="6">
        <v>23679319</v>
      </c>
      <c r="C498" s="6" t="s">
        <v>637</v>
      </c>
      <c r="D498" s="14">
        <v>45910.93204861111</v>
      </c>
      <c r="E498" s="14">
        <v>45911.56925925926</v>
      </c>
      <c r="F498" s="6" t="s">
        <v>17</v>
      </c>
      <c r="G498" s="6" t="s">
        <v>17</v>
      </c>
      <c r="H498" s="6" t="s">
        <v>1840</v>
      </c>
      <c r="I498" s="6" t="s">
        <v>16</v>
      </c>
      <c r="J498" s="6" t="s">
        <v>1841</v>
      </c>
      <c r="K498" s="6" t="s">
        <v>1744</v>
      </c>
      <c r="L498" s="6" t="s">
        <v>1842</v>
      </c>
      <c r="M498" s="14">
        <v>45903.497916666667</v>
      </c>
      <c r="N498" s="6" t="s">
        <v>292</v>
      </c>
      <c r="O498" s="6" t="s">
        <v>91</v>
      </c>
      <c r="P498" s="6" t="s">
        <v>252</v>
      </c>
      <c r="Q498" s="6" t="s">
        <v>1592</v>
      </c>
      <c r="R498" s="6" t="s">
        <v>1593</v>
      </c>
      <c r="S498" s="6" t="s">
        <v>7</v>
      </c>
      <c r="T498" s="6" t="s">
        <v>254</v>
      </c>
      <c r="U498" s="6" t="s">
        <v>113</v>
      </c>
      <c r="V498" s="6" t="s">
        <v>1606</v>
      </c>
      <c r="W498" s="6" t="s">
        <v>91</v>
      </c>
      <c r="X498" s="6" t="s">
        <v>1829</v>
      </c>
      <c r="Y498" s="6">
        <v>6691950000</v>
      </c>
      <c r="Z498" s="6" t="s">
        <v>50</v>
      </c>
      <c r="AA498" s="6" t="s">
        <v>91</v>
      </c>
      <c r="AB498" s="6">
        <v>0</v>
      </c>
      <c r="AC498" s="6">
        <v>0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288</v>
      </c>
      <c r="AJ498" s="6" t="s">
        <v>1843</v>
      </c>
      <c r="AK498" s="6" t="s">
        <v>16</v>
      </c>
      <c r="AL498" s="6" t="s">
        <v>51</v>
      </c>
      <c r="AM498" s="6" t="s">
        <v>1591</v>
      </c>
      <c r="AN498" s="6" t="s">
        <v>20</v>
      </c>
      <c r="AO498" s="6" t="s">
        <v>272</v>
      </c>
      <c r="AP498" s="6" t="s">
        <v>260</v>
      </c>
      <c r="AQ498" s="6" t="s">
        <v>24</v>
      </c>
    </row>
    <row r="499" spans="1:43" x14ac:dyDescent="0.25">
      <c r="A499" s="6">
        <v>22905382</v>
      </c>
      <c r="B499" s="6">
        <v>23679320</v>
      </c>
      <c r="C499" s="6" t="s">
        <v>638</v>
      </c>
      <c r="D499" s="14">
        <v>45910.93204861111</v>
      </c>
      <c r="E499" s="14">
        <v>45911.56925925926</v>
      </c>
      <c r="F499" s="6" t="s">
        <v>17</v>
      </c>
      <c r="G499" s="6" t="s">
        <v>17</v>
      </c>
      <c r="H499" s="6" t="s">
        <v>1840</v>
      </c>
      <c r="I499" s="6" t="s">
        <v>16</v>
      </c>
      <c r="J499" s="6" t="s">
        <v>1841</v>
      </c>
      <c r="K499" s="6" t="s">
        <v>1744</v>
      </c>
      <c r="L499" s="6" t="s">
        <v>1842</v>
      </c>
      <c r="M499" s="14">
        <v>45903.497916666667</v>
      </c>
      <c r="N499" s="6" t="s">
        <v>292</v>
      </c>
      <c r="O499" s="6" t="s">
        <v>91</v>
      </c>
      <c r="P499" s="6" t="s">
        <v>252</v>
      </c>
      <c r="Q499" s="6" t="s">
        <v>253</v>
      </c>
      <c r="R499" s="6" t="s">
        <v>253</v>
      </c>
      <c r="S499" s="6" t="s">
        <v>7</v>
      </c>
      <c r="T499" s="6" t="s">
        <v>254</v>
      </c>
      <c r="U499" s="6" t="s">
        <v>113</v>
      </c>
      <c r="V499" s="6" t="s">
        <v>1606</v>
      </c>
      <c r="W499" s="6" t="s">
        <v>91</v>
      </c>
      <c r="X499" s="6" t="s">
        <v>1829</v>
      </c>
      <c r="Y499" s="6">
        <v>6691950000</v>
      </c>
      <c r="Z499" s="6" t="s">
        <v>50</v>
      </c>
      <c r="AA499" s="6" t="s">
        <v>91</v>
      </c>
      <c r="AB499" s="6">
        <v>634.78</v>
      </c>
      <c r="AC499" s="6">
        <v>0</v>
      </c>
      <c r="AD499" s="6">
        <v>0</v>
      </c>
      <c r="AE499" s="6">
        <v>0</v>
      </c>
      <c r="AF499" s="6">
        <v>0</v>
      </c>
      <c r="AG499" s="6">
        <v>0</v>
      </c>
      <c r="AH499" s="6">
        <v>0</v>
      </c>
      <c r="AI499" s="6" t="s">
        <v>288</v>
      </c>
      <c r="AJ499" s="6" t="s">
        <v>1843</v>
      </c>
      <c r="AK499" s="6" t="s">
        <v>16</v>
      </c>
      <c r="AL499" s="6" t="s">
        <v>51</v>
      </c>
      <c r="AM499" s="6" t="s">
        <v>1591</v>
      </c>
      <c r="AN499" s="6" t="s">
        <v>20</v>
      </c>
      <c r="AO499" s="6" t="s">
        <v>272</v>
      </c>
      <c r="AP499" s="6" t="s">
        <v>260</v>
      </c>
      <c r="AQ499" s="6" t="s">
        <v>24</v>
      </c>
    </row>
    <row r="500" spans="1:43" x14ac:dyDescent="0.25">
      <c r="A500" s="6">
        <v>22905382</v>
      </c>
      <c r="B500" s="6">
        <v>23679322</v>
      </c>
      <c r="C500" s="6" t="s">
        <v>639</v>
      </c>
      <c r="D500" s="14">
        <v>45910.93204861111</v>
      </c>
      <c r="E500" s="14">
        <v>45911.56925925926</v>
      </c>
      <c r="F500" s="6" t="s">
        <v>17</v>
      </c>
      <c r="G500" s="6" t="s">
        <v>17</v>
      </c>
      <c r="H500" s="6" t="s">
        <v>1840</v>
      </c>
      <c r="I500" s="6" t="s">
        <v>16</v>
      </c>
      <c r="J500" s="6" t="s">
        <v>1841</v>
      </c>
      <c r="K500" s="6" t="s">
        <v>1744</v>
      </c>
      <c r="L500" s="6" t="s">
        <v>1842</v>
      </c>
      <c r="M500" s="14">
        <v>45903.497916666667</v>
      </c>
      <c r="N500" s="6" t="s">
        <v>292</v>
      </c>
      <c r="O500" s="6" t="s">
        <v>91</v>
      </c>
      <c r="P500" s="6" t="s">
        <v>252</v>
      </c>
      <c r="Q500" s="6" t="s">
        <v>253</v>
      </c>
      <c r="R500" s="6" t="s">
        <v>253</v>
      </c>
      <c r="S500" s="6" t="s">
        <v>7</v>
      </c>
      <c r="T500" s="6" t="s">
        <v>254</v>
      </c>
      <c r="U500" s="6" t="s">
        <v>113</v>
      </c>
      <c r="V500" s="6" t="s">
        <v>1606</v>
      </c>
      <c r="W500" s="6" t="s">
        <v>91</v>
      </c>
      <c r="X500" s="6" t="s">
        <v>1829</v>
      </c>
      <c r="Y500" s="6">
        <v>6691950000</v>
      </c>
      <c r="Z500" s="6" t="s">
        <v>50</v>
      </c>
      <c r="AA500" s="6" t="s">
        <v>91</v>
      </c>
      <c r="AB500" s="6">
        <v>632.49</v>
      </c>
      <c r="AC500" s="6">
        <v>0</v>
      </c>
      <c r="AD500" s="6">
        <v>0</v>
      </c>
      <c r="AE500" s="6">
        <v>0</v>
      </c>
      <c r="AF500" s="6">
        <v>0</v>
      </c>
      <c r="AG500" s="6">
        <v>0</v>
      </c>
      <c r="AH500" s="6">
        <v>0</v>
      </c>
      <c r="AI500" s="6" t="s">
        <v>288</v>
      </c>
      <c r="AJ500" s="6" t="s">
        <v>1843</v>
      </c>
      <c r="AK500" s="6" t="s">
        <v>16</v>
      </c>
      <c r="AL500" s="6" t="s">
        <v>51</v>
      </c>
      <c r="AM500" s="6" t="s">
        <v>1591</v>
      </c>
      <c r="AN500" s="6" t="s">
        <v>20</v>
      </c>
      <c r="AO500" s="6" t="s">
        <v>272</v>
      </c>
      <c r="AP500" s="6" t="s">
        <v>260</v>
      </c>
      <c r="AQ500" s="6" t="s">
        <v>24</v>
      </c>
    </row>
    <row r="501" spans="1:43" x14ac:dyDescent="0.25">
      <c r="A501" s="6">
        <v>22897567</v>
      </c>
      <c r="B501" s="6">
        <v>23672459</v>
      </c>
      <c r="C501" s="6" t="s">
        <v>248</v>
      </c>
      <c r="D501" s="14">
        <v>45909.780486111107</v>
      </c>
      <c r="E501" s="14">
        <v>45911.559571759259</v>
      </c>
      <c r="F501" s="6" t="s">
        <v>17</v>
      </c>
      <c r="G501" s="6" t="s">
        <v>19</v>
      </c>
      <c r="H501" s="6" t="s">
        <v>1844</v>
      </c>
      <c r="I501" s="6" t="s">
        <v>337</v>
      </c>
      <c r="J501" s="6" t="s">
        <v>1845</v>
      </c>
      <c r="K501" s="6" t="s">
        <v>1846</v>
      </c>
      <c r="L501" s="6" t="s">
        <v>1846</v>
      </c>
      <c r="M501" s="14">
        <v>45909.572222222218</v>
      </c>
      <c r="N501" s="6">
        <v>5222</v>
      </c>
      <c r="O501" s="6" t="s">
        <v>91</v>
      </c>
      <c r="P501" s="6" t="s">
        <v>252</v>
      </c>
      <c r="Q501" s="6" t="s">
        <v>253</v>
      </c>
      <c r="R501" s="6" t="s">
        <v>253</v>
      </c>
      <c r="S501" s="6" t="s">
        <v>7</v>
      </c>
      <c r="T501" s="6" t="s">
        <v>254</v>
      </c>
      <c r="U501" s="6" t="s">
        <v>175</v>
      </c>
      <c r="V501" s="6" t="s">
        <v>1847</v>
      </c>
      <c r="W501" s="6" t="s">
        <v>91</v>
      </c>
      <c r="X501" s="6" t="s">
        <v>1829</v>
      </c>
      <c r="Y501" s="6">
        <v>2971276144</v>
      </c>
      <c r="Z501" s="6" t="s">
        <v>104</v>
      </c>
      <c r="AA501" s="6" t="s">
        <v>91</v>
      </c>
      <c r="AB501" s="6">
        <v>1628.34</v>
      </c>
      <c r="AC501" s="6">
        <v>0</v>
      </c>
      <c r="AD501" s="6">
        <v>0</v>
      </c>
      <c r="AE501" s="6">
        <v>0</v>
      </c>
      <c r="AF501" s="6">
        <v>0</v>
      </c>
      <c r="AG501" s="6">
        <v>0</v>
      </c>
      <c r="AH501" s="6">
        <v>0</v>
      </c>
      <c r="AI501" s="6" t="s">
        <v>1848</v>
      </c>
      <c r="AJ501" s="6" t="s">
        <v>1849</v>
      </c>
      <c r="AK501" s="6" t="s">
        <v>12</v>
      </c>
      <c r="AL501" s="6" t="s">
        <v>49</v>
      </c>
      <c r="AM501" s="6" t="s">
        <v>1501</v>
      </c>
      <c r="AN501" s="6" t="s">
        <v>26</v>
      </c>
      <c r="AO501" s="6" t="s">
        <v>272</v>
      </c>
      <c r="AP501" s="6" t="s">
        <v>260</v>
      </c>
      <c r="AQ501" s="6" t="s">
        <v>37</v>
      </c>
    </row>
    <row r="502" spans="1:43" x14ac:dyDescent="0.25">
      <c r="A502" s="6">
        <v>22905409</v>
      </c>
      <c r="B502" s="6">
        <v>23679349</v>
      </c>
      <c r="C502" s="6" t="s">
        <v>248</v>
      </c>
      <c r="D502" s="14">
        <v>45910.933310185188</v>
      </c>
      <c r="E502" s="14">
        <v>45911.569988425923</v>
      </c>
      <c r="F502" s="6" t="s">
        <v>17</v>
      </c>
      <c r="G502" s="6" t="s">
        <v>17</v>
      </c>
      <c r="H502" s="6" t="s">
        <v>1850</v>
      </c>
      <c r="I502" s="6" t="s">
        <v>16</v>
      </c>
      <c r="J502" s="6" t="s">
        <v>1851</v>
      </c>
      <c r="K502" s="6" t="s">
        <v>1744</v>
      </c>
      <c r="L502" s="6" t="s">
        <v>369</v>
      </c>
      <c r="M502" s="14">
        <v>45904.29791666667</v>
      </c>
      <c r="N502" s="6" t="s">
        <v>1850</v>
      </c>
      <c r="O502" s="6" t="s">
        <v>91</v>
      </c>
      <c r="P502" s="6" t="s">
        <v>276</v>
      </c>
      <c r="Q502" s="6" t="s">
        <v>253</v>
      </c>
      <c r="R502" s="6" t="s">
        <v>1463</v>
      </c>
      <c r="S502" s="6" t="s">
        <v>7</v>
      </c>
      <c r="T502" s="6" t="s">
        <v>254</v>
      </c>
      <c r="U502" s="6" t="s">
        <v>142</v>
      </c>
      <c r="V502" s="6" t="s">
        <v>1062</v>
      </c>
      <c r="W502" s="6" t="s">
        <v>91</v>
      </c>
      <c r="X502" s="6" t="s">
        <v>1829</v>
      </c>
      <c r="Y502" s="6">
        <v>6699930000</v>
      </c>
      <c r="Z502" s="6" t="s">
        <v>54</v>
      </c>
      <c r="AA502" s="6" t="s">
        <v>91</v>
      </c>
      <c r="AB502" s="6">
        <v>1406.78</v>
      </c>
      <c r="AC502" s="6">
        <v>59.54</v>
      </c>
      <c r="AD502" s="6">
        <v>1226.23</v>
      </c>
      <c r="AE502" s="6">
        <v>0</v>
      </c>
      <c r="AF502" s="6">
        <v>59.54</v>
      </c>
      <c r="AG502" s="6">
        <v>0</v>
      </c>
      <c r="AH502" s="6">
        <v>0</v>
      </c>
      <c r="AI502" s="6" t="s">
        <v>288</v>
      </c>
      <c r="AJ502" s="6" t="s">
        <v>1852</v>
      </c>
      <c r="AK502" s="6" t="s">
        <v>16</v>
      </c>
      <c r="AL502" s="6" t="s">
        <v>51</v>
      </c>
      <c r="AM502" s="6" t="s">
        <v>1591</v>
      </c>
      <c r="AN502" s="6" t="s">
        <v>20</v>
      </c>
      <c r="AO502" s="6" t="s">
        <v>272</v>
      </c>
      <c r="AP502" s="6" t="s">
        <v>260</v>
      </c>
      <c r="AQ502" s="6" t="s">
        <v>24</v>
      </c>
    </row>
    <row r="503" spans="1:43" x14ac:dyDescent="0.25">
      <c r="A503" s="6">
        <v>22905409</v>
      </c>
      <c r="B503" s="6">
        <v>23679350</v>
      </c>
      <c r="C503" s="6" t="s">
        <v>637</v>
      </c>
      <c r="D503" s="14">
        <v>45910.933310185188</v>
      </c>
      <c r="E503" s="14">
        <v>45911.569988425923</v>
      </c>
      <c r="F503" s="6" t="s">
        <v>17</v>
      </c>
      <c r="G503" s="6" t="s">
        <v>17</v>
      </c>
      <c r="H503" s="6" t="s">
        <v>1850</v>
      </c>
      <c r="I503" s="6" t="s">
        <v>16</v>
      </c>
      <c r="J503" s="6" t="s">
        <v>1851</v>
      </c>
      <c r="K503" s="6" t="s">
        <v>1744</v>
      </c>
      <c r="L503" s="6" t="s">
        <v>369</v>
      </c>
      <c r="M503" s="14">
        <v>45904.29791666667</v>
      </c>
      <c r="N503" s="6" t="s">
        <v>1850</v>
      </c>
      <c r="O503" s="6" t="s">
        <v>91</v>
      </c>
      <c r="P503" s="6" t="s">
        <v>276</v>
      </c>
      <c r="Q503" s="6" t="s">
        <v>1592</v>
      </c>
      <c r="R503" s="6" t="s">
        <v>1593</v>
      </c>
      <c r="S503" s="6" t="s">
        <v>7</v>
      </c>
      <c r="T503" s="6" t="s">
        <v>254</v>
      </c>
      <c r="U503" s="6" t="s">
        <v>142</v>
      </c>
      <c r="V503" s="6" t="s">
        <v>1062</v>
      </c>
      <c r="W503" s="6" t="s">
        <v>91</v>
      </c>
      <c r="X503" s="6" t="s">
        <v>1829</v>
      </c>
      <c r="Y503" s="6">
        <v>6699930000</v>
      </c>
      <c r="Z503" s="6" t="s">
        <v>54</v>
      </c>
      <c r="AA503" s="6" t="s">
        <v>91</v>
      </c>
      <c r="AB503" s="6">
        <v>0</v>
      </c>
      <c r="AC503" s="6">
        <v>0</v>
      </c>
      <c r="AD503" s="6">
        <v>0</v>
      </c>
      <c r="AE503" s="6">
        <v>0</v>
      </c>
      <c r="AF503" s="6">
        <v>0</v>
      </c>
      <c r="AG503" s="6">
        <v>0</v>
      </c>
      <c r="AH503" s="6">
        <v>0</v>
      </c>
      <c r="AI503" s="6" t="s">
        <v>288</v>
      </c>
      <c r="AJ503" s="6" t="s">
        <v>1852</v>
      </c>
      <c r="AK503" s="6" t="s">
        <v>16</v>
      </c>
      <c r="AL503" s="6" t="s">
        <v>51</v>
      </c>
      <c r="AM503" s="6" t="s">
        <v>1591</v>
      </c>
      <c r="AN503" s="6" t="s">
        <v>20</v>
      </c>
      <c r="AO503" s="6" t="s">
        <v>272</v>
      </c>
      <c r="AP503" s="6" t="s">
        <v>260</v>
      </c>
      <c r="AQ503" s="6" t="s">
        <v>24</v>
      </c>
    </row>
    <row r="504" spans="1:43" x14ac:dyDescent="0.25">
      <c r="A504" s="6">
        <v>22870604</v>
      </c>
      <c r="B504" s="6">
        <v>23649864</v>
      </c>
      <c r="C504" s="6" t="s">
        <v>248</v>
      </c>
      <c r="D504" s="14">
        <v>45904.787256944437</v>
      </c>
      <c r="E504" s="14">
        <v>45911.55945601852</v>
      </c>
      <c r="F504" s="6" t="s">
        <v>17</v>
      </c>
      <c r="G504" s="6" t="s">
        <v>21</v>
      </c>
      <c r="H504" s="6" t="s">
        <v>1853</v>
      </c>
      <c r="I504" s="6" t="s">
        <v>337</v>
      </c>
      <c r="J504" s="6" t="s">
        <v>1854</v>
      </c>
      <c r="K504" s="6" t="s">
        <v>1441</v>
      </c>
      <c r="L504" s="6" t="s">
        <v>1441</v>
      </c>
      <c r="M504" s="14">
        <v>45904.618055555547</v>
      </c>
      <c r="N504" s="6">
        <v>41176</v>
      </c>
      <c r="O504" s="6" t="s">
        <v>91</v>
      </c>
      <c r="P504" s="6" t="s">
        <v>252</v>
      </c>
      <c r="Q504" s="6" t="s">
        <v>253</v>
      </c>
      <c r="R504" s="6" t="s">
        <v>1463</v>
      </c>
      <c r="S504" s="6" t="s">
        <v>7</v>
      </c>
      <c r="T504" s="6" t="s">
        <v>254</v>
      </c>
      <c r="U504" s="6" t="s">
        <v>122</v>
      </c>
      <c r="V504" s="6" t="s">
        <v>1408</v>
      </c>
      <c r="W504" s="6" t="s">
        <v>91</v>
      </c>
      <c r="X504" s="6" t="s">
        <v>1829</v>
      </c>
      <c r="Y504" s="6">
        <v>2971387943</v>
      </c>
      <c r="Z504" s="6" t="s">
        <v>64</v>
      </c>
      <c r="AA504" s="6" t="s">
        <v>91</v>
      </c>
      <c r="AB504" s="6">
        <v>9056.81</v>
      </c>
      <c r="AC504" s="6">
        <v>1388.84</v>
      </c>
      <c r="AD504" s="6">
        <v>0</v>
      </c>
      <c r="AE504" s="6">
        <v>0</v>
      </c>
      <c r="AF504" s="6">
        <v>0</v>
      </c>
      <c r="AG504" s="6">
        <v>0</v>
      </c>
      <c r="AH504" s="6">
        <v>0</v>
      </c>
      <c r="AI504" s="6" t="s">
        <v>1855</v>
      </c>
      <c r="AJ504" s="6" t="s">
        <v>1856</v>
      </c>
      <c r="AK504" s="6" t="s">
        <v>12</v>
      </c>
      <c r="AL504" s="6" t="s">
        <v>49</v>
      </c>
      <c r="AM504" s="6" t="s">
        <v>1501</v>
      </c>
      <c r="AN504" s="6" t="s">
        <v>26</v>
      </c>
      <c r="AO504" s="6" t="s">
        <v>272</v>
      </c>
      <c r="AP504" s="6" t="s">
        <v>260</v>
      </c>
      <c r="AQ504" s="6" t="s">
        <v>37</v>
      </c>
    </row>
    <row r="505" spans="1:43" x14ac:dyDescent="0.25">
      <c r="A505" s="6">
        <v>22895022</v>
      </c>
      <c r="B505" s="6">
        <v>23670059</v>
      </c>
      <c r="C505" s="6" t="s">
        <v>1671</v>
      </c>
      <c r="D505" s="14">
        <v>45909.501562500001</v>
      </c>
      <c r="E505" s="14">
        <v>45909.542673611111</v>
      </c>
      <c r="F505" s="6" t="s">
        <v>19</v>
      </c>
      <c r="G505" s="6" t="s">
        <v>19</v>
      </c>
      <c r="H505" s="6" t="s">
        <v>1857</v>
      </c>
      <c r="I505" s="6" t="s">
        <v>15</v>
      </c>
      <c r="J505" s="6" t="s">
        <v>1858</v>
      </c>
      <c r="K505" s="6" t="s">
        <v>284</v>
      </c>
      <c r="L505" s="6" t="s">
        <v>1744</v>
      </c>
      <c r="M505" s="14">
        <v>45905.501388888893</v>
      </c>
      <c r="N505" s="6" t="s">
        <v>292</v>
      </c>
      <c r="O505" s="6" t="s">
        <v>91</v>
      </c>
      <c r="P505" s="6" t="s">
        <v>252</v>
      </c>
      <c r="Q505" s="6" t="s">
        <v>268</v>
      </c>
      <c r="R505" s="6" t="s">
        <v>1713</v>
      </c>
      <c r="S505" s="6" t="s">
        <v>7</v>
      </c>
      <c r="T505" s="6" t="s">
        <v>1859</v>
      </c>
      <c r="U505" s="6" t="s">
        <v>119</v>
      </c>
      <c r="V505" s="6" t="s">
        <v>1838</v>
      </c>
      <c r="W505" s="6" t="s">
        <v>391</v>
      </c>
      <c r="X505" s="6" t="s">
        <v>1860</v>
      </c>
      <c r="Y505" s="6">
        <v>2952977616</v>
      </c>
      <c r="Z505" s="6" t="s">
        <v>60</v>
      </c>
      <c r="AA505" s="6" t="s">
        <v>91</v>
      </c>
      <c r="AB505" s="6">
        <v>25126.39</v>
      </c>
      <c r="AC505" s="6">
        <v>312.86</v>
      </c>
      <c r="AD505" s="6">
        <v>0</v>
      </c>
      <c r="AE505" s="6">
        <v>0</v>
      </c>
      <c r="AF505" s="6">
        <v>0</v>
      </c>
      <c r="AG505" s="6">
        <v>0</v>
      </c>
      <c r="AH505" s="6">
        <v>0</v>
      </c>
      <c r="AI505" s="6" t="s">
        <v>91</v>
      </c>
      <c r="AJ505" s="6" t="s">
        <v>1861</v>
      </c>
      <c r="AK505" s="6" t="s">
        <v>15</v>
      </c>
      <c r="AL505" s="6" t="s">
        <v>67</v>
      </c>
      <c r="AM505" s="6" t="s">
        <v>1862</v>
      </c>
      <c r="AN505" s="6" t="s">
        <v>28</v>
      </c>
      <c r="AO505" s="6" t="s">
        <v>272</v>
      </c>
      <c r="AP505" s="6" t="s">
        <v>260</v>
      </c>
      <c r="AQ505" s="6" t="s">
        <v>24</v>
      </c>
    </row>
    <row r="506" spans="1:43" x14ac:dyDescent="0.25">
      <c r="A506" s="6">
        <v>22889116</v>
      </c>
      <c r="B506" s="6">
        <v>23664609</v>
      </c>
      <c r="C506" s="6" t="s">
        <v>248</v>
      </c>
      <c r="D506" s="14">
        <v>45908.547511574077</v>
      </c>
      <c r="E506" s="14">
        <v>45912.22284722222</v>
      </c>
      <c r="F506" s="6" t="s">
        <v>17</v>
      </c>
      <c r="G506" s="6" t="s">
        <v>19</v>
      </c>
      <c r="H506" s="6" t="s">
        <v>1863</v>
      </c>
      <c r="I506" s="6" t="s">
        <v>16</v>
      </c>
      <c r="J506" s="6" t="s">
        <v>1864</v>
      </c>
      <c r="K506" s="6" t="s">
        <v>1588</v>
      </c>
      <c r="L506" s="6" t="s">
        <v>495</v>
      </c>
      <c r="M506" s="14">
        <v>45902</v>
      </c>
      <c r="N506" s="6" t="s">
        <v>1863</v>
      </c>
      <c r="O506" s="6" t="s">
        <v>91</v>
      </c>
      <c r="P506" s="6" t="s">
        <v>276</v>
      </c>
      <c r="Q506" s="6" t="s">
        <v>253</v>
      </c>
      <c r="R506" s="6" t="s">
        <v>1463</v>
      </c>
      <c r="S506" s="6" t="s">
        <v>7</v>
      </c>
      <c r="T506" s="6" t="s">
        <v>254</v>
      </c>
      <c r="U506" s="6" t="s">
        <v>119</v>
      </c>
      <c r="V506" s="6" t="s">
        <v>1838</v>
      </c>
      <c r="W506" s="6" t="s">
        <v>391</v>
      </c>
      <c r="X506" s="6" t="s">
        <v>1865</v>
      </c>
      <c r="Y506" s="6">
        <v>2952959161</v>
      </c>
      <c r="Z506" s="6" t="s">
        <v>60</v>
      </c>
      <c r="AA506" s="6" t="s">
        <v>91</v>
      </c>
      <c r="AB506" s="6">
        <v>6394.85</v>
      </c>
      <c r="AC506" s="6">
        <v>59.54</v>
      </c>
      <c r="AD506" s="6">
        <v>974.31</v>
      </c>
      <c r="AE506" s="6">
        <v>0</v>
      </c>
      <c r="AF506" s="6">
        <v>59.54</v>
      </c>
      <c r="AG506" s="6">
        <v>0</v>
      </c>
      <c r="AH506" s="6">
        <v>19.03</v>
      </c>
      <c r="AI506" s="6" t="s">
        <v>288</v>
      </c>
      <c r="AJ506" s="6" t="s">
        <v>1866</v>
      </c>
      <c r="AK506" s="6" t="s">
        <v>16</v>
      </c>
      <c r="AL506" s="6" t="s">
        <v>49</v>
      </c>
      <c r="AM506" s="6" t="s">
        <v>1501</v>
      </c>
      <c r="AN506" s="6" t="s">
        <v>26</v>
      </c>
      <c r="AO506" s="6" t="s">
        <v>272</v>
      </c>
      <c r="AP506" s="6" t="s">
        <v>260</v>
      </c>
      <c r="AQ506" s="6" t="s">
        <v>24</v>
      </c>
    </row>
    <row r="507" spans="1:43" x14ac:dyDescent="0.25">
      <c r="A507" s="6">
        <v>22889117</v>
      </c>
      <c r="B507" s="6">
        <v>23664610</v>
      </c>
      <c r="C507" s="6" t="s">
        <v>248</v>
      </c>
      <c r="D507" s="14">
        <v>45908.54760416667</v>
      </c>
      <c r="E507" s="14">
        <v>45912.222858796304</v>
      </c>
      <c r="F507" s="6" t="s">
        <v>17</v>
      </c>
      <c r="G507" s="6" t="s">
        <v>19</v>
      </c>
      <c r="H507" s="6" t="s">
        <v>1867</v>
      </c>
      <c r="I507" s="6" t="s">
        <v>16</v>
      </c>
      <c r="J507" s="6" t="s">
        <v>1868</v>
      </c>
      <c r="K507" s="6" t="s">
        <v>1588</v>
      </c>
      <c r="L507" s="6" t="s">
        <v>495</v>
      </c>
      <c r="M507" s="14">
        <v>45902</v>
      </c>
      <c r="N507" s="6" t="s">
        <v>1867</v>
      </c>
      <c r="O507" s="6" t="s">
        <v>91</v>
      </c>
      <c r="P507" s="6" t="s">
        <v>276</v>
      </c>
      <c r="Q507" s="6" t="s">
        <v>253</v>
      </c>
      <c r="R507" s="6" t="s">
        <v>1463</v>
      </c>
      <c r="S507" s="6" t="s">
        <v>7</v>
      </c>
      <c r="T507" s="6" t="s">
        <v>254</v>
      </c>
      <c r="U507" s="6" t="s">
        <v>119</v>
      </c>
      <c r="V507" s="6" t="s">
        <v>1564</v>
      </c>
      <c r="W507" s="6" t="s">
        <v>391</v>
      </c>
      <c r="X507" s="6" t="s">
        <v>1865</v>
      </c>
      <c r="Y507" s="6">
        <v>2952959163</v>
      </c>
      <c r="Z507" s="6" t="s">
        <v>60</v>
      </c>
      <c r="AA507" s="6" t="s">
        <v>91</v>
      </c>
      <c r="AB507" s="6">
        <v>6394.85</v>
      </c>
      <c r="AC507" s="6">
        <v>59.54</v>
      </c>
      <c r="AD507" s="6">
        <v>974.31</v>
      </c>
      <c r="AE507" s="6">
        <v>0</v>
      </c>
      <c r="AF507" s="6">
        <v>59.54</v>
      </c>
      <c r="AG507" s="6">
        <v>0</v>
      </c>
      <c r="AH507" s="6">
        <v>19.03</v>
      </c>
      <c r="AI507" s="6" t="s">
        <v>288</v>
      </c>
      <c r="AJ507" s="6" t="s">
        <v>1869</v>
      </c>
      <c r="AK507" s="6" t="s">
        <v>16</v>
      </c>
      <c r="AL507" s="6" t="s">
        <v>49</v>
      </c>
      <c r="AM507" s="6" t="s">
        <v>1501</v>
      </c>
      <c r="AN507" s="6" t="s">
        <v>26</v>
      </c>
      <c r="AO507" s="6" t="s">
        <v>272</v>
      </c>
      <c r="AP507" s="6" t="s">
        <v>260</v>
      </c>
      <c r="AQ507" s="6" t="s">
        <v>24</v>
      </c>
    </row>
    <row r="508" spans="1:43" x14ac:dyDescent="0.25">
      <c r="A508" s="6">
        <v>22889114</v>
      </c>
      <c r="B508" s="6">
        <v>23664607</v>
      </c>
      <c r="C508" s="6" t="s">
        <v>248</v>
      </c>
      <c r="D508" s="14">
        <v>45908.547418981478</v>
      </c>
      <c r="E508" s="14">
        <v>45912.222824074073</v>
      </c>
      <c r="F508" s="6" t="s">
        <v>17</v>
      </c>
      <c r="G508" s="6" t="s">
        <v>19</v>
      </c>
      <c r="H508" s="6" t="s">
        <v>1870</v>
      </c>
      <c r="I508" s="6" t="s">
        <v>16</v>
      </c>
      <c r="J508" s="6" t="s">
        <v>1871</v>
      </c>
      <c r="K508" s="6" t="s">
        <v>1588</v>
      </c>
      <c r="L508" s="6" t="s">
        <v>495</v>
      </c>
      <c r="M508" s="14">
        <v>45902</v>
      </c>
      <c r="N508" s="6" t="s">
        <v>1870</v>
      </c>
      <c r="O508" s="6" t="s">
        <v>91</v>
      </c>
      <c r="P508" s="6" t="s">
        <v>276</v>
      </c>
      <c r="Q508" s="6" t="s">
        <v>253</v>
      </c>
      <c r="R508" s="6" t="s">
        <v>1463</v>
      </c>
      <c r="S508" s="6" t="s">
        <v>7</v>
      </c>
      <c r="T508" s="6" t="s">
        <v>254</v>
      </c>
      <c r="U508" s="6" t="s">
        <v>119</v>
      </c>
      <c r="V508" s="6" t="s">
        <v>1584</v>
      </c>
      <c r="W508" s="6" t="s">
        <v>391</v>
      </c>
      <c r="X508" s="6" t="s">
        <v>1865</v>
      </c>
      <c r="Y508" s="6">
        <v>2952959160</v>
      </c>
      <c r="Z508" s="6" t="s">
        <v>60</v>
      </c>
      <c r="AA508" s="6" t="s">
        <v>91</v>
      </c>
      <c r="AB508" s="6">
        <v>22088.34</v>
      </c>
      <c r="AC508" s="6">
        <v>141.09</v>
      </c>
      <c r="AD508" s="6">
        <v>1127.8699999999999</v>
      </c>
      <c r="AE508" s="6">
        <v>0</v>
      </c>
      <c r="AF508" s="6">
        <v>141.09</v>
      </c>
      <c r="AG508" s="6">
        <v>0</v>
      </c>
      <c r="AH508" s="6">
        <v>19.03</v>
      </c>
      <c r="AI508" s="6" t="s">
        <v>288</v>
      </c>
      <c r="AJ508" s="6" t="s">
        <v>1872</v>
      </c>
      <c r="AK508" s="6" t="s">
        <v>16</v>
      </c>
      <c r="AL508" s="6" t="s">
        <v>49</v>
      </c>
      <c r="AM508" s="6" t="s">
        <v>1501</v>
      </c>
      <c r="AN508" s="6" t="s">
        <v>26</v>
      </c>
      <c r="AO508" s="6" t="s">
        <v>272</v>
      </c>
      <c r="AP508" s="6" t="s">
        <v>260</v>
      </c>
      <c r="AQ508" s="6" t="s">
        <v>24</v>
      </c>
    </row>
    <row r="509" spans="1:43" x14ac:dyDescent="0.25">
      <c r="A509" s="6">
        <v>22911973</v>
      </c>
      <c r="B509" s="6">
        <v>23685052</v>
      </c>
      <c r="C509" s="6" t="s">
        <v>248</v>
      </c>
      <c r="D509" s="14">
        <v>45911.899513888893</v>
      </c>
      <c r="E509" s="14">
        <v>45911.912997685176</v>
      </c>
      <c r="F509" s="6" t="s">
        <v>17</v>
      </c>
      <c r="G509" s="6" t="s">
        <v>17</v>
      </c>
      <c r="H509" s="6" t="s">
        <v>1873</v>
      </c>
      <c r="I509" s="6" t="s">
        <v>16</v>
      </c>
      <c r="J509" s="6" t="s">
        <v>1874</v>
      </c>
      <c r="K509" s="6" t="s">
        <v>1588</v>
      </c>
      <c r="L509" s="6" t="s">
        <v>1764</v>
      </c>
      <c r="M509" s="14">
        <v>45911.530555555553</v>
      </c>
      <c r="N509" s="6" t="s">
        <v>1873</v>
      </c>
      <c r="O509" s="6" t="s">
        <v>91</v>
      </c>
      <c r="P509" s="6" t="s">
        <v>276</v>
      </c>
      <c r="Q509" s="6" t="s">
        <v>253</v>
      </c>
      <c r="R509" s="6" t="s">
        <v>1463</v>
      </c>
      <c r="S509" s="6" t="s">
        <v>7</v>
      </c>
      <c r="T509" s="6" t="s">
        <v>254</v>
      </c>
      <c r="U509" s="6" t="s">
        <v>142</v>
      </c>
      <c r="V509" s="6" t="s">
        <v>1062</v>
      </c>
      <c r="W509" s="6" t="s">
        <v>91</v>
      </c>
      <c r="X509" s="6" t="s">
        <v>1865</v>
      </c>
      <c r="Y509" s="6">
        <v>2953001170</v>
      </c>
      <c r="Z509" s="6" t="s">
        <v>54</v>
      </c>
      <c r="AA509" s="6" t="s">
        <v>91</v>
      </c>
      <c r="AB509" s="6">
        <v>6483.93</v>
      </c>
      <c r="AC509" s="6">
        <v>59.54</v>
      </c>
      <c r="AD509" s="6">
        <v>1167.68</v>
      </c>
      <c r="AE509" s="6">
        <v>0</v>
      </c>
      <c r="AF509" s="6">
        <v>59.54</v>
      </c>
      <c r="AG509" s="6">
        <v>0</v>
      </c>
      <c r="AH509" s="6">
        <v>0</v>
      </c>
      <c r="AI509" s="6" t="s">
        <v>288</v>
      </c>
      <c r="AJ509" s="6" t="s">
        <v>1875</v>
      </c>
      <c r="AK509" s="6" t="s">
        <v>16</v>
      </c>
      <c r="AL509" s="6" t="s">
        <v>53</v>
      </c>
      <c r="AM509" s="6" t="s">
        <v>67</v>
      </c>
      <c r="AN509" s="6" t="s">
        <v>20</v>
      </c>
      <c r="AO509" s="6" t="s">
        <v>272</v>
      </c>
      <c r="AP509" s="6" t="s">
        <v>260</v>
      </c>
      <c r="AQ509" s="6" t="s">
        <v>24</v>
      </c>
    </row>
    <row r="510" spans="1:43" x14ac:dyDescent="0.25">
      <c r="A510" s="6">
        <v>22910162</v>
      </c>
      <c r="B510" s="6">
        <v>23683421</v>
      </c>
      <c r="C510" s="6" t="s">
        <v>1671</v>
      </c>
      <c r="D510" s="14">
        <v>45911.737395833326</v>
      </c>
      <c r="E510" s="14">
        <v>45911.761886574073</v>
      </c>
      <c r="F510" s="6" t="s">
        <v>17</v>
      </c>
      <c r="G510" s="6" t="s">
        <v>17</v>
      </c>
      <c r="H510" s="6" t="s">
        <v>1876</v>
      </c>
      <c r="I510" s="6" t="s">
        <v>15</v>
      </c>
      <c r="J510" s="6" t="s">
        <v>710</v>
      </c>
      <c r="K510" s="6" t="s">
        <v>711</v>
      </c>
      <c r="L510" s="6" t="s">
        <v>1588</v>
      </c>
      <c r="M510" s="14">
        <v>45910.736805555563</v>
      </c>
      <c r="N510" s="6" t="s">
        <v>91</v>
      </c>
      <c r="O510" s="6" t="s">
        <v>91</v>
      </c>
      <c r="P510" s="6" t="s">
        <v>252</v>
      </c>
      <c r="Q510" s="6" t="s">
        <v>253</v>
      </c>
      <c r="R510" s="6" t="s">
        <v>1463</v>
      </c>
      <c r="S510" s="6" t="s">
        <v>7</v>
      </c>
      <c r="T510" s="6" t="s">
        <v>254</v>
      </c>
      <c r="U510" s="6" t="s">
        <v>116</v>
      </c>
      <c r="V510" s="6" t="s">
        <v>633</v>
      </c>
      <c r="W510" s="6" t="s">
        <v>91</v>
      </c>
      <c r="X510" s="6" t="s">
        <v>1865</v>
      </c>
      <c r="Y510" s="6">
        <v>2953005181</v>
      </c>
      <c r="Z510" s="6" t="s">
        <v>56</v>
      </c>
      <c r="AA510" s="6" t="s">
        <v>91</v>
      </c>
      <c r="AB510" s="6">
        <v>26737.34</v>
      </c>
      <c r="AC510" s="6">
        <v>1190.3399999999999</v>
      </c>
      <c r="AD510" s="6">
        <v>0</v>
      </c>
      <c r="AE510" s="6">
        <v>0</v>
      </c>
      <c r="AF510" s="6">
        <v>0</v>
      </c>
      <c r="AG510" s="6">
        <v>0</v>
      </c>
      <c r="AH510" s="6">
        <v>0</v>
      </c>
      <c r="AI510" s="6" t="s">
        <v>91</v>
      </c>
      <c r="AJ510" s="6" t="s">
        <v>1877</v>
      </c>
      <c r="AK510" s="6" t="s">
        <v>15</v>
      </c>
      <c r="AL510" s="6" t="s">
        <v>51</v>
      </c>
      <c r="AM510" s="6" t="s">
        <v>1591</v>
      </c>
      <c r="AN510" s="6" t="s">
        <v>20</v>
      </c>
      <c r="AO510" s="6" t="s">
        <v>272</v>
      </c>
      <c r="AP510" s="6" t="s">
        <v>260</v>
      </c>
      <c r="AQ510" s="6" t="s">
        <v>24</v>
      </c>
    </row>
    <row r="511" spans="1:43" x14ac:dyDescent="0.25">
      <c r="A511" s="6">
        <v>22870599</v>
      </c>
      <c r="B511" s="6">
        <v>23649859</v>
      </c>
      <c r="C511" s="6" t="s">
        <v>248</v>
      </c>
      <c r="D511" s="14">
        <v>45904.787048611113</v>
      </c>
      <c r="E511" s="14">
        <v>45911.559421296297</v>
      </c>
      <c r="F511" s="6" t="s">
        <v>17</v>
      </c>
      <c r="G511" s="6" t="s">
        <v>21</v>
      </c>
      <c r="H511" s="6" t="s">
        <v>1878</v>
      </c>
      <c r="I511" s="6" t="s">
        <v>337</v>
      </c>
      <c r="J511" s="6" t="s">
        <v>1879</v>
      </c>
      <c r="K511" s="6" t="s">
        <v>1441</v>
      </c>
      <c r="L511" s="6" t="s">
        <v>1441</v>
      </c>
      <c r="M511" s="14">
        <v>45904.629861111112</v>
      </c>
      <c r="N511" s="6">
        <v>41483</v>
      </c>
      <c r="O511" s="6" t="s">
        <v>91</v>
      </c>
      <c r="P511" s="6" t="s">
        <v>252</v>
      </c>
      <c r="Q511" s="6" t="s">
        <v>253</v>
      </c>
      <c r="R511" s="6" t="s">
        <v>1463</v>
      </c>
      <c r="S511" s="6" t="s">
        <v>7</v>
      </c>
      <c r="T511" s="6" t="s">
        <v>254</v>
      </c>
      <c r="U511" s="6" t="s">
        <v>122</v>
      </c>
      <c r="V511" s="6" t="s">
        <v>1880</v>
      </c>
      <c r="W511" s="6" t="s">
        <v>91</v>
      </c>
      <c r="X511" s="6" t="s">
        <v>1865</v>
      </c>
      <c r="Y511" s="6">
        <v>2971387947</v>
      </c>
      <c r="Z511" s="6" t="s">
        <v>64</v>
      </c>
      <c r="AA511" s="6" t="s">
        <v>91</v>
      </c>
      <c r="AB511" s="6">
        <v>9015.8700000000008</v>
      </c>
      <c r="AC511" s="6">
        <v>1600.57</v>
      </c>
      <c r="AD511" s="6">
        <v>0</v>
      </c>
      <c r="AE511" s="6">
        <v>0</v>
      </c>
      <c r="AF511" s="6">
        <v>0</v>
      </c>
      <c r="AG511" s="6">
        <v>0</v>
      </c>
      <c r="AH511" s="6">
        <v>0</v>
      </c>
      <c r="AI511" s="6" t="s">
        <v>1881</v>
      </c>
      <c r="AJ511" s="6" t="s">
        <v>1882</v>
      </c>
      <c r="AK511" s="6" t="s">
        <v>12</v>
      </c>
      <c r="AL511" s="6" t="s">
        <v>49</v>
      </c>
      <c r="AM511" s="6" t="s">
        <v>1501</v>
      </c>
      <c r="AN511" s="6" t="s">
        <v>26</v>
      </c>
      <c r="AO511" s="6" t="s">
        <v>272</v>
      </c>
      <c r="AP511" s="6" t="s">
        <v>260</v>
      </c>
      <c r="AQ511" s="6" t="s">
        <v>37</v>
      </c>
    </row>
    <row r="512" spans="1:43" x14ac:dyDescent="0.25">
      <c r="A512" s="6">
        <v>22911972</v>
      </c>
      <c r="B512" s="6">
        <v>23685051</v>
      </c>
      <c r="C512" s="6" t="s">
        <v>248</v>
      </c>
      <c r="D512" s="14">
        <v>45911.899456018517</v>
      </c>
      <c r="E512" s="14">
        <v>45911.912997685176</v>
      </c>
      <c r="F512" s="6" t="s">
        <v>17</v>
      </c>
      <c r="G512" s="6" t="s">
        <v>17</v>
      </c>
      <c r="H512" s="6" t="s">
        <v>1883</v>
      </c>
      <c r="I512" s="6" t="s">
        <v>16</v>
      </c>
      <c r="J512" s="6" t="s">
        <v>1884</v>
      </c>
      <c r="K512" s="6" t="s">
        <v>1806</v>
      </c>
      <c r="L512" s="6" t="s">
        <v>1764</v>
      </c>
      <c r="M512" s="14">
        <v>45911</v>
      </c>
      <c r="N512" s="6" t="s">
        <v>1883</v>
      </c>
      <c r="O512" s="6" t="s">
        <v>91</v>
      </c>
      <c r="P512" s="6" t="s">
        <v>276</v>
      </c>
      <c r="Q512" s="6" t="s">
        <v>253</v>
      </c>
      <c r="R512" s="6" t="s">
        <v>1463</v>
      </c>
      <c r="S512" s="6" t="s">
        <v>7</v>
      </c>
      <c r="T512" s="6" t="s">
        <v>254</v>
      </c>
      <c r="U512" s="6" t="s">
        <v>142</v>
      </c>
      <c r="V512" s="6" t="s">
        <v>1062</v>
      </c>
      <c r="W512" s="6" t="s">
        <v>91</v>
      </c>
      <c r="X512" s="6" t="s">
        <v>1865</v>
      </c>
      <c r="Y512" s="6">
        <v>2953001171</v>
      </c>
      <c r="Z512" s="6" t="s">
        <v>54</v>
      </c>
      <c r="AA512" s="6" t="s">
        <v>91</v>
      </c>
      <c r="AB512" s="6">
        <v>6483.93</v>
      </c>
      <c r="AC512" s="6">
        <v>59.54</v>
      </c>
      <c r="AD512" s="6">
        <v>1167.68</v>
      </c>
      <c r="AE512" s="6">
        <v>0</v>
      </c>
      <c r="AF512" s="6">
        <v>59.54</v>
      </c>
      <c r="AG512" s="6">
        <v>0</v>
      </c>
      <c r="AH512" s="6">
        <v>0</v>
      </c>
      <c r="AI512" s="6" t="s">
        <v>288</v>
      </c>
      <c r="AJ512" s="6" t="s">
        <v>1885</v>
      </c>
      <c r="AK512" s="6" t="s">
        <v>16</v>
      </c>
      <c r="AL512" s="6" t="s">
        <v>53</v>
      </c>
      <c r="AM512" s="6" t="s">
        <v>67</v>
      </c>
      <c r="AN512" s="6" t="s">
        <v>20</v>
      </c>
      <c r="AO512" s="6" t="s">
        <v>272</v>
      </c>
      <c r="AP512" s="6" t="s">
        <v>260</v>
      </c>
      <c r="AQ512" s="6" t="s">
        <v>24</v>
      </c>
    </row>
    <row r="513" spans="1:43" x14ac:dyDescent="0.25">
      <c r="A513" s="6">
        <v>22905477</v>
      </c>
      <c r="B513" s="6">
        <v>23679418</v>
      </c>
      <c r="C513" s="6" t="s">
        <v>248</v>
      </c>
      <c r="D513" s="14">
        <v>45910.937048611107</v>
      </c>
      <c r="E513" s="14">
        <v>45912.127291666657</v>
      </c>
      <c r="F513" s="6" t="s">
        <v>17</v>
      </c>
      <c r="G513" s="6" t="s">
        <v>17</v>
      </c>
      <c r="H513" s="6" t="s">
        <v>1886</v>
      </c>
      <c r="I513" s="6" t="s">
        <v>16</v>
      </c>
      <c r="J513" s="6" t="s">
        <v>1648</v>
      </c>
      <c r="K513" s="6" t="s">
        <v>1649</v>
      </c>
      <c r="L513" s="6" t="s">
        <v>1650</v>
      </c>
      <c r="M513" s="14">
        <v>45909.70416666667</v>
      </c>
      <c r="N513" s="6" t="s">
        <v>1886</v>
      </c>
      <c r="O513" s="6" t="s">
        <v>91</v>
      </c>
      <c r="P513" s="6" t="s">
        <v>276</v>
      </c>
      <c r="Q513" s="6" t="s">
        <v>253</v>
      </c>
      <c r="R513" s="6" t="s">
        <v>253</v>
      </c>
      <c r="S513" s="6" t="s">
        <v>7</v>
      </c>
      <c r="T513" s="6" t="s">
        <v>254</v>
      </c>
      <c r="U513" s="6" t="s">
        <v>145</v>
      </c>
      <c r="V513" s="6" t="s">
        <v>1651</v>
      </c>
      <c r="W513" s="6" t="s">
        <v>391</v>
      </c>
      <c r="X513" s="6" t="s">
        <v>1887</v>
      </c>
      <c r="Y513" s="6">
        <v>2872789884</v>
      </c>
      <c r="Z513" s="6" t="s">
        <v>96</v>
      </c>
      <c r="AA513" s="6" t="s">
        <v>91</v>
      </c>
      <c r="AB513" s="6">
        <v>2637.91</v>
      </c>
      <c r="AC513" s="6">
        <v>0</v>
      </c>
      <c r="AD513" s="6">
        <v>944.28</v>
      </c>
      <c r="AE513" s="6">
        <v>0</v>
      </c>
      <c r="AF513" s="6">
        <v>0</v>
      </c>
      <c r="AG513" s="6">
        <v>0</v>
      </c>
      <c r="AH513" s="6">
        <v>0</v>
      </c>
      <c r="AI513" s="6" t="s">
        <v>288</v>
      </c>
      <c r="AJ513" s="6" t="s">
        <v>1652</v>
      </c>
      <c r="AK513" s="6" t="s">
        <v>16</v>
      </c>
      <c r="AL513" s="6" t="s">
        <v>53</v>
      </c>
      <c r="AM513" s="6" t="s">
        <v>67</v>
      </c>
      <c r="AN513" s="6" t="s">
        <v>20</v>
      </c>
      <c r="AO513" s="6" t="s">
        <v>272</v>
      </c>
      <c r="AP513" s="6" t="s">
        <v>260</v>
      </c>
      <c r="AQ513" s="6" t="s">
        <v>24</v>
      </c>
    </row>
    <row r="514" spans="1:43" x14ac:dyDescent="0.25">
      <c r="A514" s="6">
        <v>22909284</v>
      </c>
      <c r="B514" s="6">
        <v>23682487</v>
      </c>
      <c r="C514" s="6" t="s">
        <v>248</v>
      </c>
      <c r="D514" s="14">
        <v>45911.628784722219</v>
      </c>
      <c r="E514" s="14">
        <v>45911.647858796299</v>
      </c>
      <c r="F514" s="6" t="s">
        <v>17</v>
      </c>
      <c r="G514" s="6" t="s">
        <v>17</v>
      </c>
      <c r="H514" s="6" t="s">
        <v>1888</v>
      </c>
      <c r="I514" s="6" t="s">
        <v>16</v>
      </c>
      <c r="J514" s="6" t="s">
        <v>1771</v>
      </c>
      <c r="K514" s="6" t="s">
        <v>1744</v>
      </c>
      <c r="L514" s="6" t="s">
        <v>690</v>
      </c>
      <c r="M514" s="14">
        <v>45898.472916666673</v>
      </c>
      <c r="N514" s="6" t="s">
        <v>1889</v>
      </c>
      <c r="O514" s="6" t="s">
        <v>91</v>
      </c>
      <c r="P514" s="6" t="s">
        <v>252</v>
      </c>
      <c r="Q514" s="6" t="s">
        <v>253</v>
      </c>
      <c r="R514" s="6" t="s">
        <v>1463</v>
      </c>
      <c r="S514" s="6" t="s">
        <v>7</v>
      </c>
      <c r="T514" s="6" t="s">
        <v>254</v>
      </c>
      <c r="U514" s="6" t="s">
        <v>116</v>
      </c>
      <c r="V514" s="6" t="s">
        <v>633</v>
      </c>
      <c r="W514" s="6" t="s">
        <v>91</v>
      </c>
      <c r="X514" s="6" t="s">
        <v>1887</v>
      </c>
      <c r="Y514" s="6">
        <v>2952949858</v>
      </c>
      <c r="Z514" s="6" t="s">
        <v>56</v>
      </c>
      <c r="AA514" s="6" t="s">
        <v>91</v>
      </c>
      <c r="AB514" s="6">
        <v>3582.41</v>
      </c>
      <c r="AC514" s="6">
        <v>59.54</v>
      </c>
      <c r="AD514" s="6">
        <v>413.42</v>
      </c>
      <c r="AE514" s="6">
        <v>0</v>
      </c>
      <c r="AF514" s="6">
        <v>59.54</v>
      </c>
      <c r="AG514" s="6">
        <v>0</v>
      </c>
      <c r="AH514" s="6">
        <v>0</v>
      </c>
      <c r="AI514" s="6" t="s">
        <v>288</v>
      </c>
      <c r="AJ514" s="6" t="s">
        <v>1890</v>
      </c>
      <c r="AK514" s="6" t="s">
        <v>16</v>
      </c>
      <c r="AL514" s="6" t="s">
        <v>49</v>
      </c>
      <c r="AM514" s="6" t="s">
        <v>1501</v>
      </c>
      <c r="AN514" s="6" t="s">
        <v>26</v>
      </c>
      <c r="AO514" s="6" t="s">
        <v>272</v>
      </c>
      <c r="AP514" s="6" t="s">
        <v>260</v>
      </c>
      <c r="AQ514" s="6" t="s">
        <v>24</v>
      </c>
    </row>
    <row r="515" spans="1:43" x14ac:dyDescent="0.25">
      <c r="A515" s="6">
        <v>22911938</v>
      </c>
      <c r="B515" s="6">
        <v>23685022</v>
      </c>
      <c r="C515" s="6" t="s">
        <v>248</v>
      </c>
      <c r="D515" s="14">
        <v>45911.897962962961</v>
      </c>
      <c r="E515" s="14">
        <v>45911.90053240741</v>
      </c>
      <c r="F515" s="6" t="s">
        <v>17</v>
      </c>
      <c r="G515" s="6" t="s">
        <v>17</v>
      </c>
      <c r="H515" s="6" t="s">
        <v>1891</v>
      </c>
      <c r="I515" s="6" t="s">
        <v>16</v>
      </c>
      <c r="J515" s="6" t="s">
        <v>1892</v>
      </c>
      <c r="K515" s="6" t="s">
        <v>1649</v>
      </c>
      <c r="L515" s="6" t="s">
        <v>1721</v>
      </c>
      <c r="M515" s="14">
        <v>45911.584027777782</v>
      </c>
      <c r="N515" s="6" t="s">
        <v>1891</v>
      </c>
      <c r="O515" s="6" t="s">
        <v>91</v>
      </c>
      <c r="P515" s="6" t="s">
        <v>276</v>
      </c>
      <c r="Q515" s="6" t="s">
        <v>268</v>
      </c>
      <c r="R515" s="6" t="s">
        <v>269</v>
      </c>
      <c r="S515" s="6" t="s">
        <v>7</v>
      </c>
      <c r="T515" s="6" t="s">
        <v>254</v>
      </c>
      <c r="U515" s="6" t="s">
        <v>1893</v>
      </c>
      <c r="V515" s="6" t="s">
        <v>1894</v>
      </c>
      <c r="W515" s="6" t="s">
        <v>391</v>
      </c>
      <c r="X515" s="6" t="s">
        <v>1887</v>
      </c>
      <c r="Y515" s="6">
        <v>2953005196</v>
      </c>
      <c r="Z515" s="6" t="s">
        <v>1895</v>
      </c>
      <c r="AA515" s="6" t="s">
        <v>91</v>
      </c>
      <c r="AB515" s="6">
        <v>557.1</v>
      </c>
      <c r="AC515" s="6">
        <v>60.41</v>
      </c>
      <c r="AD515" s="6">
        <v>413.48</v>
      </c>
      <c r="AE515" s="6">
        <v>0</v>
      </c>
      <c r="AF515" s="6">
        <v>60.41</v>
      </c>
      <c r="AG515" s="6">
        <v>0</v>
      </c>
      <c r="AH515" s="6">
        <v>0</v>
      </c>
      <c r="AI515" s="6" t="s">
        <v>288</v>
      </c>
      <c r="AJ515" s="6" t="s">
        <v>1896</v>
      </c>
      <c r="AK515" s="6" t="s">
        <v>16</v>
      </c>
      <c r="AL515" s="6" t="s">
        <v>53</v>
      </c>
      <c r="AM515" s="6" t="s">
        <v>67</v>
      </c>
      <c r="AN515" s="6" t="s">
        <v>20</v>
      </c>
      <c r="AO515" s="6" t="s">
        <v>272</v>
      </c>
      <c r="AP515" s="6" t="s">
        <v>260</v>
      </c>
      <c r="AQ515" s="6" t="s">
        <v>24</v>
      </c>
    </row>
    <row r="516" spans="1:43" x14ac:dyDescent="0.25">
      <c r="A516" s="6">
        <v>22911975</v>
      </c>
      <c r="B516" s="6">
        <v>23685056</v>
      </c>
      <c r="C516" s="6" t="s">
        <v>248</v>
      </c>
      <c r="D516" s="14">
        <v>45911.899664351848</v>
      </c>
      <c r="E516" s="14">
        <v>45911.91300925926</v>
      </c>
      <c r="F516" s="6" t="s">
        <v>17</v>
      </c>
      <c r="G516" s="6" t="s">
        <v>17</v>
      </c>
      <c r="H516" s="6" t="s">
        <v>1897</v>
      </c>
      <c r="I516" s="6" t="s">
        <v>16</v>
      </c>
      <c r="J516" s="6" t="s">
        <v>1898</v>
      </c>
      <c r="K516" s="6" t="s">
        <v>1588</v>
      </c>
      <c r="L516" s="6" t="s">
        <v>1764</v>
      </c>
      <c r="M516" s="14">
        <v>45911</v>
      </c>
      <c r="N516" s="6" t="s">
        <v>1897</v>
      </c>
      <c r="O516" s="6" t="s">
        <v>91</v>
      </c>
      <c r="P516" s="6" t="s">
        <v>276</v>
      </c>
      <c r="Q516" s="6" t="s">
        <v>253</v>
      </c>
      <c r="R516" s="6" t="s">
        <v>1463</v>
      </c>
      <c r="S516" s="6" t="s">
        <v>7</v>
      </c>
      <c r="T516" s="6" t="s">
        <v>254</v>
      </c>
      <c r="U516" s="6" t="s">
        <v>142</v>
      </c>
      <c r="V516" s="6" t="s">
        <v>1062</v>
      </c>
      <c r="W516" s="6" t="s">
        <v>91</v>
      </c>
      <c r="X516" s="6" t="s">
        <v>1899</v>
      </c>
      <c r="Y516" s="6">
        <v>2953001168</v>
      </c>
      <c r="Z516" s="6" t="s">
        <v>54</v>
      </c>
      <c r="AA516" s="6" t="s">
        <v>91</v>
      </c>
      <c r="AB516" s="6">
        <v>1177.52</v>
      </c>
      <c r="AC516" s="6">
        <v>59.54</v>
      </c>
      <c r="AD516" s="6">
        <v>1147.8499999999999</v>
      </c>
      <c r="AE516" s="6">
        <v>0</v>
      </c>
      <c r="AF516" s="6">
        <v>59.54</v>
      </c>
      <c r="AG516" s="6">
        <v>0</v>
      </c>
      <c r="AH516" s="6">
        <v>0</v>
      </c>
      <c r="AI516" s="6" t="s">
        <v>288</v>
      </c>
      <c r="AJ516" s="6" t="s">
        <v>1885</v>
      </c>
      <c r="AK516" s="6" t="s">
        <v>16</v>
      </c>
      <c r="AL516" s="6" t="s">
        <v>53</v>
      </c>
      <c r="AM516" s="6" t="s">
        <v>67</v>
      </c>
      <c r="AN516" s="6" t="s">
        <v>20</v>
      </c>
      <c r="AO516" s="6" t="s">
        <v>272</v>
      </c>
      <c r="AP516" s="6" t="s">
        <v>260</v>
      </c>
      <c r="AQ516" s="6" t="s">
        <v>24</v>
      </c>
    </row>
    <row r="517" spans="1:43" x14ac:dyDescent="0.25">
      <c r="A517" s="6">
        <v>22911974</v>
      </c>
      <c r="B517" s="6">
        <v>23685054</v>
      </c>
      <c r="C517" s="6" t="s">
        <v>248</v>
      </c>
      <c r="D517" s="14">
        <v>45911.899583333332</v>
      </c>
      <c r="E517" s="14">
        <v>45911.903414351851</v>
      </c>
      <c r="F517" s="6" t="s">
        <v>17</v>
      </c>
      <c r="G517" s="6" t="s">
        <v>17</v>
      </c>
      <c r="H517" s="6" t="s">
        <v>1900</v>
      </c>
      <c r="I517" s="6" t="s">
        <v>16</v>
      </c>
      <c r="J517" s="6" t="s">
        <v>1901</v>
      </c>
      <c r="K517" s="6" t="s">
        <v>1588</v>
      </c>
      <c r="L517" s="6" t="s">
        <v>1605</v>
      </c>
      <c r="M517" s="14">
        <v>45884.620138888888</v>
      </c>
      <c r="N517" s="6" t="s">
        <v>292</v>
      </c>
      <c r="O517" s="6" t="s">
        <v>91</v>
      </c>
      <c r="P517" s="6" t="s">
        <v>252</v>
      </c>
      <c r="Q517" s="6" t="s">
        <v>268</v>
      </c>
      <c r="R517" s="6" t="s">
        <v>269</v>
      </c>
      <c r="S517" s="6" t="s">
        <v>7</v>
      </c>
      <c r="T517" s="6" t="s">
        <v>254</v>
      </c>
      <c r="U517" s="6" t="s">
        <v>113</v>
      </c>
      <c r="V517" s="6" t="s">
        <v>1606</v>
      </c>
      <c r="W517" s="6" t="s">
        <v>91</v>
      </c>
      <c r="X517" s="6" t="s">
        <v>1902</v>
      </c>
      <c r="Y517" s="6">
        <v>2953001169</v>
      </c>
      <c r="Z517" s="6" t="s">
        <v>50</v>
      </c>
      <c r="AA517" s="6" t="s">
        <v>91</v>
      </c>
      <c r="AB517" s="6">
        <v>3037.8</v>
      </c>
      <c r="AC517" s="6">
        <v>60.41</v>
      </c>
      <c r="AD517" s="6">
        <v>850.5</v>
      </c>
      <c r="AE517" s="6">
        <v>0</v>
      </c>
      <c r="AF517" s="6">
        <v>60.41</v>
      </c>
      <c r="AG517" s="6">
        <v>0</v>
      </c>
      <c r="AH517" s="6">
        <v>0</v>
      </c>
      <c r="AI517" s="6" t="s">
        <v>288</v>
      </c>
      <c r="AJ517" s="6" t="s">
        <v>1903</v>
      </c>
      <c r="AK517" s="6" t="s">
        <v>16</v>
      </c>
      <c r="AL517" s="6" t="s">
        <v>51</v>
      </c>
      <c r="AM517" s="6" t="s">
        <v>1591</v>
      </c>
      <c r="AN517" s="6" t="s">
        <v>20</v>
      </c>
      <c r="AO517" s="6" t="s">
        <v>272</v>
      </c>
      <c r="AP517" s="6" t="s">
        <v>260</v>
      </c>
      <c r="AQ517" s="6" t="s">
        <v>24</v>
      </c>
    </row>
    <row r="518" spans="1:43" x14ac:dyDescent="0.25">
      <c r="A518" s="6">
        <v>22911974</v>
      </c>
      <c r="B518" s="6">
        <v>23685055</v>
      </c>
      <c r="C518" s="6" t="s">
        <v>637</v>
      </c>
      <c r="D518" s="14">
        <v>45911.899583333332</v>
      </c>
      <c r="E518" s="14">
        <v>45911.903414351851</v>
      </c>
      <c r="F518" s="6" t="s">
        <v>17</v>
      </c>
      <c r="G518" s="6" t="s">
        <v>17</v>
      </c>
      <c r="H518" s="6" t="s">
        <v>1900</v>
      </c>
      <c r="I518" s="6" t="s">
        <v>16</v>
      </c>
      <c r="J518" s="6" t="s">
        <v>1901</v>
      </c>
      <c r="K518" s="6" t="s">
        <v>1588</v>
      </c>
      <c r="L518" s="6" t="s">
        <v>1605</v>
      </c>
      <c r="M518" s="14">
        <v>45884.620138888888</v>
      </c>
      <c r="N518" s="6" t="s">
        <v>292</v>
      </c>
      <c r="O518" s="6" t="s">
        <v>91</v>
      </c>
      <c r="P518" s="6" t="s">
        <v>252</v>
      </c>
      <c r="Q518" s="6" t="s">
        <v>1592</v>
      </c>
      <c r="R518" s="6" t="s">
        <v>1593</v>
      </c>
      <c r="S518" s="6" t="s">
        <v>7</v>
      </c>
      <c r="T518" s="6" t="s">
        <v>254</v>
      </c>
      <c r="U518" s="6" t="s">
        <v>113</v>
      </c>
      <c r="V518" s="6" t="s">
        <v>1606</v>
      </c>
      <c r="W518" s="6" t="s">
        <v>91</v>
      </c>
      <c r="X518" s="6" t="s">
        <v>1902</v>
      </c>
      <c r="Y518" s="6">
        <v>2953001169</v>
      </c>
      <c r="Z518" s="6" t="s">
        <v>50</v>
      </c>
      <c r="AA518" s="6" t="s">
        <v>91</v>
      </c>
      <c r="AB518" s="6">
        <v>0</v>
      </c>
      <c r="AC518" s="6">
        <v>0</v>
      </c>
      <c r="AD518" s="6">
        <v>0</v>
      </c>
      <c r="AE518" s="6">
        <v>0</v>
      </c>
      <c r="AF518" s="6">
        <v>0</v>
      </c>
      <c r="AG518" s="6">
        <v>0</v>
      </c>
      <c r="AH518" s="6">
        <v>0</v>
      </c>
      <c r="AI518" s="6" t="s">
        <v>288</v>
      </c>
      <c r="AJ518" s="6" t="s">
        <v>1903</v>
      </c>
      <c r="AK518" s="6" t="s">
        <v>16</v>
      </c>
      <c r="AL518" s="6" t="s">
        <v>51</v>
      </c>
      <c r="AM518" s="6" t="s">
        <v>1591</v>
      </c>
      <c r="AN518" s="6" t="s">
        <v>20</v>
      </c>
      <c r="AO518" s="6" t="s">
        <v>272</v>
      </c>
      <c r="AP518" s="6" t="s">
        <v>260</v>
      </c>
      <c r="AQ518" s="6" t="s">
        <v>24</v>
      </c>
    </row>
    <row r="519" spans="1:43" x14ac:dyDescent="0.25">
      <c r="A519" s="6">
        <v>22905398</v>
      </c>
      <c r="B519" s="6">
        <v>23679340</v>
      </c>
      <c r="C519" s="6" t="s">
        <v>248</v>
      </c>
      <c r="D519" s="14">
        <v>45910.932905092603</v>
      </c>
      <c r="E519" s="14">
        <v>45911.56927083333</v>
      </c>
      <c r="F519" s="6" t="s">
        <v>17</v>
      </c>
      <c r="G519" s="6" t="s">
        <v>17</v>
      </c>
      <c r="H519" s="6" t="s">
        <v>1904</v>
      </c>
      <c r="I519" s="6" t="s">
        <v>16</v>
      </c>
      <c r="J519" s="6" t="s">
        <v>1905</v>
      </c>
      <c r="K519" s="6" t="s">
        <v>1588</v>
      </c>
      <c r="L519" s="6" t="s">
        <v>1733</v>
      </c>
      <c r="M519" s="14">
        <v>45908.54791666667</v>
      </c>
      <c r="N519" s="6" t="s">
        <v>1904</v>
      </c>
      <c r="O519" s="6" t="s">
        <v>91</v>
      </c>
      <c r="P519" s="6" t="s">
        <v>276</v>
      </c>
      <c r="Q519" s="6" t="s">
        <v>268</v>
      </c>
      <c r="R519" s="6" t="s">
        <v>269</v>
      </c>
      <c r="S519" s="6" t="s">
        <v>7</v>
      </c>
      <c r="T519" s="6" t="s">
        <v>254</v>
      </c>
      <c r="U519" s="6" t="s">
        <v>188</v>
      </c>
      <c r="V519" s="6" t="s">
        <v>466</v>
      </c>
      <c r="W519" s="6" t="s">
        <v>91</v>
      </c>
      <c r="X519" s="6" t="s">
        <v>1902</v>
      </c>
      <c r="Y519" s="6">
        <v>2953001153</v>
      </c>
      <c r="Z519" s="6" t="s">
        <v>91</v>
      </c>
      <c r="AA519" s="6" t="s">
        <v>91</v>
      </c>
      <c r="AB519" s="6">
        <v>3311.46</v>
      </c>
      <c r="AC519" s="6">
        <v>59.54</v>
      </c>
      <c r="AD519" s="6">
        <v>731.82</v>
      </c>
      <c r="AE519" s="6">
        <v>0</v>
      </c>
      <c r="AF519" s="6">
        <v>59.54</v>
      </c>
      <c r="AG519" s="6">
        <v>0</v>
      </c>
      <c r="AH519" s="6">
        <v>0</v>
      </c>
      <c r="AI519" s="6" t="s">
        <v>288</v>
      </c>
      <c r="AJ519" s="6" t="s">
        <v>1906</v>
      </c>
      <c r="AK519" s="6" t="s">
        <v>16</v>
      </c>
      <c r="AL519" s="6" t="s">
        <v>53</v>
      </c>
      <c r="AM519" s="6" t="s">
        <v>67</v>
      </c>
      <c r="AN519" s="6" t="s">
        <v>20</v>
      </c>
      <c r="AO519" s="6" t="s">
        <v>272</v>
      </c>
      <c r="AP519" s="6" t="s">
        <v>260</v>
      </c>
      <c r="AQ519" s="6" t="s">
        <v>24</v>
      </c>
    </row>
    <row r="520" spans="1:43" x14ac:dyDescent="0.25">
      <c r="A520" s="6">
        <v>22911977</v>
      </c>
      <c r="B520" s="6">
        <v>23685060</v>
      </c>
      <c r="C520" s="6" t="s">
        <v>638</v>
      </c>
      <c r="D520" s="14">
        <v>45911.900092592587</v>
      </c>
      <c r="E520" s="14">
        <v>45911.903414351851</v>
      </c>
      <c r="F520" s="6" t="s">
        <v>17</v>
      </c>
      <c r="G520" s="6" t="s">
        <v>17</v>
      </c>
      <c r="H520" s="6" t="s">
        <v>1586</v>
      </c>
      <c r="I520" s="6" t="s">
        <v>16</v>
      </c>
      <c r="J520" s="6" t="s">
        <v>1587</v>
      </c>
      <c r="K520" s="6" t="s">
        <v>1588</v>
      </c>
      <c r="L520" s="6" t="s">
        <v>495</v>
      </c>
      <c r="M520" s="14">
        <v>45905</v>
      </c>
      <c r="N520" s="6" t="s">
        <v>1586</v>
      </c>
      <c r="O520" s="6" t="s">
        <v>91</v>
      </c>
      <c r="P520" s="6" t="s">
        <v>252</v>
      </c>
      <c r="Q520" s="6" t="s">
        <v>1592</v>
      </c>
      <c r="R520" s="6" t="s">
        <v>1593</v>
      </c>
      <c r="S520" s="6" t="s">
        <v>7</v>
      </c>
      <c r="T520" s="6" t="s">
        <v>254</v>
      </c>
      <c r="U520" s="6" t="s">
        <v>119</v>
      </c>
      <c r="V520" s="6" t="s">
        <v>1555</v>
      </c>
      <c r="W520" s="6" t="s">
        <v>391</v>
      </c>
      <c r="X520" s="6" t="s">
        <v>1902</v>
      </c>
      <c r="Y520" s="6">
        <v>2953011480</v>
      </c>
      <c r="Z520" s="6" t="s">
        <v>60</v>
      </c>
      <c r="AA520" s="6" t="s">
        <v>91</v>
      </c>
      <c r="AB520" s="6">
        <v>0</v>
      </c>
      <c r="AC520" s="6">
        <v>0</v>
      </c>
      <c r="AD520" s="6">
        <v>0</v>
      </c>
      <c r="AE520" s="6">
        <v>0</v>
      </c>
      <c r="AF520" s="6">
        <v>0</v>
      </c>
      <c r="AG520" s="6">
        <v>0</v>
      </c>
      <c r="AH520" s="6">
        <v>0</v>
      </c>
      <c r="AI520" s="6" t="s">
        <v>288</v>
      </c>
      <c r="AJ520" s="6" t="s">
        <v>1590</v>
      </c>
      <c r="AK520" s="6" t="s">
        <v>16</v>
      </c>
      <c r="AL520" s="6" t="s">
        <v>51</v>
      </c>
      <c r="AM520" s="6" t="s">
        <v>1591</v>
      </c>
      <c r="AN520" s="6" t="s">
        <v>20</v>
      </c>
      <c r="AO520" s="6" t="s">
        <v>272</v>
      </c>
      <c r="AP520" s="6" t="s">
        <v>260</v>
      </c>
      <c r="AQ520" s="6" t="s">
        <v>24</v>
      </c>
    </row>
    <row r="521" spans="1:43" x14ac:dyDescent="0.25">
      <c r="A521" s="6">
        <v>22911977</v>
      </c>
      <c r="B521" s="6">
        <v>23685058</v>
      </c>
      <c r="C521" s="6" t="s">
        <v>248</v>
      </c>
      <c r="D521" s="14">
        <v>45911.900092592587</v>
      </c>
      <c r="E521" s="14">
        <v>45911.903414351851</v>
      </c>
      <c r="F521" s="6" t="s">
        <v>17</v>
      </c>
      <c r="G521" s="6" t="s">
        <v>17</v>
      </c>
      <c r="H521" s="6" t="s">
        <v>1586</v>
      </c>
      <c r="I521" s="6" t="s">
        <v>16</v>
      </c>
      <c r="J521" s="6" t="s">
        <v>1587</v>
      </c>
      <c r="K521" s="6" t="s">
        <v>1588</v>
      </c>
      <c r="L521" s="6" t="s">
        <v>495</v>
      </c>
      <c r="M521" s="14">
        <v>45905</v>
      </c>
      <c r="N521" s="6" t="s">
        <v>1586</v>
      </c>
      <c r="O521" s="6" t="s">
        <v>91</v>
      </c>
      <c r="P521" s="6" t="s">
        <v>252</v>
      </c>
      <c r="Q521" s="6" t="s">
        <v>253</v>
      </c>
      <c r="R521" s="6" t="s">
        <v>1463</v>
      </c>
      <c r="S521" s="6" t="s">
        <v>7</v>
      </c>
      <c r="T521" s="6" t="s">
        <v>254</v>
      </c>
      <c r="U521" s="6" t="s">
        <v>119</v>
      </c>
      <c r="V521" s="6" t="s">
        <v>1555</v>
      </c>
      <c r="W521" s="6" t="s">
        <v>391</v>
      </c>
      <c r="X521" s="6" t="s">
        <v>1902</v>
      </c>
      <c r="Y521" s="6">
        <v>2953011480</v>
      </c>
      <c r="Z521" s="6" t="s">
        <v>60</v>
      </c>
      <c r="AA521" s="6" t="s">
        <v>91</v>
      </c>
      <c r="AB521" s="6">
        <v>3340.72</v>
      </c>
      <c r="AC521" s="6">
        <v>59.54</v>
      </c>
      <c r="AD521" s="6">
        <v>903.34</v>
      </c>
      <c r="AE521" s="6">
        <v>0</v>
      </c>
      <c r="AF521" s="6">
        <v>59.54</v>
      </c>
      <c r="AG521" s="6">
        <v>0</v>
      </c>
      <c r="AH521" s="6">
        <v>0</v>
      </c>
      <c r="AI521" s="6" t="s">
        <v>288</v>
      </c>
      <c r="AJ521" s="6" t="s">
        <v>1590</v>
      </c>
      <c r="AK521" s="6" t="s">
        <v>16</v>
      </c>
      <c r="AL521" s="6" t="s">
        <v>51</v>
      </c>
      <c r="AM521" s="6" t="s">
        <v>1591</v>
      </c>
      <c r="AN521" s="6" t="s">
        <v>20</v>
      </c>
      <c r="AO521" s="6" t="s">
        <v>272</v>
      </c>
      <c r="AP521" s="6" t="s">
        <v>260</v>
      </c>
      <c r="AQ521" s="6" t="s">
        <v>24</v>
      </c>
    </row>
    <row r="522" spans="1:43" x14ac:dyDescent="0.25">
      <c r="A522" s="6">
        <v>22912167</v>
      </c>
      <c r="B522" s="6">
        <v>23685219</v>
      </c>
      <c r="C522" s="6" t="s">
        <v>248</v>
      </c>
      <c r="D522" s="14">
        <v>45911.940011574072</v>
      </c>
      <c r="E522" s="14">
        <v>45911.942002314812</v>
      </c>
      <c r="F522" s="6" t="s">
        <v>17</v>
      </c>
      <c r="G522" s="6" t="s">
        <v>17</v>
      </c>
      <c r="H522" s="6" t="s">
        <v>1907</v>
      </c>
      <c r="I522" s="6" t="s">
        <v>16</v>
      </c>
      <c r="J522" s="6" t="s">
        <v>1908</v>
      </c>
      <c r="K522" s="6" t="s">
        <v>1806</v>
      </c>
      <c r="L522" s="6" t="s">
        <v>1806</v>
      </c>
      <c r="M522" s="14">
        <v>45811.490972222222</v>
      </c>
      <c r="N522" s="6" t="s">
        <v>292</v>
      </c>
      <c r="O522" s="6" t="s">
        <v>91</v>
      </c>
      <c r="P522" s="6" t="s">
        <v>252</v>
      </c>
      <c r="Q522" s="6" t="s">
        <v>253</v>
      </c>
      <c r="R522" s="6" t="s">
        <v>253</v>
      </c>
      <c r="S522" s="6" t="s">
        <v>7</v>
      </c>
      <c r="T522" s="6" t="s">
        <v>254</v>
      </c>
      <c r="U522" s="6" t="s">
        <v>113</v>
      </c>
      <c r="V522" s="6" t="s">
        <v>1606</v>
      </c>
      <c r="W522" s="6" t="s">
        <v>91</v>
      </c>
      <c r="X522" s="6" t="s">
        <v>1909</v>
      </c>
      <c r="Y522" s="6">
        <v>2872755292</v>
      </c>
      <c r="Z522" s="6" t="s">
        <v>50</v>
      </c>
      <c r="AA522" s="6" t="s">
        <v>91</v>
      </c>
      <c r="AB522" s="6">
        <v>38529.26</v>
      </c>
      <c r="AC522" s="6">
        <v>0</v>
      </c>
      <c r="AD522" s="6">
        <v>2227.5</v>
      </c>
      <c r="AE522" s="6">
        <v>0</v>
      </c>
      <c r="AF522" s="6">
        <v>60.41</v>
      </c>
      <c r="AG522" s="6">
        <v>0</v>
      </c>
      <c r="AH522" s="6">
        <v>0</v>
      </c>
      <c r="AI522" s="6" t="s">
        <v>288</v>
      </c>
      <c r="AJ522" s="6" t="s">
        <v>1910</v>
      </c>
      <c r="AK522" s="6" t="s">
        <v>16</v>
      </c>
      <c r="AL522" s="6" t="s">
        <v>49</v>
      </c>
      <c r="AM522" s="6" t="s">
        <v>1501</v>
      </c>
      <c r="AN522" s="6" t="s">
        <v>26</v>
      </c>
      <c r="AO522" s="6" t="s">
        <v>272</v>
      </c>
      <c r="AP522" s="6" t="s">
        <v>260</v>
      </c>
      <c r="AQ522" s="6" t="s">
        <v>24</v>
      </c>
    </row>
    <row r="523" spans="1:43" x14ac:dyDescent="0.25">
      <c r="A523" s="6">
        <v>22909613</v>
      </c>
      <c r="B523" s="6">
        <v>23682856</v>
      </c>
      <c r="C523" s="6" t="s">
        <v>248</v>
      </c>
      <c r="D523" s="14">
        <v>45911.6715625</v>
      </c>
      <c r="E523" s="14">
        <v>45911.674259259264</v>
      </c>
      <c r="F523" s="6" t="s">
        <v>17</v>
      </c>
      <c r="G523" s="6" t="s">
        <v>17</v>
      </c>
      <c r="H523" s="6" t="s">
        <v>1911</v>
      </c>
      <c r="I523" s="6" t="s">
        <v>16</v>
      </c>
      <c r="J523" s="6" t="s">
        <v>1908</v>
      </c>
      <c r="K523" s="6" t="s">
        <v>1806</v>
      </c>
      <c r="L523" s="6" t="s">
        <v>1806</v>
      </c>
      <c r="M523" s="14">
        <v>45811.490972222222</v>
      </c>
      <c r="N523" s="6" t="s">
        <v>292</v>
      </c>
      <c r="O523" s="6" t="s">
        <v>91</v>
      </c>
      <c r="P523" s="6" t="s">
        <v>252</v>
      </c>
      <c r="Q523" s="6" t="s">
        <v>253</v>
      </c>
      <c r="R523" s="6" t="s">
        <v>253</v>
      </c>
      <c r="S523" s="6" t="s">
        <v>7</v>
      </c>
      <c r="T523" s="6" t="s">
        <v>254</v>
      </c>
      <c r="U523" s="6" t="s">
        <v>113</v>
      </c>
      <c r="V523" s="6" t="s">
        <v>1606</v>
      </c>
      <c r="W523" s="6" t="s">
        <v>91</v>
      </c>
      <c r="X523" s="6" t="s">
        <v>1909</v>
      </c>
      <c r="Y523" s="6">
        <v>2872755292</v>
      </c>
      <c r="Z523" s="6" t="s">
        <v>50</v>
      </c>
      <c r="AA523" s="6" t="s">
        <v>91</v>
      </c>
      <c r="AB523" s="6">
        <v>38529.26</v>
      </c>
      <c r="AC523" s="6">
        <v>0</v>
      </c>
      <c r="AD523" s="6">
        <v>2227.5</v>
      </c>
      <c r="AE523" s="6">
        <v>0</v>
      </c>
      <c r="AF523" s="6">
        <v>60.41</v>
      </c>
      <c r="AG523" s="6">
        <v>0</v>
      </c>
      <c r="AH523" s="6">
        <v>0</v>
      </c>
      <c r="AI523" s="6" t="s">
        <v>288</v>
      </c>
      <c r="AJ523" s="6" t="s">
        <v>1910</v>
      </c>
      <c r="AK523" s="6" t="s">
        <v>16</v>
      </c>
      <c r="AL523" s="6" t="s">
        <v>49</v>
      </c>
      <c r="AM523" s="6" t="s">
        <v>1501</v>
      </c>
      <c r="AN523" s="6" t="s">
        <v>26</v>
      </c>
      <c r="AO523" s="6" t="s">
        <v>272</v>
      </c>
      <c r="AP523" s="6" t="s">
        <v>260</v>
      </c>
      <c r="AQ523" s="6" t="s">
        <v>24</v>
      </c>
    </row>
    <row r="524" spans="1:43" x14ac:dyDescent="0.25">
      <c r="A524" s="6">
        <v>22908985</v>
      </c>
      <c r="B524" s="6">
        <v>23682223</v>
      </c>
      <c r="C524" s="6" t="s">
        <v>248</v>
      </c>
      <c r="D524" s="14">
        <v>45911.579212962963</v>
      </c>
      <c r="E524" s="14">
        <v>45911.57949074074</v>
      </c>
      <c r="F524" s="6" t="s">
        <v>17</v>
      </c>
      <c r="G524" s="6" t="s">
        <v>17</v>
      </c>
      <c r="H524" s="6" t="s">
        <v>1912</v>
      </c>
      <c r="I524" s="6" t="s">
        <v>16</v>
      </c>
      <c r="J524" s="6" t="s">
        <v>1908</v>
      </c>
      <c r="K524" s="6" t="s">
        <v>1806</v>
      </c>
      <c r="L524" s="6" t="s">
        <v>1806</v>
      </c>
      <c r="M524" s="14">
        <v>45811.490972222222</v>
      </c>
      <c r="N524" s="6" t="s">
        <v>292</v>
      </c>
      <c r="O524" s="6" t="s">
        <v>91</v>
      </c>
      <c r="P524" s="6" t="s">
        <v>252</v>
      </c>
      <c r="Q524" s="6" t="s">
        <v>253</v>
      </c>
      <c r="R524" s="6" t="s">
        <v>253</v>
      </c>
      <c r="S524" s="6" t="s">
        <v>7</v>
      </c>
      <c r="T524" s="6" t="s">
        <v>254</v>
      </c>
      <c r="U524" s="6" t="s">
        <v>113</v>
      </c>
      <c r="V524" s="6" t="s">
        <v>1606</v>
      </c>
      <c r="W524" s="6" t="s">
        <v>91</v>
      </c>
      <c r="X524" s="6" t="s">
        <v>1909</v>
      </c>
      <c r="Y524" s="6">
        <v>2872755292</v>
      </c>
      <c r="Z524" s="6" t="s">
        <v>50</v>
      </c>
      <c r="AA524" s="6" t="s">
        <v>91</v>
      </c>
      <c r="AB524" s="6">
        <v>38529.26</v>
      </c>
      <c r="AC524" s="6">
        <v>0</v>
      </c>
      <c r="AD524" s="6">
        <v>2227.5</v>
      </c>
      <c r="AE524" s="6">
        <v>0</v>
      </c>
      <c r="AF524" s="6">
        <v>60.41</v>
      </c>
      <c r="AG524" s="6">
        <v>0</v>
      </c>
      <c r="AH524" s="6">
        <v>0</v>
      </c>
      <c r="AI524" s="6" t="s">
        <v>288</v>
      </c>
      <c r="AJ524" s="6" t="s">
        <v>1910</v>
      </c>
      <c r="AK524" s="6" t="s">
        <v>16</v>
      </c>
      <c r="AL524" s="6" t="s">
        <v>49</v>
      </c>
      <c r="AM524" s="6" t="s">
        <v>1501</v>
      </c>
      <c r="AN524" s="6" t="s">
        <v>26</v>
      </c>
      <c r="AO524" s="6" t="s">
        <v>272</v>
      </c>
      <c r="AP524" s="6" t="s">
        <v>260</v>
      </c>
      <c r="AQ524" s="6" t="s">
        <v>24</v>
      </c>
    </row>
    <row r="525" spans="1:43" x14ac:dyDescent="0.25">
      <c r="A525" s="6">
        <v>22909202</v>
      </c>
      <c r="B525" s="6">
        <v>23682407</v>
      </c>
      <c r="C525" s="6" t="s">
        <v>248</v>
      </c>
      <c r="D525" s="14">
        <v>45911.618854166663</v>
      </c>
      <c r="E525" s="14">
        <v>45911.619814814818</v>
      </c>
      <c r="F525" s="6" t="s">
        <v>17</v>
      </c>
      <c r="G525" s="6" t="s">
        <v>17</v>
      </c>
      <c r="H525" s="6" t="s">
        <v>1913</v>
      </c>
      <c r="I525" s="6" t="s">
        <v>16</v>
      </c>
      <c r="J525" s="6" t="s">
        <v>1908</v>
      </c>
      <c r="K525" s="6" t="s">
        <v>1806</v>
      </c>
      <c r="L525" s="6" t="s">
        <v>1806</v>
      </c>
      <c r="M525" s="14">
        <v>45811.490972222222</v>
      </c>
      <c r="N525" s="6" t="s">
        <v>292</v>
      </c>
      <c r="O525" s="6" t="s">
        <v>91</v>
      </c>
      <c r="P525" s="6" t="s">
        <v>252</v>
      </c>
      <c r="Q525" s="6" t="s">
        <v>253</v>
      </c>
      <c r="R525" s="6" t="s">
        <v>253</v>
      </c>
      <c r="S525" s="6" t="s">
        <v>7</v>
      </c>
      <c r="T525" s="6" t="s">
        <v>254</v>
      </c>
      <c r="U525" s="6" t="s">
        <v>113</v>
      </c>
      <c r="V525" s="6" t="s">
        <v>1606</v>
      </c>
      <c r="W525" s="6" t="s">
        <v>91</v>
      </c>
      <c r="X525" s="6" t="s">
        <v>1909</v>
      </c>
      <c r="Y525" s="6">
        <v>2872755292</v>
      </c>
      <c r="Z525" s="6" t="s">
        <v>50</v>
      </c>
      <c r="AA525" s="6" t="s">
        <v>91</v>
      </c>
      <c r="AB525" s="6">
        <v>38529.26</v>
      </c>
      <c r="AC525" s="6">
        <v>0</v>
      </c>
      <c r="AD525" s="6">
        <v>2227.5</v>
      </c>
      <c r="AE525" s="6">
        <v>0</v>
      </c>
      <c r="AF525" s="6">
        <v>60.41</v>
      </c>
      <c r="AG525" s="6">
        <v>0</v>
      </c>
      <c r="AH525" s="6">
        <v>0</v>
      </c>
      <c r="AI525" s="6" t="s">
        <v>288</v>
      </c>
      <c r="AJ525" s="6" t="s">
        <v>1910</v>
      </c>
      <c r="AK525" s="6" t="s">
        <v>16</v>
      </c>
      <c r="AL525" s="6" t="s">
        <v>49</v>
      </c>
      <c r="AM525" s="6" t="s">
        <v>1501</v>
      </c>
      <c r="AN525" s="6" t="s">
        <v>26</v>
      </c>
      <c r="AO525" s="6" t="s">
        <v>272</v>
      </c>
      <c r="AP525" s="6" t="s">
        <v>260</v>
      </c>
      <c r="AQ525" s="6" t="s">
        <v>24</v>
      </c>
    </row>
    <row r="526" spans="1:43" x14ac:dyDescent="0.25">
      <c r="A526" s="6">
        <v>22910012</v>
      </c>
      <c r="B526" s="6">
        <v>23683228</v>
      </c>
      <c r="C526" s="6" t="s">
        <v>248</v>
      </c>
      <c r="D526" s="14">
        <v>45911.717118055552</v>
      </c>
      <c r="E526" s="14">
        <v>45911.719178240739</v>
      </c>
      <c r="F526" s="6" t="s">
        <v>17</v>
      </c>
      <c r="G526" s="6" t="s">
        <v>17</v>
      </c>
      <c r="H526" s="6" t="s">
        <v>1914</v>
      </c>
      <c r="I526" s="6" t="s">
        <v>16</v>
      </c>
      <c r="J526" s="6" t="s">
        <v>1908</v>
      </c>
      <c r="K526" s="6" t="s">
        <v>1806</v>
      </c>
      <c r="L526" s="6" t="s">
        <v>1806</v>
      </c>
      <c r="M526" s="14">
        <v>45811.490972222222</v>
      </c>
      <c r="N526" s="6" t="s">
        <v>292</v>
      </c>
      <c r="O526" s="6" t="s">
        <v>91</v>
      </c>
      <c r="P526" s="6" t="s">
        <v>252</v>
      </c>
      <c r="Q526" s="6" t="s">
        <v>253</v>
      </c>
      <c r="R526" s="6" t="s">
        <v>253</v>
      </c>
      <c r="S526" s="6" t="s">
        <v>7</v>
      </c>
      <c r="T526" s="6" t="s">
        <v>254</v>
      </c>
      <c r="U526" s="6" t="s">
        <v>113</v>
      </c>
      <c r="V526" s="6" t="s">
        <v>1606</v>
      </c>
      <c r="W526" s="6" t="s">
        <v>91</v>
      </c>
      <c r="X526" s="6" t="s">
        <v>1909</v>
      </c>
      <c r="Y526" s="6">
        <v>2872755292</v>
      </c>
      <c r="Z526" s="6" t="s">
        <v>50</v>
      </c>
      <c r="AA526" s="6" t="s">
        <v>91</v>
      </c>
      <c r="AB526" s="6">
        <v>38529.26</v>
      </c>
      <c r="AC526" s="6">
        <v>0</v>
      </c>
      <c r="AD526" s="6">
        <v>2227.5</v>
      </c>
      <c r="AE526" s="6">
        <v>0</v>
      </c>
      <c r="AF526" s="6">
        <v>60.41</v>
      </c>
      <c r="AG526" s="6">
        <v>0</v>
      </c>
      <c r="AH526" s="6">
        <v>0</v>
      </c>
      <c r="AI526" s="6" t="s">
        <v>288</v>
      </c>
      <c r="AJ526" s="6" t="s">
        <v>1910</v>
      </c>
      <c r="AK526" s="6" t="s">
        <v>16</v>
      </c>
      <c r="AL526" s="6" t="s">
        <v>49</v>
      </c>
      <c r="AM526" s="6" t="s">
        <v>1501</v>
      </c>
      <c r="AN526" s="6" t="s">
        <v>26</v>
      </c>
      <c r="AO526" s="6" t="s">
        <v>272</v>
      </c>
      <c r="AP526" s="6" t="s">
        <v>260</v>
      </c>
      <c r="AQ526" s="6" t="s">
        <v>24</v>
      </c>
    </row>
    <row r="527" spans="1:43" x14ac:dyDescent="0.25">
      <c r="A527" s="6">
        <v>22910450</v>
      </c>
      <c r="B527" s="6">
        <v>23683648</v>
      </c>
      <c r="C527" s="6" t="s">
        <v>248</v>
      </c>
      <c r="D527" s="14">
        <v>45911.758009259262</v>
      </c>
      <c r="E527" s="14">
        <v>45911.76122685185</v>
      </c>
      <c r="F527" s="6" t="s">
        <v>17</v>
      </c>
      <c r="G527" s="6" t="s">
        <v>17</v>
      </c>
      <c r="H527" s="6" t="s">
        <v>1915</v>
      </c>
      <c r="I527" s="6" t="s">
        <v>16</v>
      </c>
      <c r="J527" s="6" t="s">
        <v>1908</v>
      </c>
      <c r="K527" s="6" t="s">
        <v>1806</v>
      </c>
      <c r="L527" s="6" t="s">
        <v>1806</v>
      </c>
      <c r="M527" s="14">
        <v>45811.490972222222</v>
      </c>
      <c r="N527" s="6" t="s">
        <v>292</v>
      </c>
      <c r="O527" s="6" t="s">
        <v>91</v>
      </c>
      <c r="P527" s="6" t="s">
        <v>252</v>
      </c>
      <c r="Q527" s="6" t="s">
        <v>253</v>
      </c>
      <c r="R527" s="6" t="s">
        <v>253</v>
      </c>
      <c r="S527" s="6" t="s">
        <v>7</v>
      </c>
      <c r="T527" s="6" t="s">
        <v>254</v>
      </c>
      <c r="U527" s="6" t="s">
        <v>113</v>
      </c>
      <c r="V527" s="6" t="s">
        <v>1606</v>
      </c>
      <c r="W527" s="6" t="s">
        <v>91</v>
      </c>
      <c r="X527" s="6" t="s">
        <v>1909</v>
      </c>
      <c r="Y527" s="6">
        <v>2872755292</v>
      </c>
      <c r="Z527" s="6" t="s">
        <v>50</v>
      </c>
      <c r="AA527" s="6" t="s">
        <v>91</v>
      </c>
      <c r="AB527" s="6">
        <v>38529.26</v>
      </c>
      <c r="AC527" s="6">
        <v>0</v>
      </c>
      <c r="AD527" s="6">
        <v>2227.5</v>
      </c>
      <c r="AE527" s="6">
        <v>0</v>
      </c>
      <c r="AF527" s="6">
        <v>60.41</v>
      </c>
      <c r="AG527" s="6">
        <v>0</v>
      </c>
      <c r="AH527" s="6">
        <v>0</v>
      </c>
      <c r="AI527" s="6" t="s">
        <v>288</v>
      </c>
      <c r="AJ527" s="6" t="s">
        <v>1910</v>
      </c>
      <c r="AK527" s="6" t="s">
        <v>16</v>
      </c>
      <c r="AL527" s="6" t="s">
        <v>49</v>
      </c>
      <c r="AM527" s="6" t="s">
        <v>1501</v>
      </c>
      <c r="AN527" s="6" t="s">
        <v>26</v>
      </c>
      <c r="AO527" s="6" t="s">
        <v>272</v>
      </c>
      <c r="AP527" s="6" t="s">
        <v>260</v>
      </c>
      <c r="AQ527" s="6" t="s">
        <v>24</v>
      </c>
    </row>
    <row r="528" spans="1:43" x14ac:dyDescent="0.25">
      <c r="A528" s="6">
        <v>22911398</v>
      </c>
      <c r="B528" s="6">
        <v>23684562</v>
      </c>
      <c r="C528" s="6" t="s">
        <v>248</v>
      </c>
      <c r="D528" s="14">
        <v>45911.808472222219</v>
      </c>
      <c r="E528" s="14">
        <v>45911.80878472222</v>
      </c>
      <c r="F528" s="6" t="s">
        <v>17</v>
      </c>
      <c r="G528" s="6" t="s">
        <v>17</v>
      </c>
      <c r="H528" s="6" t="s">
        <v>1916</v>
      </c>
      <c r="I528" s="6" t="s">
        <v>16</v>
      </c>
      <c r="J528" s="6" t="s">
        <v>1908</v>
      </c>
      <c r="K528" s="6" t="s">
        <v>1806</v>
      </c>
      <c r="L528" s="6" t="s">
        <v>1806</v>
      </c>
      <c r="M528" s="14">
        <v>45811.490972222222</v>
      </c>
      <c r="N528" s="6" t="s">
        <v>292</v>
      </c>
      <c r="O528" s="6" t="s">
        <v>91</v>
      </c>
      <c r="P528" s="6" t="s">
        <v>252</v>
      </c>
      <c r="Q528" s="6" t="s">
        <v>253</v>
      </c>
      <c r="R528" s="6" t="s">
        <v>253</v>
      </c>
      <c r="S528" s="6" t="s">
        <v>7</v>
      </c>
      <c r="T528" s="6" t="s">
        <v>254</v>
      </c>
      <c r="U528" s="6" t="s">
        <v>113</v>
      </c>
      <c r="V528" s="6" t="s">
        <v>1606</v>
      </c>
      <c r="W528" s="6" t="s">
        <v>91</v>
      </c>
      <c r="X528" s="6" t="s">
        <v>1909</v>
      </c>
      <c r="Y528" s="6">
        <v>2872755292</v>
      </c>
      <c r="Z528" s="6" t="s">
        <v>50</v>
      </c>
      <c r="AA528" s="6" t="s">
        <v>91</v>
      </c>
      <c r="AB528" s="6">
        <v>38529.26</v>
      </c>
      <c r="AC528" s="6">
        <v>0</v>
      </c>
      <c r="AD528" s="6">
        <v>2227.5</v>
      </c>
      <c r="AE528" s="6">
        <v>0</v>
      </c>
      <c r="AF528" s="6">
        <v>60.41</v>
      </c>
      <c r="AG528" s="6">
        <v>0</v>
      </c>
      <c r="AH528" s="6">
        <v>0</v>
      </c>
      <c r="AI528" s="6" t="s">
        <v>288</v>
      </c>
      <c r="AJ528" s="6" t="s">
        <v>1910</v>
      </c>
      <c r="AK528" s="6" t="s">
        <v>16</v>
      </c>
      <c r="AL528" s="6" t="s">
        <v>49</v>
      </c>
      <c r="AM528" s="6" t="s">
        <v>1501</v>
      </c>
      <c r="AN528" s="6" t="s">
        <v>26</v>
      </c>
      <c r="AO528" s="6" t="s">
        <v>272</v>
      </c>
      <c r="AP528" s="6" t="s">
        <v>260</v>
      </c>
      <c r="AQ528" s="6" t="s">
        <v>24</v>
      </c>
    </row>
    <row r="529" spans="1:43" x14ac:dyDescent="0.25">
      <c r="A529" s="6">
        <v>22911745</v>
      </c>
      <c r="B529" s="6">
        <v>23684875</v>
      </c>
      <c r="C529" s="6" t="s">
        <v>248</v>
      </c>
      <c r="D529" s="14">
        <v>45911.85052083333</v>
      </c>
      <c r="E529" s="14">
        <v>45911.852337962962</v>
      </c>
      <c r="F529" s="6" t="s">
        <v>17</v>
      </c>
      <c r="G529" s="6" t="s">
        <v>17</v>
      </c>
      <c r="H529" s="6" t="s">
        <v>1917</v>
      </c>
      <c r="I529" s="6" t="s">
        <v>16</v>
      </c>
      <c r="J529" s="6" t="s">
        <v>1908</v>
      </c>
      <c r="K529" s="6" t="s">
        <v>1806</v>
      </c>
      <c r="L529" s="6" t="s">
        <v>1806</v>
      </c>
      <c r="M529" s="14">
        <v>45811.490972222222</v>
      </c>
      <c r="N529" s="6" t="s">
        <v>292</v>
      </c>
      <c r="O529" s="6" t="s">
        <v>91</v>
      </c>
      <c r="P529" s="6" t="s">
        <v>252</v>
      </c>
      <c r="Q529" s="6" t="s">
        <v>253</v>
      </c>
      <c r="R529" s="6" t="s">
        <v>253</v>
      </c>
      <c r="S529" s="6" t="s">
        <v>7</v>
      </c>
      <c r="T529" s="6" t="s">
        <v>254</v>
      </c>
      <c r="U529" s="6" t="s">
        <v>113</v>
      </c>
      <c r="V529" s="6" t="s">
        <v>1606</v>
      </c>
      <c r="W529" s="6" t="s">
        <v>91</v>
      </c>
      <c r="X529" s="6" t="s">
        <v>1909</v>
      </c>
      <c r="Y529" s="6">
        <v>2872755292</v>
      </c>
      <c r="Z529" s="6" t="s">
        <v>50</v>
      </c>
      <c r="AA529" s="6" t="s">
        <v>91</v>
      </c>
      <c r="AB529" s="6">
        <v>38529.26</v>
      </c>
      <c r="AC529" s="6">
        <v>0</v>
      </c>
      <c r="AD529" s="6">
        <v>2227.5</v>
      </c>
      <c r="AE529" s="6">
        <v>0</v>
      </c>
      <c r="AF529" s="6">
        <v>60.41</v>
      </c>
      <c r="AG529" s="6">
        <v>0</v>
      </c>
      <c r="AH529" s="6">
        <v>0</v>
      </c>
      <c r="AI529" s="6" t="s">
        <v>288</v>
      </c>
      <c r="AJ529" s="6" t="s">
        <v>1910</v>
      </c>
      <c r="AK529" s="6" t="s">
        <v>16</v>
      </c>
      <c r="AL529" s="6" t="s">
        <v>49</v>
      </c>
      <c r="AM529" s="6" t="s">
        <v>1501</v>
      </c>
      <c r="AN529" s="6" t="s">
        <v>26</v>
      </c>
      <c r="AO529" s="6" t="s">
        <v>272</v>
      </c>
      <c r="AP529" s="6" t="s">
        <v>260</v>
      </c>
      <c r="AQ529" s="6" t="s">
        <v>24</v>
      </c>
    </row>
    <row r="530" spans="1:43" x14ac:dyDescent="0.25">
      <c r="A530" s="6">
        <v>22911897</v>
      </c>
      <c r="B530" s="6">
        <v>23684991</v>
      </c>
      <c r="C530" s="6" t="s">
        <v>248</v>
      </c>
      <c r="D530" s="14">
        <v>45911.888437499998</v>
      </c>
      <c r="E530" s="14">
        <v>45911.889826388891</v>
      </c>
      <c r="F530" s="6" t="s">
        <v>17</v>
      </c>
      <c r="G530" s="6" t="s">
        <v>17</v>
      </c>
      <c r="H530" s="6" t="s">
        <v>1918</v>
      </c>
      <c r="I530" s="6" t="s">
        <v>16</v>
      </c>
      <c r="J530" s="6" t="s">
        <v>1908</v>
      </c>
      <c r="K530" s="6" t="s">
        <v>1806</v>
      </c>
      <c r="L530" s="6" t="s">
        <v>1806</v>
      </c>
      <c r="M530" s="14">
        <v>45811.490972222222</v>
      </c>
      <c r="N530" s="6" t="s">
        <v>292</v>
      </c>
      <c r="O530" s="6" t="s">
        <v>91</v>
      </c>
      <c r="P530" s="6" t="s">
        <v>252</v>
      </c>
      <c r="Q530" s="6" t="s">
        <v>253</v>
      </c>
      <c r="R530" s="6" t="s">
        <v>253</v>
      </c>
      <c r="S530" s="6" t="s">
        <v>7</v>
      </c>
      <c r="T530" s="6" t="s">
        <v>254</v>
      </c>
      <c r="U530" s="6" t="s">
        <v>113</v>
      </c>
      <c r="V530" s="6" t="s">
        <v>1606</v>
      </c>
      <c r="W530" s="6" t="s">
        <v>91</v>
      </c>
      <c r="X530" s="6" t="s">
        <v>1909</v>
      </c>
      <c r="Y530" s="6">
        <v>2872755292</v>
      </c>
      <c r="Z530" s="6" t="s">
        <v>50</v>
      </c>
      <c r="AA530" s="6" t="s">
        <v>91</v>
      </c>
      <c r="AB530" s="6">
        <v>38529.26</v>
      </c>
      <c r="AC530" s="6">
        <v>0</v>
      </c>
      <c r="AD530" s="6">
        <v>2227.5</v>
      </c>
      <c r="AE530" s="6">
        <v>0</v>
      </c>
      <c r="AF530" s="6">
        <v>60.41</v>
      </c>
      <c r="AG530" s="6">
        <v>0</v>
      </c>
      <c r="AH530" s="6">
        <v>0</v>
      </c>
      <c r="AI530" s="6" t="s">
        <v>288</v>
      </c>
      <c r="AJ530" s="6" t="s">
        <v>1910</v>
      </c>
      <c r="AK530" s="6" t="s">
        <v>16</v>
      </c>
      <c r="AL530" s="6" t="s">
        <v>49</v>
      </c>
      <c r="AM530" s="6" t="s">
        <v>1501</v>
      </c>
      <c r="AN530" s="6" t="s">
        <v>26</v>
      </c>
      <c r="AO530" s="6" t="s">
        <v>272</v>
      </c>
      <c r="AP530" s="6" t="s">
        <v>260</v>
      </c>
      <c r="AQ530" s="6" t="s">
        <v>24</v>
      </c>
    </row>
    <row r="531" spans="1:43" x14ac:dyDescent="0.25">
      <c r="A531" s="6">
        <v>22912594</v>
      </c>
      <c r="B531" s="6">
        <v>23685552</v>
      </c>
      <c r="C531" s="6" t="s">
        <v>248</v>
      </c>
      <c r="D531" s="14">
        <v>45912.017800925933</v>
      </c>
      <c r="E531" s="14">
        <v>45912.018831018519</v>
      </c>
      <c r="F531" s="6" t="s">
        <v>17</v>
      </c>
      <c r="G531" s="6" t="s">
        <v>17</v>
      </c>
      <c r="H531" s="6" t="s">
        <v>1919</v>
      </c>
      <c r="I531" s="6" t="s">
        <v>16</v>
      </c>
      <c r="J531" s="6" t="s">
        <v>1908</v>
      </c>
      <c r="K531" s="6" t="s">
        <v>1806</v>
      </c>
      <c r="L531" s="6" t="s">
        <v>1806</v>
      </c>
      <c r="M531" s="14">
        <v>45811.490972222222</v>
      </c>
      <c r="N531" s="6" t="s">
        <v>292</v>
      </c>
      <c r="O531" s="6" t="s">
        <v>91</v>
      </c>
      <c r="P531" s="6" t="s">
        <v>252</v>
      </c>
      <c r="Q531" s="6" t="s">
        <v>253</v>
      </c>
      <c r="R531" s="6" t="s">
        <v>253</v>
      </c>
      <c r="S531" s="6" t="s">
        <v>7</v>
      </c>
      <c r="T531" s="6" t="s">
        <v>254</v>
      </c>
      <c r="U531" s="6" t="s">
        <v>113</v>
      </c>
      <c r="V531" s="6" t="s">
        <v>1606</v>
      </c>
      <c r="W531" s="6" t="s">
        <v>91</v>
      </c>
      <c r="X531" s="6" t="s">
        <v>1909</v>
      </c>
      <c r="Y531" s="6">
        <v>2872755292</v>
      </c>
      <c r="Z531" s="6" t="s">
        <v>50</v>
      </c>
      <c r="AA531" s="6" t="s">
        <v>91</v>
      </c>
      <c r="AB531" s="6">
        <v>38529.26</v>
      </c>
      <c r="AC531" s="6">
        <v>0</v>
      </c>
      <c r="AD531" s="6">
        <v>2227.5</v>
      </c>
      <c r="AE531" s="6">
        <v>0</v>
      </c>
      <c r="AF531" s="6">
        <v>60.41</v>
      </c>
      <c r="AG531" s="6">
        <v>0</v>
      </c>
      <c r="AH531" s="6">
        <v>0</v>
      </c>
      <c r="AI531" s="6" t="s">
        <v>288</v>
      </c>
      <c r="AJ531" s="6" t="s">
        <v>1910</v>
      </c>
      <c r="AK531" s="6" t="s">
        <v>16</v>
      </c>
      <c r="AL531" s="6" t="s">
        <v>49</v>
      </c>
      <c r="AM531" s="6" t="s">
        <v>1501</v>
      </c>
      <c r="AN531" s="6" t="s">
        <v>26</v>
      </c>
      <c r="AO531" s="6" t="s">
        <v>272</v>
      </c>
      <c r="AP531" s="6" t="s">
        <v>260</v>
      </c>
      <c r="AQ531" s="6" t="s">
        <v>24</v>
      </c>
    </row>
    <row r="532" spans="1:43" x14ac:dyDescent="0.25">
      <c r="A532" s="6">
        <v>22912326</v>
      </c>
      <c r="B532" s="6">
        <v>23685338</v>
      </c>
      <c r="C532" s="6" t="s">
        <v>248</v>
      </c>
      <c r="D532" s="14">
        <v>45911.979444444441</v>
      </c>
      <c r="E532" s="14">
        <v>45911.979560185187</v>
      </c>
      <c r="F532" s="6" t="s">
        <v>17</v>
      </c>
      <c r="G532" s="6" t="s">
        <v>17</v>
      </c>
      <c r="H532" s="6" t="s">
        <v>1920</v>
      </c>
      <c r="I532" s="6" t="s">
        <v>16</v>
      </c>
      <c r="J532" s="6" t="s">
        <v>1908</v>
      </c>
      <c r="K532" s="6" t="s">
        <v>1806</v>
      </c>
      <c r="L532" s="6" t="s">
        <v>1806</v>
      </c>
      <c r="M532" s="14">
        <v>45811.490972222222</v>
      </c>
      <c r="N532" s="6" t="s">
        <v>292</v>
      </c>
      <c r="O532" s="6" t="s">
        <v>91</v>
      </c>
      <c r="P532" s="6" t="s">
        <v>252</v>
      </c>
      <c r="Q532" s="6" t="s">
        <v>253</v>
      </c>
      <c r="R532" s="6" t="s">
        <v>253</v>
      </c>
      <c r="S532" s="6" t="s">
        <v>7</v>
      </c>
      <c r="T532" s="6" t="s">
        <v>254</v>
      </c>
      <c r="U532" s="6" t="s">
        <v>113</v>
      </c>
      <c r="V532" s="6" t="s">
        <v>1606</v>
      </c>
      <c r="W532" s="6" t="s">
        <v>91</v>
      </c>
      <c r="X532" s="6" t="s">
        <v>1909</v>
      </c>
      <c r="Y532" s="6">
        <v>2872755292</v>
      </c>
      <c r="Z532" s="6" t="s">
        <v>50</v>
      </c>
      <c r="AA532" s="6" t="s">
        <v>91</v>
      </c>
      <c r="AB532" s="6">
        <v>38529.26</v>
      </c>
      <c r="AC532" s="6">
        <v>0</v>
      </c>
      <c r="AD532" s="6">
        <v>2227.5</v>
      </c>
      <c r="AE532" s="6">
        <v>0</v>
      </c>
      <c r="AF532" s="6">
        <v>60.41</v>
      </c>
      <c r="AG532" s="6">
        <v>0</v>
      </c>
      <c r="AH532" s="6">
        <v>0</v>
      </c>
      <c r="AI532" s="6" t="s">
        <v>288</v>
      </c>
      <c r="AJ532" s="6" t="s">
        <v>1910</v>
      </c>
      <c r="AK532" s="6" t="s">
        <v>16</v>
      </c>
      <c r="AL532" s="6" t="s">
        <v>49</v>
      </c>
      <c r="AM532" s="6" t="s">
        <v>1501</v>
      </c>
      <c r="AN532" s="6" t="s">
        <v>26</v>
      </c>
      <c r="AO532" s="6" t="s">
        <v>272</v>
      </c>
      <c r="AP532" s="6" t="s">
        <v>260</v>
      </c>
      <c r="AQ532" s="6" t="s">
        <v>24</v>
      </c>
    </row>
    <row r="533" spans="1:43" x14ac:dyDescent="0.25">
      <c r="A533" s="6">
        <v>22912952</v>
      </c>
      <c r="B533" s="6">
        <v>23685840</v>
      </c>
      <c r="C533" s="6" t="s">
        <v>248</v>
      </c>
      <c r="D533" s="14">
        <v>45912.068206018521</v>
      </c>
      <c r="E533" s="14">
        <v>45912.069108796299</v>
      </c>
      <c r="F533" s="6" t="s">
        <v>17</v>
      </c>
      <c r="G533" s="6" t="s">
        <v>17</v>
      </c>
      <c r="H533" s="6" t="s">
        <v>1921</v>
      </c>
      <c r="I533" s="6" t="s">
        <v>16</v>
      </c>
      <c r="J533" s="6" t="s">
        <v>1908</v>
      </c>
      <c r="K533" s="6" t="s">
        <v>1806</v>
      </c>
      <c r="L533" s="6" t="s">
        <v>1806</v>
      </c>
      <c r="M533" s="14">
        <v>45811.490972222222</v>
      </c>
      <c r="N533" s="6" t="s">
        <v>292</v>
      </c>
      <c r="O533" s="6" t="s">
        <v>91</v>
      </c>
      <c r="P533" s="6" t="s">
        <v>252</v>
      </c>
      <c r="Q533" s="6" t="s">
        <v>253</v>
      </c>
      <c r="R533" s="6" t="s">
        <v>253</v>
      </c>
      <c r="S533" s="6" t="s">
        <v>7</v>
      </c>
      <c r="T533" s="6" t="s">
        <v>254</v>
      </c>
      <c r="U533" s="6" t="s">
        <v>113</v>
      </c>
      <c r="V533" s="6" t="s">
        <v>1606</v>
      </c>
      <c r="W533" s="6" t="s">
        <v>91</v>
      </c>
      <c r="X533" s="6" t="s">
        <v>1909</v>
      </c>
      <c r="Y533" s="6">
        <v>2872755292</v>
      </c>
      <c r="Z533" s="6" t="s">
        <v>50</v>
      </c>
      <c r="AA533" s="6" t="s">
        <v>91</v>
      </c>
      <c r="AB533" s="6">
        <v>38529.26</v>
      </c>
      <c r="AC533" s="6">
        <v>0</v>
      </c>
      <c r="AD533" s="6">
        <v>2227.5</v>
      </c>
      <c r="AE533" s="6">
        <v>0</v>
      </c>
      <c r="AF533" s="6">
        <v>60.41</v>
      </c>
      <c r="AG533" s="6">
        <v>0</v>
      </c>
      <c r="AH533" s="6">
        <v>0</v>
      </c>
      <c r="AI533" s="6" t="s">
        <v>288</v>
      </c>
      <c r="AJ533" s="6" t="s">
        <v>1910</v>
      </c>
      <c r="AK533" s="6" t="s">
        <v>16</v>
      </c>
      <c r="AL533" s="6" t="s">
        <v>49</v>
      </c>
      <c r="AM533" s="6" t="s">
        <v>1501</v>
      </c>
      <c r="AN533" s="6" t="s">
        <v>26</v>
      </c>
      <c r="AO533" s="6" t="s">
        <v>272</v>
      </c>
      <c r="AP533" s="6" t="s">
        <v>260</v>
      </c>
      <c r="AQ533" s="6" t="s">
        <v>24</v>
      </c>
    </row>
    <row r="534" spans="1:43" x14ac:dyDescent="0.25">
      <c r="A534" s="6">
        <v>22913073</v>
      </c>
      <c r="B534" s="6">
        <v>23685902</v>
      </c>
      <c r="C534" s="6" t="s">
        <v>248</v>
      </c>
      <c r="D534" s="14">
        <v>45912.1091087963</v>
      </c>
      <c r="E534" s="14">
        <v>45912.110902777778</v>
      </c>
      <c r="F534" s="6" t="s">
        <v>17</v>
      </c>
      <c r="G534" s="6" t="s">
        <v>17</v>
      </c>
      <c r="H534" s="6" t="s">
        <v>1922</v>
      </c>
      <c r="I534" s="6" t="s">
        <v>16</v>
      </c>
      <c r="J534" s="6" t="s">
        <v>1908</v>
      </c>
      <c r="K534" s="6" t="s">
        <v>1806</v>
      </c>
      <c r="L534" s="6" t="s">
        <v>1806</v>
      </c>
      <c r="M534" s="14">
        <v>45811.490972222222</v>
      </c>
      <c r="N534" s="6" t="s">
        <v>292</v>
      </c>
      <c r="O534" s="6" t="s">
        <v>91</v>
      </c>
      <c r="P534" s="6" t="s">
        <v>252</v>
      </c>
      <c r="Q534" s="6" t="s">
        <v>253</v>
      </c>
      <c r="R534" s="6" t="s">
        <v>253</v>
      </c>
      <c r="S534" s="6" t="s">
        <v>7</v>
      </c>
      <c r="T534" s="6" t="s">
        <v>254</v>
      </c>
      <c r="U534" s="6" t="s">
        <v>113</v>
      </c>
      <c r="V534" s="6" t="s">
        <v>1606</v>
      </c>
      <c r="W534" s="6" t="s">
        <v>91</v>
      </c>
      <c r="X534" s="6" t="s">
        <v>1909</v>
      </c>
      <c r="Y534" s="6">
        <v>2872755292</v>
      </c>
      <c r="Z534" s="6" t="s">
        <v>50</v>
      </c>
      <c r="AA534" s="6" t="s">
        <v>91</v>
      </c>
      <c r="AB534" s="6">
        <v>38529.26</v>
      </c>
      <c r="AC534" s="6">
        <v>0</v>
      </c>
      <c r="AD534" s="6">
        <v>2227.5</v>
      </c>
      <c r="AE534" s="6">
        <v>0</v>
      </c>
      <c r="AF534" s="6">
        <v>60.41</v>
      </c>
      <c r="AG534" s="6">
        <v>0</v>
      </c>
      <c r="AH534" s="6">
        <v>0</v>
      </c>
      <c r="AI534" s="6" t="s">
        <v>288</v>
      </c>
      <c r="AJ534" s="6" t="s">
        <v>1910</v>
      </c>
      <c r="AK534" s="6" t="s">
        <v>16</v>
      </c>
      <c r="AL534" s="6" t="s">
        <v>49</v>
      </c>
      <c r="AM534" s="6" t="s">
        <v>1501</v>
      </c>
      <c r="AN534" s="6" t="s">
        <v>26</v>
      </c>
      <c r="AO534" s="6" t="s">
        <v>272</v>
      </c>
      <c r="AP534" s="6" t="s">
        <v>260</v>
      </c>
      <c r="AQ534" s="6" t="s">
        <v>24</v>
      </c>
    </row>
    <row r="535" spans="1:43" x14ac:dyDescent="0.25">
      <c r="A535" s="6">
        <v>22913191</v>
      </c>
      <c r="B535" s="6">
        <v>23685962</v>
      </c>
      <c r="C535" s="6" t="s">
        <v>248</v>
      </c>
      <c r="D535" s="14">
        <v>45912.150266203702</v>
      </c>
      <c r="E535" s="14">
        <v>45912.152326388888</v>
      </c>
      <c r="F535" s="6" t="s">
        <v>17</v>
      </c>
      <c r="G535" s="6" t="s">
        <v>17</v>
      </c>
      <c r="H535" s="6" t="s">
        <v>1923</v>
      </c>
      <c r="I535" s="6" t="s">
        <v>16</v>
      </c>
      <c r="J535" s="6" t="s">
        <v>1908</v>
      </c>
      <c r="K535" s="6" t="s">
        <v>1806</v>
      </c>
      <c r="L535" s="6" t="s">
        <v>1806</v>
      </c>
      <c r="M535" s="14">
        <v>45811.490972222222</v>
      </c>
      <c r="N535" s="6" t="s">
        <v>292</v>
      </c>
      <c r="O535" s="6" t="s">
        <v>91</v>
      </c>
      <c r="P535" s="6" t="s">
        <v>252</v>
      </c>
      <c r="Q535" s="6" t="s">
        <v>253</v>
      </c>
      <c r="R535" s="6" t="s">
        <v>253</v>
      </c>
      <c r="S535" s="6" t="s">
        <v>7</v>
      </c>
      <c r="T535" s="6" t="s">
        <v>254</v>
      </c>
      <c r="U535" s="6" t="s">
        <v>113</v>
      </c>
      <c r="V535" s="6" t="s">
        <v>1606</v>
      </c>
      <c r="W535" s="6" t="s">
        <v>91</v>
      </c>
      <c r="X535" s="6" t="s">
        <v>1909</v>
      </c>
      <c r="Y535" s="6">
        <v>2872755292</v>
      </c>
      <c r="Z535" s="6" t="s">
        <v>50</v>
      </c>
      <c r="AA535" s="6" t="s">
        <v>91</v>
      </c>
      <c r="AB535" s="6">
        <v>38529.26</v>
      </c>
      <c r="AC535" s="6">
        <v>0</v>
      </c>
      <c r="AD535" s="6">
        <v>2227.5</v>
      </c>
      <c r="AE535" s="6">
        <v>0</v>
      </c>
      <c r="AF535" s="6">
        <v>60.41</v>
      </c>
      <c r="AG535" s="6">
        <v>0</v>
      </c>
      <c r="AH535" s="6">
        <v>0</v>
      </c>
      <c r="AI535" s="6" t="s">
        <v>288</v>
      </c>
      <c r="AJ535" s="6" t="s">
        <v>1910</v>
      </c>
      <c r="AK535" s="6" t="s">
        <v>16</v>
      </c>
      <c r="AL535" s="6" t="s">
        <v>49</v>
      </c>
      <c r="AM535" s="6" t="s">
        <v>1501</v>
      </c>
      <c r="AN535" s="6" t="s">
        <v>26</v>
      </c>
      <c r="AO535" s="6" t="s">
        <v>272</v>
      </c>
      <c r="AP535" s="6" t="s">
        <v>260</v>
      </c>
      <c r="AQ535" s="6" t="s">
        <v>24</v>
      </c>
    </row>
    <row r="536" spans="1:43" x14ac:dyDescent="0.25">
      <c r="A536" s="6">
        <v>22913310</v>
      </c>
      <c r="B536" s="6">
        <v>23686026</v>
      </c>
      <c r="C536" s="6" t="s">
        <v>248</v>
      </c>
      <c r="D536" s="14">
        <v>45912.193958333337</v>
      </c>
      <c r="E536" s="14">
        <v>45912.194062499999</v>
      </c>
      <c r="F536" s="6" t="s">
        <v>17</v>
      </c>
      <c r="G536" s="6" t="s">
        <v>17</v>
      </c>
      <c r="H536" s="6" t="s">
        <v>1924</v>
      </c>
      <c r="I536" s="6" t="s">
        <v>16</v>
      </c>
      <c r="J536" s="6" t="s">
        <v>1908</v>
      </c>
      <c r="K536" s="6" t="s">
        <v>1806</v>
      </c>
      <c r="L536" s="6" t="s">
        <v>1806</v>
      </c>
      <c r="M536" s="14">
        <v>45811.490972222222</v>
      </c>
      <c r="N536" s="6" t="s">
        <v>292</v>
      </c>
      <c r="O536" s="6" t="s">
        <v>91</v>
      </c>
      <c r="P536" s="6" t="s">
        <v>252</v>
      </c>
      <c r="Q536" s="6" t="s">
        <v>253</v>
      </c>
      <c r="R536" s="6" t="s">
        <v>253</v>
      </c>
      <c r="S536" s="6" t="s">
        <v>7</v>
      </c>
      <c r="T536" s="6" t="s">
        <v>254</v>
      </c>
      <c r="U536" s="6" t="s">
        <v>113</v>
      </c>
      <c r="V536" s="6" t="s">
        <v>1606</v>
      </c>
      <c r="W536" s="6" t="s">
        <v>91</v>
      </c>
      <c r="X536" s="6" t="s">
        <v>1909</v>
      </c>
      <c r="Y536" s="6">
        <v>2872755292</v>
      </c>
      <c r="Z536" s="6" t="s">
        <v>50</v>
      </c>
      <c r="AA536" s="6" t="s">
        <v>91</v>
      </c>
      <c r="AB536" s="6">
        <v>38529.26</v>
      </c>
      <c r="AC536" s="6">
        <v>0</v>
      </c>
      <c r="AD536" s="6">
        <v>2227.5</v>
      </c>
      <c r="AE536" s="6">
        <v>0</v>
      </c>
      <c r="AF536" s="6">
        <v>60.41</v>
      </c>
      <c r="AG536" s="6">
        <v>0</v>
      </c>
      <c r="AH536" s="6">
        <v>0</v>
      </c>
      <c r="AI536" s="6" t="s">
        <v>288</v>
      </c>
      <c r="AJ536" s="6" t="s">
        <v>1910</v>
      </c>
      <c r="AK536" s="6" t="s">
        <v>16</v>
      </c>
      <c r="AL536" s="6" t="s">
        <v>49</v>
      </c>
      <c r="AM536" s="6" t="s">
        <v>1501</v>
      </c>
      <c r="AN536" s="6" t="s">
        <v>26</v>
      </c>
      <c r="AO536" s="6" t="s">
        <v>272</v>
      </c>
      <c r="AP536" s="6" t="s">
        <v>260</v>
      </c>
      <c r="AQ536" s="6" t="s">
        <v>24</v>
      </c>
    </row>
    <row r="537" spans="1:43" x14ac:dyDescent="0.25">
      <c r="A537" s="6">
        <v>22913429</v>
      </c>
      <c r="B537" s="6">
        <v>23686087</v>
      </c>
      <c r="C537" s="6" t="s">
        <v>248</v>
      </c>
      <c r="D537" s="14">
        <v>45912.235833333332</v>
      </c>
      <c r="E537" s="14">
        <v>45912.245092592602</v>
      </c>
      <c r="F537" s="6" t="s">
        <v>17</v>
      </c>
      <c r="G537" s="6" t="s">
        <v>17</v>
      </c>
      <c r="H537" s="6" t="s">
        <v>1925</v>
      </c>
      <c r="I537" s="6" t="s">
        <v>16</v>
      </c>
      <c r="J537" s="6" t="s">
        <v>1908</v>
      </c>
      <c r="K537" s="6" t="s">
        <v>1806</v>
      </c>
      <c r="L537" s="6" t="s">
        <v>1806</v>
      </c>
      <c r="M537" s="14">
        <v>45811.490972222222</v>
      </c>
      <c r="N537" s="6" t="s">
        <v>292</v>
      </c>
      <c r="O537" s="6" t="s">
        <v>91</v>
      </c>
      <c r="P537" s="6" t="s">
        <v>252</v>
      </c>
      <c r="Q537" s="6" t="s">
        <v>253</v>
      </c>
      <c r="R537" s="6" t="s">
        <v>253</v>
      </c>
      <c r="S537" s="6" t="s">
        <v>7</v>
      </c>
      <c r="T537" s="6" t="s">
        <v>254</v>
      </c>
      <c r="U537" s="6" t="s">
        <v>113</v>
      </c>
      <c r="V537" s="6" t="s">
        <v>1606</v>
      </c>
      <c r="W537" s="6" t="s">
        <v>91</v>
      </c>
      <c r="X537" s="6" t="s">
        <v>1909</v>
      </c>
      <c r="Y537" s="6">
        <v>2872755292</v>
      </c>
      <c r="Z537" s="6" t="s">
        <v>50</v>
      </c>
      <c r="AA537" s="6" t="s">
        <v>91</v>
      </c>
      <c r="AB537" s="6">
        <v>38529.26</v>
      </c>
      <c r="AC537" s="6">
        <v>0</v>
      </c>
      <c r="AD537" s="6">
        <v>2227.5</v>
      </c>
      <c r="AE537" s="6">
        <v>0</v>
      </c>
      <c r="AF537" s="6">
        <v>60.41</v>
      </c>
      <c r="AG537" s="6">
        <v>0</v>
      </c>
      <c r="AH537" s="6">
        <v>0</v>
      </c>
      <c r="AI537" s="6" t="s">
        <v>288</v>
      </c>
      <c r="AJ537" s="6" t="s">
        <v>1910</v>
      </c>
      <c r="AK537" s="6" t="s">
        <v>16</v>
      </c>
      <c r="AL537" s="6" t="s">
        <v>49</v>
      </c>
      <c r="AM537" s="6" t="s">
        <v>1501</v>
      </c>
      <c r="AN537" s="6" t="s">
        <v>26</v>
      </c>
      <c r="AO537" s="6" t="s">
        <v>272</v>
      </c>
      <c r="AP537" s="6" t="s">
        <v>260</v>
      </c>
      <c r="AQ537" s="6" t="s">
        <v>24</v>
      </c>
    </row>
    <row r="538" spans="1:43" x14ac:dyDescent="0.25">
      <c r="A538" s="6">
        <v>22847732</v>
      </c>
      <c r="B538" s="6">
        <v>23629278</v>
      </c>
      <c r="C538" s="6" t="s">
        <v>248</v>
      </c>
      <c r="D538" s="14">
        <v>45901.529907407406</v>
      </c>
      <c r="E538" s="14">
        <v>45912.273275462961</v>
      </c>
      <c r="F538" s="6" t="s">
        <v>17</v>
      </c>
      <c r="G538" s="6" t="s">
        <v>23</v>
      </c>
      <c r="H538" s="6" t="s">
        <v>1926</v>
      </c>
      <c r="I538" s="6" t="s">
        <v>16</v>
      </c>
      <c r="J538" s="6" t="s">
        <v>1927</v>
      </c>
      <c r="K538" s="6" t="s">
        <v>1744</v>
      </c>
      <c r="L538" s="6" t="s">
        <v>1928</v>
      </c>
      <c r="M538" s="14">
        <v>45740.43472222222</v>
      </c>
      <c r="N538" s="6" t="s">
        <v>1926</v>
      </c>
      <c r="O538" s="6" t="s">
        <v>91</v>
      </c>
      <c r="P538" s="6" t="s">
        <v>276</v>
      </c>
      <c r="Q538" s="6" t="s">
        <v>1592</v>
      </c>
      <c r="R538" s="6" t="s">
        <v>1593</v>
      </c>
      <c r="S538" s="6" t="s">
        <v>7</v>
      </c>
      <c r="T538" s="6" t="s">
        <v>254</v>
      </c>
      <c r="U538" s="6" t="s">
        <v>184</v>
      </c>
      <c r="V538" s="6" t="s">
        <v>1929</v>
      </c>
      <c r="W538" s="6" t="s">
        <v>91</v>
      </c>
      <c r="X538" s="6" t="s">
        <v>1930</v>
      </c>
      <c r="Y538" s="6">
        <v>2872746912</v>
      </c>
      <c r="Z538" s="6" t="s">
        <v>114</v>
      </c>
      <c r="AA538" s="6" t="s">
        <v>91</v>
      </c>
      <c r="AB538" s="6">
        <v>0</v>
      </c>
      <c r="AC538" s="6">
        <v>0</v>
      </c>
      <c r="AD538" s="6">
        <v>422.46</v>
      </c>
      <c r="AE538" s="6">
        <v>0</v>
      </c>
      <c r="AF538" s="6">
        <v>55.65</v>
      </c>
      <c r="AG538" s="6">
        <v>0</v>
      </c>
      <c r="AH538" s="6">
        <v>0</v>
      </c>
      <c r="AI538" s="6" t="s">
        <v>288</v>
      </c>
      <c r="AJ538" s="6" t="s">
        <v>1931</v>
      </c>
      <c r="AK538" s="6" t="s">
        <v>16</v>
      </c>
      <c r="AL538" s="6" t="s">
        <v>51</v>
      </c>
      <c r="AM538" s="6" t="s">
        <v>1591</v>
      </c>
      <c r="AN538" s="6" t="s">
        <v>20</v>
      </c>
      <c r="AO538" s="6" t="s">
        <v>272</v>
      </c>
      <c r="AP538" s="6" t="s">
        <v>260</v>
      </c>
      <c r="AQ538" s="6" t="s">
        <v>24</v>
      </c>
    </row>
    <row r="539" spans="1:43" x14ac:dyDescent="0.25">
      <c r="A539" s="6">
        <v>22847732</v>
      </c>
      <c r="B539" s="6">
        <v>23629279</v>
      </c>
      <c r="C539" s="6" t="s">
        <v>637</v>
      </c>
      <c r="D539" s="14">
        <v>45901.529907407406</v>
      </c>
      <c r="E539" s="14">
        <v>45912.273275462961</v>
      </c>
      <c r="F539" s="6" t="s">
        <v>17</v>
      </c>
      <c r="G539" s="6" t="s">
        <v>23</v>
      </c>
      <c r="H539" s="6" t="s">
        <v>1926</v>
      </c>
      <c r="I539" s="6" t="s">
        <v>16</v>
      </c>
      <c r="J539" s="6" t="s">
        <v>1927</v>
      </c>
      <c r="K539" s="6" t="s">
        <v>1744</v>
      </c>
      <c r="L539" s="6" t="s">
        <v>1928</v>
      </c>
      <c r="M539" s="14">
        <v>45740.43472222222</v>
      </c>
      <c r="N539" s="6" t="s">
        <v>1926</v>
      </c>
      <c r="O539" s="6" t="s">
        <v>91</v>
      </c>
      <c r="P539" s="6" t="s">
        <v>276</v>
      </c>
      <c r="Q539" s="6" t="s">
        <v>1592</v>
      </c>
      <c r="R539" s="6" t="s">
        <v>1593</v>
      </c>
      <c r="S539" s="6" t="s">
        <v>7</v>
      </c>
      <c r="T539" s="6" t="s">
        <v>254</v>
      </c>
      <c r="U539" s="6" t="s">
        <v>184</v>
      </c>
      <c r="V539" s="6" t="s">
        <v>1929</v>
      </c>
      <c r="W539" s="6" t="s">
        <v>91</v>
      </c>
      <c r="X539" s="6" t="s">
        <v>1930</v>
      </c>
      <c r="Y539" s="6">
        <v>2872746912</v>
      </c>
      <c r="Z539" s="6" t="s">
        <v>114</v>
      </c>
      <c r="AA539" s="6" t="s">
        <v>91</v>
      </c>
      <c r="AB539" s="6">
        <v>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288</v>
      </c>
      <c r="AJ539" s="6" t="s">
        <v>1931</v>
      </c>
      <c r="AK539" s="6" t="s">
        <v>16</v>
      </c>
      <c r="AL539" s="6" t="s">
        <v>51</v>
      </c>
      <c r="AM539" s="6" t="s">
        <v>1591</v>
      </c>
      <c r="AN539" s="6" t="s">
        <v>20</v>
      </c>
      <c r="AO539" s="6" t="s">
        <v>272</v>
      </c>
      <c r="AP539" s="6" t="s">
        <v>260</v>
      </c>
      <c r="AQ539" s="6" t="s">
        <v>24</v>
      </c>
    </row>
    <row r="540" spans="1:43" x14ac:dyDescent="0.25">
      <c r="A540" s="6">
        <v>22788418</v>
      </c>
      <c r="B540" s="6">
        <v>23579962</v>
      </c>
      <c r="C540" s="6" t="s">
        <v>248</v>
      </c>
      <c r="D540" s="14">
        <v>45890.802557870367</v>
      </c>
      <c r="E540" s="14">
        <v>45890.93445601852</v>
      </c>
      <c r="F540" s="46" t="s">
        <v>25</v>
      </c>
      <c r="G540" s="46" t="s">
        <v>25</v>
      </c>
      <c r="H540" s="6" t="s">
        <v>1932</v>
      </c>
      <c r="I540" s="6" t="s">
        <v>337</v>
      </c>
      <c r="J540" s="6" t="s">
        <v>1933</v>
      </c>
      <c r="K540" s="6" t="s">
        <v>339</v>
      </c>
      <c r="L540" s="6" t="s">
        <v>339</v>
      </c>
      <c r="M540" s="14">
        <v>45890.713194444441</v>
      </c>
      <c r="N540" s="6">
        <v>10835</v>
      </c>
      <c r="O540" s="6" t="s">
        <v>91</v>
      </c>
      <c r="P540" s="6" t="s">
        <v>252</v>
      </c>
      <c r="Q540" s="6" t="s">
        <v>253</v>
      </c>
      <c r="R540" s="6" t="s">
        <v>1463</v>
      </c>
      <c r="S540" s="6" t="s">
        <v>7</v>
      </c>
      <c r="T540" s="6" t="s">
        <v>254</v>
      </c>
      <c r="U540" s="6" t="s">
        <v>125</v>
      </c>
      <c r="V540" s="6" t="s">
        <v>340</v>
      </c>
      <c r="W540" s="6" t="s">
        <v>91</v>
      </c>
      <c r="X540" s="6" t="s">
        <v>1930</v>
      </c>
      <c r="Y540" s="6">
        <v>2952894768</v>
      </c>
      <c r="Z540" s="6" t="s">
        <v>68</v>
      </c>
      <c r="AA540" s="6" t="s">
        <v>91</v>
      </c>
      <c r="AB540" s="6">
        <v>25228.68</v>
      </c>
      <c r="AC540" s="6">
        <v>497.55</v>
      </c>
      <c r="AD540" s="6">
        <v>0</v>
      </c>
      <c r="AE540" s="6">
        <v>0</v>
      </c>
      <c r="AF540" s="6">
        <v>0</v>
      </c>
      <c r="AG540" s="6">
        <v>0</v>
      </c>
      <c r="AH540" s="6">
        <v>0</v>
      </c>
      <c r="AI540" s="6" t="s">
        <v>1934</v>
      </c>
      <c r="AJ540" s="6" t="s">
        <v>1935</v>
      </c>
      <c r="AK540" s="6" t="s">
        <v>12</v>
      </c>
      <c r="AL540" s="6" t="s">
        <v>67</v>
      </c>
      <c r="AM540" s="6" t="s">
        <v>53</v>
      </c>
      <c r="AN540" s="6" t="s">
        <v>20</v>
      </c>
      <c r="AO540" s="6" t="s">
        <v>259</v>
      </c>
      <c r="AP540" s="6" t="s">
        <v>273</v>
      </c>
      <c r="AQ540" s="6" t="s">
        <v>18</v>
      </c>
    </row>
    <row r="541" spans="1:43" x14ac:dyDescent="0.25">
      <c r="A541" s="6">
        <v>22874697</v>
      </c>
      <c r="B541" s="6">
        <v>23653264</v>
      </c>
      <c r="C541" s="6" t="s">
        <v>248</v>
      </c>
      <c r="D541" s="14">
        <v>45905.511689814812</v>
      </c>
      <c r="E541" s="14">
        <v>45911.559467592589</v>
      </c>
      <c r="F541" s="6" t="s">
        <v>17</v>
      </c>
      <c r="G541" s="6" t="s">
        <v>21</v>
      </c>
      <c r="H541" s="6" t="s">
        <v>1936</v>
      </c>
      <c r="I541" s="6" t="s">
        <v>337</v>
      </c>
      <c r="J541" s="6" t="s">
        <v>1937</v>
      </c>
      <c r="K541" s="6" t="s">
        <v>1538</v>
      </c>
      <c r="L541" s="6" t="s">
        <v>1538</v>
      </c>
      <c r="M541" s="14">
        <v>45905.43472222222</v>
      </c>
      <c r="N541" s="6">
        <v>79222</v>
      </c>
      <c r="O541" s="6" t="s">
        <v>91</v>
      </c>
      <c r="P541" s="6" t="s">
        <v>252</v>
      </c>
      <c r="Q541" s="6" t="s">
        <v>253</v>
      </c>
      <c r="R541" s="6" t="s">
        <v>1463</v>
      </c>
      <c r="S541" s="6" t="s">
        <v>7</v>
      </c>
      <c r="T541" s="6" t="s">
        <v>254</v>
      </c>
      <c r="U541" s="6" t="s">
        <v>166</v>
      </c>
      <c r="V541" s="6" t="s">
        <v>1938</v>
      </c>
      <c r="W541" s="6" t="s">
        <v>91</v>
      </c>
      <c r="X541" s="6" t="s">
        <v>1930</v>
      </c>
      <c r="Y541" s="6">
        <v>2952831844</v>
      </c>
      <c r="Z541" s="6" t="s">
        <v>101</v>
      </c>
      <c r="AA541" s="6" t="s">
        <v>91</v>
      </c>
      <c r="AB541" s="6">
        <v>6117.24</v>
      </c>
      <c r="AC541" s="6">
        <v>494.87</v>
      </c>
      <c r="AD541" s="6">
        <v>0</v>
      </c>
      <c r="AE541" s="6">
        <v>0</v>
      </c>
      <c r="AF541" s="6">
        <v>0</v>
      </c>
      <c r="AG541" s="6">
        <v>0</v>
      </c>
      <c r="AH541" s="6">
        <v>0</v>
      </c>
      <c r="AI541" s="6" t="s">
        <v>1939</v>
      </c>
      <c r="AJ541" s="6" t="s">
        <v>1940</v>
      </c>
      <c r="AK541" s="6" t="s">
        <v>12</v>
      </c>
      <c r="AL541" s="6" t="s">
        <v>49</v>
      </c>
      <c r="AM541" s="6" t="s">
        <v>1501</v>
      </c>
      <c r="AN541" s="6" t="s">
        <v>26</v>
      </c>
      <c r="AO541" s="6" t="s">
        <v>272</v>
      </c>
      <c r="AP541" s="6" t="s">
        <v>260</v>
      </c>
      <c r="AQ541" s="6" t="s">
        <v>37</v>
      </c>
    </row>
    <row r="542" spans="1:43" x14ac:dyDescent="0.25">
      <c r="A542" s="6">
        <v>22899422</v>
      </c>
      <c r="B542" s="6">
        <v>23674086</v>
      </c>
      <c r="C542" s="6" t="s">
        <v>248</v>
      </c>
      <c r="D542" s="14">
        <v>45910.029849537037</v>
      </c>
      <c r="E542" s="14">
        <v>45911.603298611109</v>
      </c>
      <c r="F542" s="6" t="s">
        <v>17</v>
      </c>
      <c r="G542" s="6" t="s">
        <v>17</v>
      </c>
      <c r="H542" s="6" t="s">
        <v>1941</v>
      </c>
      <c r="I542" s="6" t="s">
        <v>337</v>
      </c>
      <c r="J542" s="6" t="s">
        <v>1942</v>
      </c>
      <c r="K542" s="6" t="s">
        <v>344</v>
      </c>
      <c r="L542" s="6" t="s">
        <v>344</v>
      </c>
      <c r="M542" s="14">
        <v>45909.835416666669</v>
      </c>
      <c r="N542" s="6">
        <v>80600</v>
      </c>
      <c r="O542" s="6" t="s">
        <v>91</v>
      </c>
      <c r="P542" s="6" t="s">
        <v>276</v>
      </c>
      <c r="Q542" s="6" t="s">
        <v>253</v>
      </c>
      <c r="R542" s="6" t="s">
        <v>253</v>
      </c>
      <c r="S542" s="6" t="s">
        <v>9</v>
      </c>
      <c r="T542" s="6" t="s">
        <v>254</v>
      </c>
      <c r="U542" s="6" t="s">
        <v>120</v>
      </c>
      <c r="V542" s="6" t="s">
        <v>570</v>
      </c>
      <c r="W542" s="6" t="s">
        <v>91</v>
      </c>
      <c r="X542" s="6" t="s">
        <v>1943</v>
      </c>
      <c r="Y542" s="6" t="s">
        <v>91</v>
      </c>
      <c r="Z542" s="6" t="s">
        <v>62</v>
      </c>
      <c r="AA542" s="6" t="s">
        <v>91</v>
      </c>
      <c r="AB542" s="6">
        <v>1100</v>
      </c>
      <c r="AC542" s="6">
        <v>0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1944</v>
      </c>
      <c r="AJ542" s="6" t="s">
        <v>1945</v>
      </c>
      <c r="AK542" s="6" t="s">
        <v>12</v>
      </c>
      <c r="AL542" s="6" t="s">
        <v>63</v>
      </c>
      <c r="AM542" s="6" t="s">
        <v>1581</v>
      </c>
      <c r="AN542" s="6" t="s">
        <v>20</v>
      </c>
      <c r="AO542" s="6" t="s">
        <v>272</v>
      </c>
      <c r="AP542" s="6" t="s">
        <v>273</v>
      </c>
      <c r="AQ542" s="6" t="s">
        <v>18</v>
      </c>
    </row>
    <row r="543" spans="1:43" x14ac:dyDescent="0.25">
      <c r="A543" s="6">
        <v>22881972</v>
      </c>
      <c r="B543" s="6">
        <v>23659336</v>
      </c>
      <c r="C543" s="6" t="s">
        <v>248</v>
      </c>
      <c r="D543" s="14">
        <v>45906.753437500003</v>
      </c>
      <c r="E543" s="14">
        <v>45911.584594907406</v>
      </c>
      <c r="F543" s="6" t="s">
        <v>17</v>
      </c>
      <c r="G543" s="6" t="s">
        <v>21</v>
      </c>
      <c r="H543" s="6" t="s">
        <v>1946</v>
      </c>
      <c r="I543" s="6" t="s">
        <v>337</v>
      </c>
      <c r="J543" s="6" t="s">
        <v>1947</v>
      </c>
      <c r="K543" s="6" t="s">
        <v>344</v>
      </c>
      <c r="L543" s="6" t="s">
        <v>344</v>
      </c>
      <c r="M543" s="14">
        <v>45906.534722222219</v>
      </c>
      <c r="N543" s="6">
        <v>80287</v>
      </c>
      <c r="O543" s="6" t="s">
        <v>91</v>
      </c>
      <c r="P543" s="6" t="s">
        <v>276</v>
      </c>
      <c r="Q543" s="6" t="s">
        <v>253</v>
      </c>
      <c r="R543" s="6" t="s">
        <v>253</v>
      </c>
      <c r="S543" s="6" t="s">
        <v>9</v>
      </c>
      <c r="T543" s="6" t="s">
        <v>254</v>
      </c>
      <c r="U543" s="6" t="s">
        <v>120</v>
      </c>
      <c r="V543" s="6" t="s">
        <v>570</v>
      </c>
      <c r="W543" s="6" t="s">
        <v>91</v>
      </c>
      <c r="X543" s="6" t="s">
        <v>1943</v>
      </c>
      <c r="Y543" s="6" t="s">
        <v>91</v>
      </c>
      <c r="Z543" s="6" t="s">
        <v>62</v>
      </c>
      <c r="AA543" s="6" t="s">
        <v>91</v>
      </c>
      <c r="AB543" s="6">
        <v>275</v>
      </c>
      <c r="AC543" s="6">
        <v>0</v>
      </c>
      <c r="AD543" s="6">
        <v>0</v>
      </c>
      <c r="AE543" s="6">
        <v>0</v>
      </c>
      <c r="AF543" s="6">
        <v>0</v>
      </c>
      <c r="AG543" s="6">
        <v>0</v>
      </c>
      <c r="AH543" s="6">
        <v>0</v>
      </c>
      <c r="AI543" s="6" t="s">
        <v>1948</v>
      </c>
      <c r="AJ543" s="6" t="s">
        <v>1945</v>
      </c>
      <c r="AK543" s="6" t="s">
        <v>12</v>
      </c>
      <c r="AL543" s="6" t="s">
        <v>63</v>
      </c>
      <c r="AM543" s="6" t="s">
        <v>1581</v>
      </c>
      <c r="AN543" s="6" t="s">
        <v>20</v>
      </c>
      <c r="AO543" s="6" t="s">
        <v>272</v>
      </c>
      <c r="AP543" s="6" t="s">
        <v>273</v>
      </c>
      <c r="AQ543" s="6" t="s">
        <v>18</v>
      </c>
    </row>
    <row r="544" spans="1:43" x14ac:dyDescent="0.25">
      <c r="A544" s="6">
        <v>22905634</v>
      </c>
      <c r="B544" s="6">
        <v>23679582</v>
      </c>
      <c r="C544" s="6" t="s">
        <v>638</v>
      </c>
      <c r="D544" s="14">
        <v>45910.948217592602</v>
      </c>
      <c r="E544" s="14">
        <v>45910.953356481477</v>
      </c>
      <c r="F544" s="6" t="s">
        <v>17</v>
      </c>
      <c r="G544" s="6" t="s">
        <v>17</v>
      </c>
      <c r="H544" s="6" t="s">
        <v>1274</v>
      </c>
      <c r="I544" s="6" t="s">
        <v>16</v>
      </c>
      <c r="J544" s="6" t="s">
        <v>1275</v>
      </c>
      <c r="K544" s="6" t="s">
        <v>1212</v>
      </c>
      <c r="L544" s="6" t="s">
        <v>1212</v>
      </c>
      <c r="M544" s="14">
        <v>45909.375694444447</v>
      </c>
      <c r="N544" s="6" t="s">
        <v>1276</v>
      </c>
      <c r="O544" s="6" t="s">
        <v>91</v>
      </c>
      <c r="P544" s="6" t="s">
        <v>252</v>
      </c>
      <c r="Q544" s="6" t="s">
        <v>253</v>
      </c>
      <c r="R544" s="6" t="s">
        <v>253</v>
      </c>
      <c r="S544" s="6" t="s">
        <v>9</v>
      </c>
      <c r="T544" s="6" t="s">
        <v>254</v>
      </c>
      <c r="U544" s="6" t="s">
        <v>118</v>
      </c>
      <c r="V544" s="6" t="s">
        <v>1214</v>
      </c>
      <c r="W544" s="6" t="s">
        <v>91</v>
      </c>
      <c r="X544" s="6" t="s">
        <v>1949</v>
      </c>
      <c r="Y544" s="6" t="s">
        <v>91</v>
      </c>
      <c r="Z544" s="6" t="s">
        <v>58</v>
      </c>
      <c r="AA544" s="6" t="s">
        <v>91</v>
      </c>
      <c r="AB544" s="6">
        <v>495.04</v>
      </c>
      <c r="AC544" s="6">
        <v>0</v>
      </c>
      <c r="AD544" s="6">
        <v>0</v>
      </c>
      <c r="AE544" s="6">
        <v>0</v>
      </c>
      <c r="AF544" s="6">
        <v>0</v>
      </c>
      <c r="AG544" s="6">
        <v>0</v>
      </c>
      <c r="AH544" s="6">
        <v>0</v>
      </c>
      <c r="AI544" s="6" t="s">
        <v>288</v>
      </c>
      <c r="AJ544" s="6" t="s">
        <v>257</v>
      </c>
      <c r="AK544" s="6" t="s">
        <v>16</v>
      </c>
      <c r="AL544" s="6" t="s">
        <v>48</v>
      </c>
      <c r="AM544" s="6" t="s">
        <v>258</v>
      </c>
      <c r="AN544" s="6" t="s">
        <v>20</v>
      </c>
      <c r="AO544" s="6" t="s">
        <v>272</v>
      </c>
      <c r="AP544" s="6" t="s">
        <v>273</v>
      </c>
      <c r="AQ544" s="6" t="s">
        <v>18</v>
      </c>
    </row>
    <row r="545" spans="1:43" x14ac:dyDescent="0.25">
      <c r="A545" s="6">
        <v>22905395</v>
      </c>
      <c r="B545" s="6">
        <v>23679337</v>
      </c>
      <c r="C545" s="6" t="s">
        <v>248</v>
      </c>
      <c r="D545" s="14">
        <v>45910.932708333326</v>
      </c>
      <c r="E545" s="14">
        <v>45911.56659722222</v>
      </c>
      <c r="F545" s="6" t="s">
        <v>17</v>
      </c>
      <c r="G545" s="6" t="s">
        <v>17</v>
      </c>
      <c r="H545" s="6" t="s">
        <v>1950</v>
      </c>
      <c r="I545" s="6" t="s">
        <v>16</v>
      </c>
      <c r="J545" s="6" t="s">
        <v>1951</v>
      </c>
      <c r="K545" s="6" t="s">
        <v>1764</v>
      </c>
      <c r="L545" s="6" t="s">
        <v>1764</v>
      </c>
      <c r="M545" s="14">
        <v>45908.602777777778</v>
      </c>
      <c r="N545" s="6" t="s">
        <v>1762</v>
      </c>
      <c r="O545" s="6" t="s">
        <v>1952</v>
      </c>
      <c r="P545" s="6" t="s">
        <v>276</v>
      </c>
      <c r="Q545" s="6" t="s">
        <v>268</v>
      </c>
      <c r="R545" s="6" t="s">
        <v>269</v>
      </c>
      <c r="S545" s="6" t="s">
        <v>8</v>
      </c>
      <c r="T545" s="6" t="s">
        <v>254</v>
      </c>
      <c r="U545" s="6" t="s">
        <v>174</v>
      </c>
      <c r="V545" s="6" t="s">
        <v>1765</v>
      </c>
      <c r="W545" s="6" t="s">
        <v>91</v>
      </c>
      <c r="X545" s="6" t="s">
        <v>1953</v>
      </c>
      <c r="Y545" s="6" t="s">
        <v>91</v>
      </c>
      <c r="Z545" s="6" t="s">
        <v>102</v>
      </c>
      <c r="AA545" s="6" t="s">
        <v>91</v>
      </c>
      <c r="AB545" s="6">
        <v>371.94</v>
      </c>
      <c r="AC545" s="6">
        <v>217.09</v>
      </c>
      <c r="AD545" s="6">
        <v>0</v>
      </c>
      <c r="AE545" s="6">
        <v>0</v>
      </c>
      <c r="AF545" s="6">
        <v>0</v>
      </c>
      <c r="AG545" s="6">
        <v>0</v>
      </c>
      <c r="AH545" s="6">
        <v>0</v>
      </c>
      <c r="AI545" s="6" t="s">
        <v>288</v>
      </c>
      <c r="AJ545" s="6" t="s">
        <v>1954</v>
      </c>
      <c r="AK545" s="6" t="s">
        <v>16</v>
      </c>
      <c r="AL545" s="6" t="s">
        <v>53</v>
      </c>
      <c r="AM545" s="6" t="s">
        <v>67</v>
      </c>
      <c r="AN545" s="6" t="s">
        <v>20</v>
      </c>
      <c r="AO545" s="6" t="s">
        <v>272</v>
      </c>
      <c r="AP545" s="6" t="s">
        <v>273</v>
      </c>
      <c r="AQ545" s="6" t="s">
        <v>34</v>
      </c>
    </row>
    <row r="546" spans="1:43" x14ac:dyDescent="0.25">
      <c r="A546" s="6">
        <v>22833882</v>
      </c>
      <c r="B546" s="6">
        <v>23618654</v>
      </c>
      <c r="C546" s="6" t="s">
        <v>248</v>
      </c>
      <c r="D546" s="14">
        <v>45898.534571759257</v>
      </c>
      <c r="E546" s="14">
        <v>45898.537789351853</v>
      </c>
      <c r="F546" s="6" t="s">
        <v>23</v>
      </c>
      <c r="G546" s="6" t="s">
        <v>23</v>
      </c>
      <c r="H546" s="6" t="s">
        <v>1437</v>
      </c>
      <c r="I546" s="6" t="s">
        <v>16</v>
      </c>
      <c r="J546" s="6" t="s">
        <v>1258</v>
      </c>
      <c r="K546" s="6" t="s">
        <v>1212</v>
      </c>
      <c r="L546" s="6" t="s">
        <v>1212</v>
      </c>
      <c r="M546" s="14">
        <v>45897.387499999997</v>
      </c>
      <c r="N546" s="6" t="s">
        <v>1438</v>
      </c>
      <c r="O546" s="6" t="s">
        <v>91</v>
      </c>
      <c r="P546" s="6" t="s">
        <v>252</v>
      </c>
      <c r="Q546" s="6" t="s">
        <v>253</v>
      </c>
      <c r="R546" s="6" t="s">
        <v>253</v>
      </c>
      <c r="S546" s="6" t="s">
        <v>9</v>
      </c>
      <c r="T546" s="6" t="s">
        <v>254</v>
      </c>
      <c r="U546" s="6" t="s">
        <v>118</v>
      </c>
      <c r="V546" s="6" t="s">
        <v>1214</v>
      </c>
      <c r="W546" s="6" t="s">
        <v>91</v>
      </c>
      <c r="X546" s="6" t="s">
        <v>1955</v>
      </c>
      <c r="Y546" s="6" t="s">
        <v>91</v>
      </c>
      <c r="Z546" s="6" t="s">
        <v>58</v>
      </c>
      <c r="AA546" s="6" t="s">
        <v>91</v>
      </c>
      <c r="AB546" s="6">
        <v>2650</v>
      </c>
      <c r="AC546" s="6">
        <v>0</v>
      </c>
      <c r="AD546" s="6">
        <v>0</v>
      </c>
      <c r="AE546" s="6">
        <v>0</v>
      </c>
      <c r="AF546" s="6">
        <v>0</v>
      </c>
      <c r="AG546" s="6">
        <v>0</v>
      </c>
      <c r="AH546" s="6">
        <v>0</v>
      </c>
      <c r="AI546" s="6" t="s">
        <v>288</v>
      </c>
      <c r="AJ546" s="6" t="s">
        <v>701</v>
      </c>
      <c r="AK546" s="6" t="s">
        <v>16</v>
      </c>
      <c r="AL546" s="6" t="s">
        <v>48</v>
      </c>
      <c r="AM546" s="6" t="s">
        <v>258</v>
      </c>
      <c r="AN546" s="6" t="s">
        <v>20</v>
      </c>
      <c r="AO546" s="6" t="s">
        <v>272</v>
      </c>
      <c r="AP546" s="6" t="s">
        <v>273</v>
      </c>
      <c r="AQ546" s="6" t="s">
        <v>18</v>
      </c>
    </row>
    <row r="547" spans="1:43" x14ac:dyDescent="0.25">
      <c r="A547" s="6">
        <v>22833882</v>
      </c>
      <c r="B547" s="6">
        <v>23618657</v>
      </c>
      <c r="C547" s="6" t="s">
        <v>639</v>
      </c>
      <c r="D547" s="14">
        <v>45898.534571759257</v>
      </c>
      <c r="E547" s="14">
        <v>45898.537789351853</v>
      </c>
      <c r="F547" s="6" t="s">
        <v>23</v>
      </c>
      <c r="G547" s="6" t="s">
        <v>23</v>
      </c>
      <c r="H547" s="6" t="s">
        <v>1437</v>
      </c>
      <c r="I547" s="6" t="s">
        <v>16</v>
      </c>
      <c r="J547" s="6" t="s">
        <v>1258</v>
      </c>
      <c r="K547" s="6" t="s">
        <v>1212</v>
      </c>
      <c r="L547" s="6" t="s">
        <v>1212</v>
      </c>
      <c r="M547" s="14">
        <v>45897.387499999997</v>
      </c>
      <c r="N547" s="6" t="s">
        <v>1438</v>
      </c>
      <c r="O547" s="6" t="s">
        <v>91</v>
      </c>
      <c r="P547" s="6" t="s">
        <v>252</v>
      </c>
      <c r="Q547" s="6" t="s">
        <v>253</v>
      </c>
      <c r="R547" s="6" t="s">
        <v>253</v>
      </c>
      <c r="S547" s="6" t="s">
        <v>9</v>
      </c>
      <c r="T547" s="6" t="s">
        <v>254</v>
      </c>
      <c r="U547" s="6" t="s">
        <v>118</v>
      </c>
      <c r="V547" s="6" t="s">
        <v>1214</v>
      </c>
      <c r="W547" s="6" t="s">
        <v>91</v>
      </c>
      <c r="X547" s="6" t="s">
        <v>1955</v>
      </c>
      <c r="Y547" s="6" t="s">
        <v>91</v>
      </c>
      <c r="Z547" s="6" t="s">
        <v>58</v>
      </c>
      <c r="AA547" s="6" t="s">
        <v>91</v>
      </c>
      <c r="AB547" s="6">
        <v>265</v>
      </c>
      <c r="AC547" s="6">
        <v>0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288</v>
      </c>
      <c r="AJ547" s="6" t="s">
        <v>701</v>
      </c>
      <c r="AK547" s="6" t="s">
        <v>16</v>
      </c>
      <c r="AL547" s="6" t="s">
        <v>48</v>
      </c>
      <c r="AM547" s="6" t="s">
        <v>258</v>
      </c>
      <c r="AN547" s="6" t="s">
        <v>20</v>
      </c>
      <c r="AO547" s="6" t="s">
        <v>272</v>
      </c>
      <c r="AP547" s="6" t="s">
        <v>273</v>
      </c>
      <c r="AQ547" s="6" t="s">
        <v>18</v>
      </c>
    </row>
    <row r="548" spans="1:43" x14ac:dyDescent="0.25">
      <c r="A548" s="6">
        <v>22909268</v>
      </c>
      <c r="B548" s="6">
        <v>23682470</v>
      </c>
      <c r="C548" s="6" t="s">
        <v>248</v>
      </c>
      <c r="D548" s="14">
        <v>45911.62777777778</v>
      </c>
      <c r="E548" s="14">
        <v>45911.63244212963</v>
      </c>
      <c r="F548" s="6" t="s">
        <v>17</v>
      </c>
      <c r="G548" s="6" t="s">
        <v>17</v>
      </c>
      <c r="H548" s="6" t="s">
        <v>688</v>
      </c>
      <c r="I548" s="6" t="s">
        <v>16</v>
      </c>
      <c r="J548" s="6" t="s">
        <v>689</v>
      </c>
      <c r="K548" s="6" t="s">
        <v>690</v>
      </c>
      <c r="L548" s="6" t="s">
        <v>690</v>
      </c>
      <c r="M548" s="14">
        <v>45908.704861111109</v>
      </c>
      <c r="N548" s="6" t="s">
        <v>691</v>
      </c>
      <c r="O548" s="6" t="s">
        <v>91</v>
      </c>
      <c r="P548" s="6" t="s">
        <v>252</v>
      </c>
      <c r="Q548" s="6" t="s">
        <v>318</v>
      </c>
      <c r="R548" s="6" t="s">
        <v>318</v>
      </c>
      <c r="S548" s="6" t="s">
        <v>9</v>
      </c>
      <c r="T548" s="6" t="s">
        <v>254</v>
      </c>
      <c r="U548" s="6" t="s">
        <v>116</v>
      </c>
      <c r="V548" s="6" t="s">
        <v>633</v>
      </c>
      <c r="W548" s="6" t="s">
        <v>91</v>
      </c>
      <c r="X548" s="6" t="s">
        <v>1956</v>
      </c>
      <c r="Y548" s="6" t="s">
        <v>91</v>
      </c>
      <c r="Z548" s="6" t="s">
        <v>56</v>
      </c>
      <c r="AA548" s="6" t="s">
        <v>91</v>
      </c>
      <c r="AB548" s="6">
        <v>423</v>
      </c>
      <c r="AC548" s="6">
        <v>0</v>
      </c>
      <c r="AD548" s="6">
        <v>0</v>
      </c>
      <c r="AE548" s="6">
        <v>0</v>
      </c>
      <c r="AF548" s="6">
        <v>0</v>
      </c>
      <c r="AG548" s="6">
        <v>0</v>
      </c>
      <c r="AH548" s="6">
        <v>0</v>
      </c>
      <c r="AI548" s="6" t="s">
        <v>288</v>
      </c>
      <c r="AJ548" s="6" t="s">
        <v>692</v>
      </c>
      <c r="AK548" s="6" t="s">
        <v>16</v>
      </c>
      <c r="AL548" s="6" t="s">
        <v>48</v>
      </c>
      <c r="AM548" s="6" t="s">
        <v>258</v>
      </c>
      <c r="AN548" s="6" t="s">
        <v>20</v>
      </c>
      <c r="AO548" s="6" t="s">
        <v>272</v>
      </c>
      <c r="AP548" s="6" t="s">
        <v>273</v>
      </c>
      <c r="AQ548" s="6" t="s">
        <v>18</v>
      </c>
    </row>
    <row r="549" spans="1:43" x14ac:dyDescent="0.25">
      <c r="A549" s="6">
        <v>22887680</v>
      </c>
      <c r="B549" s="6">
        <v>23663108</v>
      </c>
      <c r="C549" s="6" t="s">
        <v>248</v>
      </c>
      <c r="D549" s="14">
        <v>45908.413946759261</v>
      </c>
      <c r="E549" s="14">
        <v>45908.419039351851</v>
      </c>
      <c r="F549" s="6" t="s">
        <v>19</v>
      </c>
      <c r="G549" s="6" t="s">
        <v>19</v>
      </c>
      <c r="H549" s="6" t="s">
        <v>1957</v>
      </c>
      <c r="I549" s="6" t="s">
        <v>337</v>
      </c>
      <c r="J549" s="6" t="s">
        <v>1958</v>
      </c>
      <c r="K549" s="6" t="s">
        <v>344</v>
      </c>
      <c r="L549" s="6" t="s">
        <v>344</v>
      </c>
      <c r="M549" s="14">
        <v>45905.71597222222</v>
      </c>
      <c r="N549" s="6">
        <v>529</v>
      </c>
      <c r="O549" s="6" t="s">
        <v>91</v>
      </c>
      <c r="P549" s="6" t="s">
        <v>252</v>
      </c>
      <c r="Q549" s="6" t="s">
        <v>268</v>
      </c>
      <c r="R549" s="6" t="s">
        <v>269</v>
      </c>
      <c r="S549" s="6" t="s">
        <v>9</v>
      </c>
      <c r="T549" s="6" t="s">
        <v>254</v>
      </c>
      <c r="U549" s="6" t="s">
        <v>186</v>
      </c>
      <c r="V549" s="6" t="s">
        <v>1547</v>
      </c>
      <c r="W549" s="6" t="s">
        <v>91</v>
      </c>
      <c r="X549" s="6" t="s">
        <v>1959</v>
      </c>
      <c r="Y549" s="6" t="s">
        <v>91</v>
      </c>
      <c r="Z549" s="6" t="s">
        <v>91</v>
      </c>
      <c r="AA549" s="6" t="s">
        <v>91</v>
      </c>
      <c r="AB549" s="6">
        <v>400</v>
      </c>
      <c r="AC549" s="6">
        <v>0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 t="s">
        <v>1960</v>
      </c>
      <c r="AJ549" s="6" t="s">
        <v>1961</v>
      </c>
      <c r="AK549" s="6" t="s">
        <v>12</v>
      </c>
      <c r="AL549" s="6" t="s">
        <v>53</v>
      </c>
      <c r="AM549" s="6" t="s">
        <v>67</v>
      </c>
      <c r="AN549" s="6" t="s">
        <v>20</v>
      </c>
      <c r="AO549" s="6" t="s">
        <v>272</v>
      </c>
      <c r="AP549" s="6" t="s">
        <v>273</v>
      </c>
      <c r="AQ549" s="6" t="s">
        <v>90</v>
      </c>
    </row>
    <row r="550" spans="1:43" x14ac:dyDescent="0.25">
      <c r="A550" s="6">
        <v>22905640</v>
      </c>
      <c r="B550" s="6">
        <v>23679595</v>
      </c>
      <c r="C550" s="6" t="s">
        <v>637</v>
      </c>
      <c r="D550" s="14">
        <v>45910.948611111111</v>
      </c>
      <c r="E550" s="14">
        <v>45910.953564814823</v>
      </c>
      <c r="F550" s="6" t="s">
        <v>17</v>
      </c>
      <c r="G550" s="6" t="s">
        <v>17</v>
      </c>
      <c r="H550" s="6" t="s">
        <v>1271</v>
      </c>
      <c r="I550" s="6" t="s">
        <v>16</v>
      </c>
      <c r="J550" s="6" t="s">
        <v>1272</v>
      </c>
      <c r="K550" s="6" t="s">
        <v>1212</v>
      </c>
      <c r="L550" s="6" t="s">
        <v>1212</v>
      </c>
      <c r="M550" s="14">
        <v>45905.57708333333</v>
      </c>
      <c r="N550" s="6" t="s">
        <v>1273</v>
      </c>
      <c r="O550" s="6" t="s">
        <v>91</v>
      </c>
      <c r="P550" s="6" t="s">
        <v>252</v>
      </c>
      <c r="Q550" s="6" t="s">
        <v>253</v>
      </c>
      <c r="R550" s="6" t="s">
        <v>253</v>
      </c>
      <c r="S550" s="6" t="s">
        <v>9</v>
      </c>
      <c r="T550" s="6" t="s">
        <v>254</v>
      </c>
      <c r="U550" s="6" t="s">
        <v>118</v>
      </c>
      <c r="V550" s="6" t="s">
        <v>1214</v>
      </c>
      <c r="W550" s="6" t="s">
        <v>91</v>
      </c>
      <c r="X550" s="6" t="s">
        <v>1962</v>
      </c>
      <c r="Y550" s="6" t="s">
        <v>91</v>
      </c>
      <c r="Z550" s="6" t="s">
        <v>58</v>
      </c>
      <c r="AA550" s="6" t="s">
        <v>91</v>
      </c>
      <c r="AB550" s="6">
        <v>250</v>
      </c>
      <c r="AC550" s="6">
        <v>0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288</v>
      </c>
      <c r="AJ550" s="6" t="s">
        <v>257</v>
      </c>
      <c r="AK550" s="6" t="s">
        <v>16</v>
      </c>
      <c r="AL550" s="6" t="s">
        <v>48</v>
      </c>
      <c r="AM550" s="6" t="s">
        <v>258</v>
      </c>
      <c r="AN550" s="6" t="s">
        <v>20</v>
      </c>
      <c r="AO550" s="6" t="s">
        <v>272</v>
      </c>
      <c r="AP550" s="6" t="s">
        <v>273</v>
      </c>
      <c r="AQ550" s="6" t="s">
        <v>18</v>
      </c>
    </row>
    <row r="551" spans="1:43" x14ac:dyDescent="0.25">
      <c r="A551" s="6">
        <v>22905483</v>
      </c>
      <c r="B551" s="6">
        <v>23679424</v>
      </c>
      <c r="C551" s="6" t="s">
        <v>248</v>
      </c>
      <c r="D551" s="14">
        <v>45910.937858796293</v>
      </c>
      <c r="E551" s="14">
        <v>45911.574652777781</v>
      </c>
      <c r="F551" s="6" t="s">
        <v>17</v>
      </c>
      <c r="G551" s="6" t="s">
        <v>17</v>
      </c>
      <c r="H551" s="6" t="s">
        <v>1963</v>
      </c>
      <c r="I551" s="6" t="s">
        <v>16</v>
      </c>
      <c r="J551" s="6" t="s">
        <v>1964</v>
      </c>
      <c r="K551" s="6" t="s">
        <v>374</v>
      </c>
      <c r="L551" s="6" t="s">
        <v>374</v>
      </c>
      <c r="M551" s="14">
        <v>45908.388888888891</v>
      </c>
      <c r="N551" s="6" t="s">
        <v>1965</v>
      </c>
      <c r="O551" s="6" t="s">
        <v>1966</v>
      </c>
      <c r="P551" s="6" t="s">
        <v>276</v>
      </c>
      <c r="Q551" s="6" t="s">
        <v>268</v>
      </c>
      <c r="R551" s="6" t="s">
        <v>269</v>
      </c>
      <c r="S551" s="6" t="s">
        <v>8</v>
      </c>
      <c r="T551" s="6" t="s">
        <v>254</v>
      </c>
      <c r="U551" s="6" t="s">
        <v>134</v>
      </c>
      <c r="V551" s="6" t="s">
        <v>524</v>
      </c>
      <c r="W551" s="6" t="s">
        <v>391</v>
      </c>
      <c r="X551" s="6" t="s">
        <v>1967</v>
      </c>
      <c r="Y551" s="6" t="s">
        <v>91</v>
      </c>
      <c r="Z551" s="6" t="s">
        <v>76</v>
      </c>
      <c r="AA551" s="6" t="s">
        <v>91</v>
      </c>
      <c r="AB551" s="6">
        <v>286.52</v>
      </c>
      <c r="AC551" s="6">
        <v>110.43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288</v>
      </c>
      <c r="AJ551" s="6" t="s">
        <v>1516</v>
      </c>
      <c r="AK551" s="6" t="s">
        <v>16</v>
      </c>
      <c r="AL551" s="6" t="s">
        <v>59</v>
      </c>
      <c r="AM551" s="6" t="s">
        <v>67</v>
      </c>
      <c r="AN551" s="6" t="s">
        <v>20</v>
      </c>
      <c r="AO551" s="6" t="s">
        <v>272</v>
      </c>
      <c r="AP551" s="6" t="s">
        <v>273</v>
      </c>
      <c r="AQ551" s="6" t="s">
        <v>34</v>
      </c>
    </row>
    <row r="552" spans="1:43" x14ac:dyDescent="0.25">
      <c r="A552" s="6">
        <v>22888755</v>
      </c>
      <c r="B552" s="6">
        <v>23664258</v>
      </c>
      <c r="C552" s="6" t="s">
        <v>248</v>
      </c>
      <c r="D552" s="14">
        <v>45908.527777777781</v>
      </c>
      <c r="E552" s="14">
        <v>45911.559513888889</v>
      </c>
      <c r="F552" s="6" t="s">
        <v>17</v>
      </c>
      <c r="G552" s="6" t="s">
        <v>19</v>
      </c>
      <c r="H552" s="6" t="s">
        <v>1968</v>
      </c>
      <c r="I552" s="6" t="s">
        <v>337</v>
      </c>
      <c r="J552" s="6" t="s">
        <v>1969</v>
      </c>
      <c r="K552" s="6" t="s">
        <v>433</v>
      </c>
      <c r="L552" s="6" t="s">
        <v>433</v>
      </c>
      <c r="M552" s="14">
        <v>45908.388888888891</v>
      </c>
      <c r="N552" s="6">
        <v>3807</v>
      </c>
      <c r="O552" s="6" t="s">
        <v>91</v>
      </c>
      <c r="P552" s="6" t="s">
        <v>252</v>
      </c>
      <c r="Q552" s="6" t="s">
        <v>253</v>
      </c>
      <c r="R552" s="6" t="s">
        <v>253</v>
      </c>
      <c r="S552" s="6" t="s">
        <v>7</v>
      </c>
      <c r="T552" s="6" t="s">
        <v>254</v>
      </c>
      <c r="U552" s="6" t="s">
        <v>156</v>
      </c>
      <c r="V552" s="6" t="s">
        <v>1147</v>
      </c>
      <c r="W552" s="6" t="s">
        <v>91</v>
      </c>
      <c r="X552" s="6" t="s">
        <v>1970</v>
      </c>
      <c r="Y552" s="6">
        <v>2952959220</v>
      </c>
      <c r="Z552" s="6" t="s">
        <v>62</v>
      </c>
      <c r="AA552" s="6" t="s">
        <v>91</v>
      </c>
      <c r="AB552" s="6">
        <v>24482.26</v>
      </c>
      <c r="AC552" s="6">
        <v>3418.27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1971</v>
      </c>
      <c r="AJ552" s="6" t="s">
        <v>1972</v>
      </c>
      <c r="AK552" s="6" t="s">
        <v>12</v>
      </c>
      <c r="AL552" s="6" t="s">
        <v>49</v>
      </c>
      <c r="AM552" s="6" t="s">
        <v>1501</v>
      </c>
      <c r="AN552" s="6" t="s">
        <v>26</v>
      </c>
      <c r="AO552" s="6" t="s">
        <v>272</v>
      </c>
      <c r="AP552" s="6" t="s">
        <v>260</v>
      </c>
      <c r="AQ552" s="6" t="s">
        <v>37</v>
      </c>
    </row>
    <row r="553" spans="1:43" x14ac:dyDescent="0.25">
      <c r="A553" s="6">
        <v>22910566</v>
      </c>
      <c r="B553" s="6">
        <v>23683752</v>
      </c>
      <c r="C553" s="6" t="s">
        <v>248</v>
      </c>
      <c r="D553" s="14">
        <v>45911.761087962957</v>
      </c>
      <c r="E553" s="14">
        <v>45911.763067129628</v>
      </c>
      <c r="F553" s="6" t="s">
        <v>17</v>
      </c>
      <c r="G553" s="6" t="s">
        <v>17</v>
      </c>
      <c r="H553" s="6" t="s">
        <v>1973</v>
      </c>
      <c r="I553" s="6" t="s">
        <v>1503</v>
      </c>
      <c r="J553" s="6" t="s">
        <v>1974</v>
      </c>
      <c r="K553" s="6" t="s">
        <v>1505</v>
      </c>
      <c r="L553" s="6" t="s">
        <v>1505</v>
      </c>
      <c r="M553" s="14">
        <v>45911.259027777778</v>
      </c>
      <c r="N553" s="6" t="s">
        <v>91</v>
      </c>
      <c r="O553" s="6" t="s">
        <v>91</v>
      </c>
      <c r="P553" s="6" t="s">
        <v>252</v>
      </c>
      <c r="Q553" s="6" t="s">
        <v>253</v>
      </c>
      <c r="R553" s="6" t="s">
        <v>253</v>
      </c>
      <c r="S553" s="6" t="s">
        <v>7</v>
      </c>
      <c r="T553" s="6" t="s">
        <v>254</v>
      </c>
      <c r="U553" s="6" t="s">
        <v>132</v>
      </c>
      <c r="V553" s="6" t="s">
        <v>1975</v>
      </c>
      <c r="W553" s="6" t="s">
        <v>91</v>
      </c>
      <c r="X553" s="6" t="s">
        <v>1976</v>
      </c>
      <c r="Y553" s="6">
        <v>852567250</v>
      </c>
      <c r="Z553" s="6" t="s">
        <v>39</v>
      </c>
      <c r="AA553" s="6" t="s">
        <v>91</v>
      </c>
      <c r="AB553" s="6">
        <v>583</v>
      </c>
      <c r="AC553" s="6">
        <v>0</v>
      </c>
      <c r="AD553" s="6">
        <v>0</v>
      </c>
      <c r="AE553" s="6">
        <v>0</v>
      </c>
      <c r="AF553" s="6">
        <v>0</v>
      </c>
      <c r="AG553" s="6">
        <v>0</v>
      </c>
      <c r="AH553" s="6">
        <v>40</v>
      </c>
      <c r="AI553" s="6" t="s">
        <v>1507</v>
      </c>
      <c r="AJ553" s="6" t="s">
        <v>1483</v>
      </c>
      <c r="AK553" s="6" t="s">
        <v>39</v>
      </c>
      <c r="AL553" s="6" t="s">
        <v>55</v>
      </c>
      <c r="AM553" s="6" t="s">
        <v>1484</v>
      </c>
      <c r="AN553" s="6" t="s">
        <v>26</v>
      </c>
      <c r="AO553" s="6" t="s">
        <v>272</v>
      </c>
      <c r="AP553" s="6" t="s">
        <v>1510</v>
      </c>
      <c r="AQ553" s="6" t="s">
        <v>89</v>
      </c>
    </row>
    <row r="554" spans="1:43" x14ac:dyDescent="0.25">
      <c r="A554" s="6">
        <v>22909199</v>
      </c>
      <c r="B554" s="6">
        <v>23682402</v>
      </c>
      <c r="C554" s="6" t="s">
        <v>248</v>
      </c>
      <c r="D554" s="14">
        <v>45911.616631944453</v>
      </c>
      <c r="E554" s="14">
        <v>45911.617326388892</v>
      </c>
      <c r="F554" s="6" t="s">
        <v>17</v>
      </c>
      <c r="G554" s="6" t="s">
        <v>17</v>
      </c>
      <c r="H554" s="6" t="s">
        <v>1977</v>
      </c>
      <c r="I554" s="6" t="s">
        <v>1503</v>
      </c>
      <c r="J554" s="6" t="s">
        <v>1978</v>
      </c>
      <c r="K554" s="6" t="s">
        <v>1505</v>
      </c>
      <c r="L554" s="6" t="s">
        <v>1505</v>
      </c>
      <c r="M554" s="14">
        <v>45911.536805555559</v>
      </c>
      <c r="N554" s="6" t="s">
        <v>91</v>
      </c>
      <c r="O554" s="6" t="s">
        <v>91</v>
      </c>
      <c r="P554" s="6" t="s">
        <v>252</v>
      </c>
      <c r="Q554" s="6" t="s">
        <v>253</v>
      </c>
      <c r="R554" s="6" t="s">
        <v>253</v>
      </c>
      <c r="S554" s="6" t="s">
        <v>7</v>
      </c>
      <c r="T554" s="6" t="s">
        <v>254</v>
      </c>
      <c r="U554" s="6" t="s">
        <v>132</v>
      </c>
      <c r="V554" s="6" t="s">
        <v>1979</v>
      </c>
      <c r="W554" s="6" t="s">
        <v>91</v>
      </c>
      <c r="X554" s="6" t="s">
        <v>1976</v>
      </c>
      <c r="Y554" s="6">
        <v>863366431</v>
      </c>
      <c r="Z554" s="6" t="s">
        <v>39</v>
      </c>
      <c r="AA554" s="6" t="s">
        <v>91</v>
      </c>
      <c r="AB554" s="6">
        <v>1421.17</v>
      </c>
      <c r="AC554" s="6">
        <v>51.67</v>
      </c>
      <c r="AD554" s="6">
        <v>0</v>
      </c>
      <c r="AE554" s="6">
        <v>0</v>
      </c>
      <c r="AF554" s="6">
        <v>0</v>
      </c>
      <c r="AG554" s="6">
        <v>0</v>
      </c>
      <c r="AH554" s="6">
        <v>113.69</v>
      </c>
      <c r="AI554" s="6" t="s">
        <v>1507</v>
      </c>
      <c r="AJ554" s="6" t="s">
        <v>1508</v>
      </c>
      <c r="AK554" s="6" t="s">
        <v>39</v>
      </c>
      <c r="AL554" s="6" t="s">
        <v>57</v>
      </c>
      <c r="AM554" s="6" t="s">
        <v>1509</v>
      </c>
      <c r="AN554" s="6" t="s">
        <v>43</v>
      </c>
      <c r="AO554" s="6" t="s">
        <v>272</v>
      </c>
      <c r="AP554" s="6" t="s">
        <v>1510</v>
      </c>
      <c r="AQ554" s="6" t="s">
        <v>89</v>
      </c>
    </row>
    <row r="555" spans="1:43" x14ac:dyDescent="0.25">
      <c r="A555" s="6">
        <v>22889488</v>
      </c>
      <c r="B555" s="6">
        <v>23664975</v>
      </c>
      <c r="C555" s="6" t="s">
        <v>248</v>
      </c>
      <c r="D555" s="14">
        <v>45908.589733796303</v>
      </c>
      <c r="E555" s="14">
        <v>45912.230555555558</v>
      </c>
      <c r="F555" s="6" t="s">
        <v>17</v>
      </c>
      <c r="G555" s="6" t="s">
        <v>19</v>
      </c>
      <c r="H555" s="6" t="s">
        <v>1980</v>
      </c>
      <c r="I555" s="6" t="s">
        <v>16</v>
      </c>
      <c r="J555" s="6" t="s">
        <v>1981</v>
      </c>
      <c r="K555" s="6" t="s">
        <v>495</v>
      </c>
      <c r="L555" s="6" t="s">
        <v>495</v>
      </c>
      <c r="M555" s="14">
        <v>45908.305555555547</v>
      </c>
      <c r="N555" s="6" t="s">
        <v>1980</v>
      </c>
      <c r="O555" s="6" t="s">
        <v>91</v>
      </c>
      <c r="P555" s="6" t="s">
        <v>276</v>
      </c>
      <c r="Q555" s="6" t="s">
        <v>253</v>
      </c>
      <c r="R555" s="6" t="s">
        <v>1463</v>
      </c>
      <c r="S555" s="6" t="s">
        <v>7</v>
      </c>
      <c r="T555" s="6" t="s">
        <v>254</v>
      </c>
      <c r="U555" s="6" t="s">
        <v>119</v>
      </c>
      <c r="V555" s="6" t="s">
        <v>1982</v>
      </c>
      <c r="W555" s="6" t="s">
        <v>391</v>
      </c>
      <c r="X555" s="6" t="s">
        <v>1976</v>
      </c>
      <c r="Y555" s="6">
        <v>7700076855</v>
      </c>
      <c r="Z555" s="6" t="s">
        <v>60</v>
      </c>
      <c r="AA555" s="6" t="s">
        <v>91</v>
      </c>
      <c r="AB555" s="6">
        <v>0</v>
      </c>
      <c r="AC555" s="6">
        <v>0</v>
      </c>
      <c r="AD555" s="6">
        <v>0</v>
      </c>
      <c r="AE555" s="6">
        <v>0</v>
      </c>
      <c r="AF555" s="6">
        <v>0</v>
      </c>
      <c r="AG555" s="6">
        <v>0</v>
      </c>
      <c r="AH555" s="6">
        <v>18.89</v>
      </c>
      <c r="AI555" s="6" t="s">
        <v>288</v>
      </c>
      <c r="AJ555" s="6" t="s">
        <v>1565</v>
      </c>
      <c r="AK555" s="6" t="s">
        <v>16</v>
      </c>
      <c r="AL555" s="6" t="s">
        <v>71</v>
      </c>
      <c r="AM555" s="6" t="s">
        <v>67</v>
      </c>
      <c r="AN555" s="6" t="s">
        <v>20</v>
      </c>
      <c r="AO555" s="6" t="s">
        <v>272</v>
      </c>
      <c r="AP555" s="6" t="s">
        <v>273</v>
      </c>
      <c r="AQ555" s="6" t="s">
        <v>18</v>
      </c>
    </row>
    <row r="556" spans="1:43" x14ac:dyDescent="0.25">
      <c r="A556" s="6">
        <v>22860018</v>
      </c>
      <c r="B556" s="6">
        <v>23640055</v>
      </c>
      <c r="C556" s="6" t="s">
        <v>248</v>
      </c>
      <c r="D556" s="14">
        <v>45903.409120370372</v>
      </c>
      <c r="E556" s="14">
        <v>45911.56113425926</v>
      </c>
      <c r="F556" s="6" t="s">
        <v>17</v>
      </c>
      <c r="G556" s="6" t="s">
        <v>23</v>
      </c>
      <c r="H556" s="6" t="s">
        <v>1983</v>
      </c>
      <c r="I556" s="6" t="s">
        <v>16</v>
      </c>
      <c r="J556" s="6" t="s">
        <v>1984</v>
      </c>
      <c r="K556" s="6" t="s">
        <v>495</v>
      </c>
      <c r="L556" s="6" t="s">
        <v>495</v>
      </c>
      <c r="M556" s="14">
        <v>45902.722222222219</v>
      </c>
      <c r="N556" s="6" t="s">
        <v>1983</v>
      </c>
      <c r="O556" s="6" t="s">
        <v>91</v>
      </c>
      <c r="P556" s="6" t="s">
        <v>276</v>
      </c>
      <c r="Q556" s="6" t="s">
        <v>253</v>
      </c>
      <c r="R556" s="6" t="s">
        <v>1463</v>
      </c>
      <c r="S556" s="6" t="s">
        <v>7</v>
      </c>
      <c r="T556" s="6" t="s">
        <v>254</v>
      </c>
      <c r="U556" s="6" t="s">
        <v>119</v>
      </c>
      <c r="V556" s="6" t="s">
        <v>1985</v>
      </c>
      <c r="W556" s="6" t="s">
        <v>391</v>
      </c>
      <c r="X556" s="6" t="s">
        <v>1976</v>
      </c>
      <c r="Y556" s="6">
        <v>7700076531</v>
      </c>
      <c r="Z556" s="6" t="s">
        <v>60</v>
      </c>
      <c r="AA556" s="6" t="s">
        <v>91</v>
      </c>
      <c r="AB556" s="6">
        <v>0</v>
      </c>
      <c r="AC556" s="6">
        <v>0</v>
      </c>
      <c r="AD556" s="6">
        <v>0</v>
      </c>
      <c r="AE556" s="6">
        <v>0</v>
      </c>
      <c r="AF556" s="6">
        <v>0</v>
      </c>
      <c r="AG556" s="6">
        <v>0</v>
      </c>
      <c r="AH556" s="6">
        <v>19.03</v>
      </c>
      <c r="AI556" s="6" t="s">
        <v>288</v>
      </c>
      <c r="AJ556" s="6" t="s">
        <v>1565</v>
      </c>
      <c r="AK556" s="6" t="s">
        <v>16</v>
      </c>
      <c r="AL556" s="6" t="s">
        <v>71</v>
      </c>
      <c r="AM556" s="6" t="s">
        <v>67</v>
      </c>
      <c r="AN556" s="6" t="s">
        <v>20</v>
      </c>
      <c r="AO556" s="6" t="s">
        <v>272</v>
      </c>
      <c r="AP556" s="6" t="s">
        <v>273</v>
      </c>
      <c r="AQ556" s="6" t="s">
        <v>18</v>
      </c>
    </row>
    <row r="557" spans="1:43" x14ac:dyDescent="0.25">
      <c r="A557" s="6">
        <v>22905554</v>
      </c>
      <c r="B557" s="6">
        <v>23679492</v>
      </c>
      <c r="C557" s="6" t="s">
        <v>248</v>
      </c>
      <c r="D557" s="14">
        <v>45910.944085648152</v>
      </c>
      <c r="E557" s="14">
        <v>45911.572731481479</v>
      </c>
      <c r="F557" s="6" t="s">
        <v>17</v>
      </c>
      <c r="G557" s="6" t="s">
        <v>17</v>
      </c>
      <c r="H557" s="6" t="s">
        <v>1986</v>
      </c>
      <c r="I557" s="6" t="s">
        <v>16</v>
      </c>
      <c r="J557" s="6" t="s">
        <v>1987</v>
      </c>
      <c r="K557" s="6" t="s">
        <v>495</v>
      </c>
      <c r="L557" s="6" t="s">
        <v>495</v>
      </c>
      <c r="M557" s="14">
        <v>45852.743750000001</v>
      </c>
      <c r="N557" s="6" t="s">
        <v>1988</v>
      </c>
      <c r="O557" s="6" t="s">
        <v>91</v>
      </c>
      <c r="P557" s="6" t="s">
        <v>276</v>
      </c>
      <c r="Q557" s="6" t="s">
        <v>253</v>
      </c>
      <c r="R557" s="6" t="s">
        <v>1463</v>
      </c>
      <c r="S557" s="6" t="s">
        <v>7</v>
      </c>
      <c r="T557" s="6" t="s">
        <v>254</v>
      </c>
      <c r="U557" s="6" t="s">
        <v>119</v>
      </c>
      <c r="V557" s="6" t="s">
        <v>1989</v>
      </c>
      <c r="W557" s="6" t="s">
        <v>391</v>
      </c>
      <c r="X557" s="6" t="s">
        <v>1976</v>
      </c>
      <c r="Y557" s="6">
        <v>3023447716</v>
      </c>
      <c r="Z557" s="6" t="s">
        <v>60</v>
      </c>
      <c r="AA557" s="6" t="s">
        <v>91</v>
      </c>
      <c r="AB557" s="6">
        <v>774.9</v>
      </c>
      <c r="AC557" s="6">
        <v>77.040000000000006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 t="s">
        <v>288</v>
      </c>
      <c r="AJ557" s="6" t="s">
        <v>1483</v>
      </c>
      <c r="AK557" s="6" t="s">
        <v>16</v>
      </c>
      <c r="AL557" s="6" t="s">
        <v>55</v>
      </c>
      <c r="AM557" s="6" t="s">
        <v>1484</v>
      </c>
      <c r="AN557" s="6" t="s">
        <v>26</v>
      </c>
      <c r="AO557" s="6" t="s">
        <v>272</v>
      </c>
      <c r="AP557" s="6" t="s">
        <v>260</v>
      </c>
      <c r="AQ557" s="6" t="s">
        <v>37</v>
      </c>
    </row>
    <row r="558" spans="1:43" x14ac:dyDescent="0.25">
      <c r="A558" s="6">
        <v>22905573</v>
      </c>
      <c r="B558" s="6">
        <v>23679521</v>
      </c>
      <c r="C558" s="6" t="s">
        <v>248</v>
      </c>
      <c r="D558" s="14">
        <v>45910.945648148147</v>
      </c>
      <c r="E558" s="14">
        <v>45911.572743055563</v>
      </c>
      <c r="F558" s="6" t="s">
        <v>17</v>
      </c>
      <c r="G558" s="6" t="s">
        <v>17</v>
      </c>
      <c r="H558" s="6" t="s">
        <v>1990</v>
      </c>
      <c r="I558" s="6" t="s">
        <v>16</v>
      </c>
      <c r="J558" s="6" t="s">
        <v>1991</v>
      </c>
      <c r="K558" s="6" t="s">
        <v>495</v>
      </c>
      <c r="L558" s="6" t="s">
        <v>495</v>
      </c>
      <c r="M558" s="14">
        <v>45909.382638888892</v>
      </c>
      <c r="N558" s="6" t="s">
        <v>1992</v>
      </c>
      <c r="O558" s="6" t="s">
        <v>91</v>
      </c>
      <c r="P558" s="6" t="s">
        <v>276</v>
      </c>
      <c r="Q558" s="6" t="s">
        <v>253</v>
      </c>
      <c r="R558" s="6" t="s">
        <v>1463</v>
      </c>
      <c r="S558" s="6" t="s">
        <v>7</v>
      </c>
      <c r="T558" s="6" t="s">
        <v>254</v>
      </c>
      <c r="U558" s="6" t="s">
        <v>119</v>
      </c>
      <c r="V558" s="6" t="s">
        <v>1993</v>
      </c>
      <c r="W558" s="6" t="s">
        <v>391</v>
      </c>
      <c r="X558" s="6" t="s">
        <v>1976</v>
      </c>
      <c r="Y558" s="6">
        <v>7700076966</v>
      </c>
      <c r="Z558" s="6" t="s">
        <v>60</v>
      </c>
      <c r="AA558" s="6" t="s">
        <v>91</v>
      </c>
      <c r="AB558" s="6">
        <v>0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288</v>
      </c>
      <c r="AJ558" s="6" t="s">
        <v>1565</v>
      </c>
      <c r="AK558" s="6" t="s">
        <v>16</v>
      </c>
      <c r="AL558" s="6" t="s">
        <v>71</v>
      </c>
      <c r="AM558" s="6" t="s">
        <v>67</v>
      </c>
      <c r="AN558" s="6" t="s">
        <v>20</v>
      </c>
      <c r="AO558" s="6" t="s">
        <v>272</v>
      </c>
      <c r="AP558" s="6" t="s">
        <v>273</v>
      </c>
      <c r="AQ558" s="6" t="s">
        <v>18</v>
      </c>
    </row>
    <row r="559" spans="1:43" x14ac:dyDescent="0.25">
      <c r="A559" s="6">
        <v>22913624</v>
      </c>
      <c r="B559" s="6">
        <v>23686213</v>
      </c>
      <c r="C559" s="6" t="s">
        <v>248</v>
      </c>
      <c r="D559" s="14">
        <v>45912.28193287037</v>
      </c>
      <c r="E559" s="14">
        <v>45912.287928240738</v>
      </c>
      <c r="F559" s="6" t="s">
        <v>17</v>
      </c>
      <c r="G559" s="6" t="s">
        <v>17</v>
      </c>
      <c r="H559" s="6" t="s">
        <v>1994</v>
      </c>
      <c r="I559" s="6" t="s">
        <v>16</v>
      </c>
      <c r="J559" s="6" t="s">
        <v>1995</v>
      </c>
      <c r="K559" s="6" t="s">
        <v>704</v>
      </c>
      <c r="L559" s="6" t="s">
        <v>704</v>
      </c>
      <c r="M559" s="14">
        <v>45910.45416666667</v>
      </c>
      <c r="N559" s="6" t="s">
        <v>705</v>
      </c>
      <c r="O559" s="6" t="s">
        <v>91</v>
      </c>
      <c r="P559" s="6" t="s">
        <v>252</v>
      </c>
      <c r="Q559" s="6" t="s">
        <v>253</v>
      </c>
      <c r="R559" s="6" t="s">
        <v>1463</v>
      </c>
      <c r="S559" s="6" t="s">
        <v>7</v>
      </c>
      <c r="T559" s="6" t="s">
        <v>254</v>
      </c>
      <c r="U559" s="6" t="s">
        <v>116</v>
      </c>
      <c r="V559" s="6" t="s">
        <v>724</v>
      </c>
      <c r="W559" s="6" t="s">
        <v>91</v>
      </c>
      <c r="X559" s="6" t="s">
        <v>1976</v>
      </c>
      <c r="Y559" s="6">
        <v>7700077102</v>
      </c>
      <c r="Z559" s="6" t="s">
        <v>56</v>
      </c>
      <c r="AA559" s="6" t="s">
        <v>91</v>
      </c>
      <c r="AB559" s="6">
        <v>3043.18</v>
      </c>
      <c r="AC559" s="6">
        <v>93.59</v>
      </c>
      <c r="AD559" s="6">
        <v>0</v>
      </c>
      <c r="AE559" s="6">
        <v>0</v>
      </c>
      <c r="AF559" s="6">
        <v>0</v>
      </c>
      <c r="AG559" s="6">
        <v>0</v>
      </c>
      <c r="AH559" s="6">
        <v>0</v>
      </c>
      <c r="AI559" s="6" t="s">
        <v>288</v>
      </c>
      <c r="AJ559" s="6" t="s">
        <v>1473</v>
      </c>
      <c r="AK559" s="6" t="s">
        <v>16</v>
      </c>
      <c r="AL559" s="6" t="s">
        <v>53</v>
      </c>
      <c r="AM559" s="6" t="s">
        <v>67</v>
      </c>
      <c r="AN559" s="6" t="s">
        <v>20</v>
      </c>
      <c r="AO559" s="6" t="s">
        <v>272</v>
      </c>
      <c r="AP559" s="6" t="s">
        <v>273</v>
      </c>
      <c r="AQ559" s="6" t="s">
        <v>34</v>
      </c>
    </row>
    <row r="560" spans="1:43" x14ac:dyDescent="0.25">
      <c r="A560" s="6">
        <v>22909646</v>
      </c>
      <c r="B560" s="6">
        <v>23682890</v>
      </c>
      <c r="C560" s="6" t="s">
        <v>248</v>
      </c>
      <c r="D560" s="14">
        <v>45911.675740740742</v>
      </c>
      <c r="E560" s="14">
        <v>45912.245081018518</v>
      </c>
      <c r="F560" s="6" t="s">
        <v>17</v>
      </c>
      <c r="G560" s="6" t="s">
        <v>17</v>
      </c>
      <c r="H560" s="6" t="s">
        <v>1996</v>
      </c>
      <c r="I560" s="6" t="s">
        <v>16</v>
      </c>
      <c r="J560" s="6" t="s">
        <v>1997</v>
      </c>
      <c r="K560" s="6" t="s">
        <v>1721</v>
      </c>
      <c r="L560" s="6" t="s">
        <v>1721</v>
      </c>
      <c r="M560" s="14">
        <v>45911.563194444447</v>
      </c>
      <c r="N560" s="6" t="s">
        <v>1998</v>
      </c>
      <c r="O560" s="6" t="s">
        <v>91</v>
      </c>
      <c r="P560" s="6" t="s">
        <v>252</v>
      </c>
      <c r="Q560" s="6" t="s">
        <v>253</v>
      </c>
      <c r="R560" s="6" t="s">
        <v>253</v>
      </c>
      <c r="S560" s="6" t="s">
        <v>7</v>
      </c>
      <c r="T560" s="6" t="s">
        <v>254</v>
      </c>
      <c r="U560" s="6" t="s">
        <v>201</v>
      </c>
      <c r="V560" s="6" t="s">
        <v>822</v>
      </c>
      <c r="W560" s="6" t="s">
        <v>391</v>
      </c>
      <c r="X560" s="6" t="s">
        <v>1976</v>
      </c>
      <c r="Y560" s="6">
        <v>7700077050</v>
      </c>
      <c r="Z560" s="6" t="s">
        <v>123</v>
      </c>
      <c r="AA560" s="6" t="s">
        <v>91</v>
      </c>
      <c r="AB560" s="6">
        <v>1579.8</v>
      </c>
      <c r="AC560" s="6">
        <v>78.67</v>
      </c>
      <c r="AD560" s="6">
        <v>0</v>
      </c>
      <c r="AE560" s="6">
        <v>0</v>
      </c>
      <c r="AF560" s="6">
        <v>0</v>
      </c>
      <c r="AG560" s="6">
        <v>0</v>
      </c>
      <c r="AH560" s="6">
        <v>64.95</v>
      </c>
      <c r="AI560" s="6" t="s">
        <v>288</v>
      </c>
      <c r="AJ560" s="6" t="s">
        <v>1516</v>
      </c>
      <c r="AK560" s="6" t="s">
        <v>16</v>
      </c>
      <c r="AL560" s="6" t="s">
        <v>59</v>
      </c>
      <c r="AM560" s="6" t="s">
        <v>67</v>
      </c>
      <c r="AN560" s="6" t="s">
        <v>20</v>
      </c>
      <c r="AO560" s="6" t="s">
        <v>272</v>
      </c>
      <c r="AP560" s="6" t="s">
        <v>273</v>
      </c>
      <c r="AQ560" s="6" t="s">
        <v>34</v>
      </c>
    </row>
    <row r="561" spans="1:43" x14ac:dyDescent="0.25">
      <c r="A561" s="6">
        <v>22905638</v>
      </c>
      <c r="B561" s="6">
        <v>23679589</v>
      </c>
      <c r="C561" s="6" t="s">
        <v>637</v>
      </c>
      <c r="D561" s="14">
        <v>45910.948472222219</v>
      </c>
      <c r="E561" s="14">
        <v>45910.953553240739</v>
      </c>
      <c r="F561" s="6" t="s">
        <v>17</v>
      </c>
      <c r="G561" s="6" t="s">
        <v>17</v>
      </c>
      <c r="H561" s="6" t="s">
        <v>1266</v>
      </c>
      <c r="I561" s="6" t="s">
        <v>16</v>
      </c>
      <c r="J561" s="6" t="s">
        <v>1258</v>
      </c>
      <c r="K561" s="6" t="s">
        <v>1212</v>
      </c>
      <c r="L561" s="6" t="s">
        <v>1212</v>
      </c>
      <c r="M561" s="14">
        <v>45905.595138888893</v>
      </c>
      <c r="N561" s="6" t="s">
        <v>1267</v>
      </c>
      <c r="O561" s="6" t="s">
        <v>91</v>
      </c>
      <c r="P561" s="6" t="s">
        <v>252</v>
      </c>
      <c r="Q561" s="6" t="s">
        <v>253</v>
      </c>
      <c r="R561" s="6" t="s">
        <v>253</v>
      </c>
      <c r="S561" s="6" t="s">
        <v>9</v>
      </c>
      <c r="T561" s="6" t="s">
        <v>254</v>
      </c>
      <c r="U561" s="6" t="s">
        <v>118</v>
      </c>
      <c r="V561" s="6" t="s">
        <v>1214</v>
      </c>
      <c r="W561" s="6" t="s">
        <v>91</v>
      </c>
      <c r="X561" s="6" t="s">
        <v>1999</v>
      </c>
      <c r="Y561" s="6" t="s">
        <v>91</v>
      </c>
      <c r="Z561" s="6" t="s">
        <v>58</v>
      </c>
      <c r="AA561" s="6" t="s">
        <v>91</v>
      </c>
      <c r="AB561" s="6">
        <v>234.85</v>
      </c>
      <c r="AC561" s="6">
        <v>0</v>
      </c>
      <c r="AD561" s="6">
        <v>0</v>
      </c>
      <c r="AE561" s="6">
        <v>0</v>
      </c>
      <c r="AF561" s="6">
        <v>0</v>
      </c>
      <c r="AG561" s="6">
        <v>0</v>
      </c>
      <c r="AH561" s="6">
        <v>0</v>
      </c>
      <c r="AI561" s="6" t="s">
        <v>288</v>
      </c>
      <c r="AJ561" s="6" t="s">
        <v>257</v>
      </c>
      <c r="AK561" s="6" t="s">
        <v>16</v>
      </c>
      <c r="AL561" s="6" t="s">
        <v>48</v>
      </c>
      <c r="AM561" s="6" t="s">
        <v>258</v>
      </c>
      <c r="AN561" s="6" t="s">
        <v>20</v>
      </c>
      <c r="AO561" s="6" t="s">
        <v>272</v>
      </c>
      <c r="AP561" s="6" t="s">
        <v>273</v>
      </c>
      <c r="AQ561" s="6" t="s">
        <v>18</v>
      </c>
    </row>
    <row r="562" spans="1:43" x14ac:dyDescent="0.25">
      <c r="A562" s="6">
        <v>22833882</v>
      </c>
      <c r="B562" s="6">
        <v>23618655</v>
      </c>
      <c r="C562" s="6" t="s">
        <v>637</v>
      </c>
      <c r="D562" s="14">
        <v>45898.534571759257</v>
      </c>
      <c r="E562" s="14">
        <v>45898.537789351853</v>
      </c>
      <c r="F562" s="6" t="s">
        <v>23</v>
      </c>
      <c r="G562" s="6" t="s">
        <v>23</v>
      </c>
      <c r="H562" s="6" t="s">
        <v>1437</v>
      </c>
      <c r="I562" s="6" t="s">
        <v>16</v>
      </c>
      <c r="J562" s="6" t="s">
        <v>1258</v>
      </c>
      <c r="K562" s="6" t="s">
        <v>1212</v>
      </c>
      <c r="L562" s="6" t="s">
        <v>1212</v>
      </c>
      <c r="M562" s="14">
        <v>45897.387499999997</v>
      </c>
      <c r="N562" s="6" t="s">
        <v>1438</v>
      </c>
      <c r="O562" s="6" t="s">
        <v>91</v>
      </c>
      <c r="P562" s="6" t="s">
        <v>252</v>
      </c>
      <c r="Q562" s="6" t="s">
        <v>253</v>
      </c>
      <c r="R562" s="6" t="s">
        <v>253</v>
      </c>
      <c r="S562" s="6" t="s">
        <v>9</v>
      </c>
      <c r="T562" s="6" t="s">
        <v>254</v>
      </c>
      <c r="U562" s="6" t="s">
        <v>118</v>
      </c>
      <c r="V562" s="6" t="s">
        <v>1214</v>
      </c>
      <c r="W562" s="6" t="s">
        <v>91</v>
      </c>
      <c r="X562" s="6" t="s">
        <v>1999</v>
      </c>
      <c r="Y562" s="6" t="s">
        <v>91</v>
      </c>
      <c r="Z562" s="6" t="s">
        <v>58</v>
      </c>
      <c r="AA562" s="6" t="s">
        <v>91</v>
      </c>
      <c r="AB562" s="6">
        <v>234.85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 t="s">
        <v>288</v>
      </c>
      <c r="AJ562" s="6" t="s">
        <v>701</v>
      </c>
      <c r="AK562" s="6" t="s">
        <v>16</v>
      </c>
      <c r="AL562" s="6" t="s">
        <v>48</v>
      </c>
      <c r="AM562" s="6" t="s">
        <v>258</v>
      </c>
      <c r="AN562" s="6" t="s">
        <v>20</v>
      </c>
      <c r="AO562" s="6" t="s">
        <v>272</v>
      </c>
      <c r="AP562" s="6" t="s">
        <v>273</v>
      </c>
      <c r="AQ562" s="6" t="s">
        <v>18</v>
      </c>
    </row>
    <row r="563" spans="1:43" x14ac:dyDescent="0.25">
      <c r="A563" s="6">
        <v>22905482</v>
      </c>
      <c r="B563" s="6">
        <v>23679423</v>
      </c>
      <c r="C563" s="6" t="s">
        <v>248</v>
      </c>
      <c r="D563" s="14">
        <v>45910.937696759262</v>
      </c>
      <c r="E563" s="14">
        <v>45911.574652777781</v>
      </c>
      <c r="F563" s="6" t="s">
        <v>17</v>
      </c>
      <c r="G563" s="6" t="s">
        <v>17</v>
      </c>
      <c r="H563" s="6" t="s">
        <v>2000</v>
      </c>
      <c r="I563" s="6" t="s">
        <v>16</v>
      </c>
      <c r="J563" s="6" t="s">
        <v>1964</v>
      </c>
      <c r="K563" s="6" t="s">
        <v>374</v>
      </c>
      <c r="L563" s="6" t="s">
        <v>374</v>
      </c>
      <c r="M563" s="14">
        <v>45908.388888888891</v>
      </c>
      <c r="N563" s="6" t="s">
        <v>1965</v>
      </c>
      <c r="O563" s="6" t="s">
        <v>91</v>
      </c>
      <c r="P563" s="6" t="s">
        <v>276</v>
      </c>
      <c r="Q563" s="6" t="s">
        <v>268</v>
      </c>
      <c r="R563" s="6" t="s">
        <v>269</v>
      </c>
      <c r="S563" s="6" t="s">
        <v>9</v>
      </c>
      <c r="T563" s="6" t="s">
        <v>254</v>
      </c>
      <c r="U563" s="6" t="s">
        <v>134</v>
      </c>
      <c r="V563" s="6" t="s">
        <v>524</v>
      </c>
      <c r="W563" s="6" t="s">
        <v>391</v>
      </c>
      <c r="X563" s="6" t="s">
        <v>2001</v>
      </c>
      <c r="Y563" s="6" t="s">
        <v>91</v>
      </c>
      <c r="Z563" s="6" t="s">
        <v>76</v>
      </c>
      <c r="AA563" s="6" t="s">
        <v>91</v>
      </c>
      <c r="AB563" s="6">
        <v>210</v>
      </c>
      <c r="AC563" s="6">
        <v>0</v>
      </c>
      <c r="AD563" s="6">
        <v>0</v>
      </c>
      <c r="AE563" s="6">
        <v>0</v>
      </c>
      <c r="AF563" s="6">
        <v>0</v>
      </c>
      <c r="AG563" s="6">
        <v>0</v>
      </c>
      <c r="AH563" s="6">
        <v>0</v>
      </c>
      <c r="AI563" s="6" t="s">
        <v>288</v>
      </c>
      <c r="AJ563" s="6" t="s">
        <v>1516</v>
      </c>
      <c r="AK563" s="6" t="s">
        <v>16</v>
      </c>
      <c r="AL563" s="6" t="s">
        <v>59</v>
      </c>
      <c r="AM563" s="6" t="s">
        <v>67</v>
      </c>
      <c r="AN563" s="6" t="s">
        <v>20</v>
      </c>
      <c r="AO563" s="6" t="s">
        <v>272</v>
      </c>
      <c r="AP563" s="6" t="s">
        <v>273</v>
      </c>
      <c r="AQ563" s="6" t="s">
        <v>34</v>
      </c>
    </row>
    <row r="564" spans="1:43" x14ac:dyDescent="0.25">
      <c r="A564" s="6">
        <v>22793818</v>
      </c>
      <c r="B564" s="6">
        <v>23584618</v>
      </c>
      <c r="C564" s="6" t="s">
        <v>248</v>
      </c>
      <c r="D564" s="14">
        <v>45891.688692129632</v>
      </c>
      <c r="E564" s="14">
        <v>45911.566828703697</v>
      </c>
      <c r="F564" s="6" t="s">
        <v>17</v>
      </c>
      <c r="G564" s="6" t="s">
        <v>25</v>
      </c>
      <c r="H564" s="6" t="s">
        <v>2002</v>
      </c>
      <c r="I564" s="6" t="s">
        <v>16</v>
      </c>
      <c r="J564" s="6" t="s">
        <v>2003</v>
      </c>
      <c r="K564" s="6" t="s">
        <v>369</v>
      </c>
      <c r="L564" s="6" t="s">
        <v>369</v>
      </c>
      <c r="M564" s="14">
        <v>45890.87222222222</v>
      </c>
      <c r="N564" s="6" t="s">
        <v>2004</v>
      </c>
      <c r="O564" s="6" t="s">
        <v>91</v>
      </c>
      <c r="P564" s="6" t="s">
        <v>276</v>
      </c>
      <c r="Q564" s="6" t="s">
        <v>253</v>
      </c>
      <c r="R564" s="6" t="s">
        <v>253</v>
      </c>
      <c r="S564" s="6" t="s">
        <v>9</v>
      </c>
      <c r="T564" s="6" t="s">
        <v>254</v>
      </c>
      <c r="U564" s="6" t="s">
        <v>182</v>
      </c>
      <c r="V564" s="6" t="s">
        <v>1543</v>
      </c>
      <c r="W564" s="6" t="s">
        <v>91</v>
      </c>
      <c r="X564" s="6" t="s">
        <v>2005</v>
      </c>
      <c r="Y564" s="6" t="s">
        <v>91</v>
      </c>
      <c r="Z564" s="6" t="s">
        <v>54</v>
      </c>
      <c r="AA564" s="6" t="s">
        <v>91</v>
      </c>
      <c r="AB564" s="6">
        <v>6500.7359999999999</v>
      </c>
      <c r="AC564" s="6">
        <v>211.96</v>
      </c>
      <c r="AD564" s="6">
        <v>0</v>
      </c>
      <c r="AE564" s="6">
        <v>0</v>
      </c>
      <c r="AF564" s="6">
        <v>0</v>
      </c>
      <c r="AG564" s="6">
        <v>0</v>
      </c>
      <c r="AH564" s="6">
        <v>0</v>
      </c>
      <c r="AI564" s="6" t="s">
        <v>288</v>
      </c>
      <c r="AJ564" s="6" t="s">
        <v>2006</v>
      </c>
      <c r="AK564" s="6" t="s">
        <v>16</v>
      </c>
      <c r="AL564" s="6" t="s">
        <v>77</v>
      </c>
      <c r="AM564" s="6" t="s">
        <v>67</v>
      </c>
      <c r="AN564" s="6" t="s">
        <v>20</v>
      </c>
      <c r="AO564" s="6" t="s">
        <v>272</v>
      </c>
      <c r="AP564" s="6" t="s">
        <v>273</v>
      </c>
      <c r="AQ564" s="6" t="s">
        <v>18</v>
      </c>
    </row>
    <row r="565" spans="1:43" x14ac:dyDescent="0.25">
      <c r="A565" s="6">
        <v>22889075</v>
      </c>
      <c r="B565" s="6">
        <v>23664565</v>
      </c>
      <c r="C565" s="6" t="s">
        <v>248</v>
      </c>
      <c r="D565" s="14">
        <v>45908.544108796297</v>
      </c>
      <c r="E565" s="14">
        <v>45911.561203703714</v>
      </c>
      <c r="F565" s="6" t="s">
        <v>17</v>
      </c>
      <c r="G565" s="6" t="s">
        <v>19</v>
      </c>
      <c r="H565" s="6" t="s">
        <v>2007</v>
      </c>
      <c r="I565" s="6" t="s">
        <v>16</v>
      </c>
      <c r="J565" s="6" t="s">
        <v>2008</v>
      </c>
      <c r="K565" s="6" t="s">
        <v>1806</v>
      </c>
      <c r="L565" s="6" t="s">
        <v>623</v>
      </c>
      <c r="M565" s="14">
        <v>45901.636111111111</v>
      </c>
      <c r="N565" s="6" t="s">
        <v>2007</v>
      </c>
      <c r="O565" s="6" t="s">
        <v>91</v>
      </c>
      <c r="P565" s="6" t="s">
        <v>276</v>
      </c>
      <c r="Q565" s="6" t="s">
        <v>253</v>
      </c>
      <c r="R565" s="6" t="s">
        <v>253</v>
      </c>
      <c r="S565" s="6" t="s">
        <v>7</v>
      </c>
      <c r="T565" s="6" t="s">
        <v>254</v>
      </c>
      <c r="U565" s="6" t="s">
        <v>158</v>
      </c>
      <c r="V565" s="6" t="s">
        <v>625</v>
      </c>
      <c r="W565" s="6" t="s">
        <v>91</v>
      </c>
      <c r="X565" s="6" t="s">
        <v>2009</v>
      </c>
      <c r="Y565" s="6">
        <v>2952935706</v>
      </c>
      <c r="Z565" s="6" t="s">
        <v>54</v>
      </c>
      <c r="AA565" s="6" t="s">
        <v>91</v>
      </c>
      <c r="AB565" s="6">
        <v>18883.87</v>
      </c>
      <c r="AC565" s="6">
        <v>59.54</v>
      </c>
      <c r="AD565" s="6">
        <v>899.24</v>
      </c>
      <c r="AE565" s="6">
        <v>0</v>
      </c>
      <c r="AF565" s="6">
        <v>0</v>
      </c>
      <c r="AG565" s="6">
        <v>0</v>
      </c>
      <c r="AH565" s="6">
        <v>0</v>
      </c>
      <c r="AI565" s="6" t="s">
        <v>288</v>
      </c>
      <c r="AJ565" s="6" t="s">
        <v>2010</v>
      </c>
      <c r="AK565" s="6" t="s">
        <v>16</v>
      </c>
      <c r="AL565" s="6" t="s">
        <v>69</v>
      </c>
      <c r="AM565" s="6" t="s">
        <v>67</v>
      </c>
      <c r="AN565" s="6" t="s">
        <v>20</v>
      </c>
      <c r="AO565" s="6" t="s">
        <v>272</v>
      </c>
      <c r="AP565" s="6" t="s">
        <v>260</v>
      </c>
      <c r="AQ565" s="6" t="s">
        <v>24</v>
      </c>
    </row>
    <row r="566" spans="1:43" x14ac:dyDescent="0.25">
      <c r="A566" s="6">
        <v>22889075</v>
      </c>
      <c r="B566" s="6">
        <v>23665224</v>
      </c>
      <c r="C566" s="6" t="s">
        <v>637</v>
      </c>
      <c r="D566" s="14">
        <v>45908.544108796297</v>
      </c>
      <c r="E566" s="14">
        <v>45911.561203703714</v>
      </c>
      <c r="F566" s="6" t="s">
        <v>17</v>
      </c>
      <c r="G566" s="6" t="s">
        <v>19</v>
      </c>
      <c r="H566" s="6" t="s">
        <v>2007</v>
      </c>
      <c r="I566" s="6" t="s">
        <v>16</v>
      </c>
      <c r="J566" s="6" t="s">
        <v>2011</v>
      </c>
      <c r="K566" s="6" t="s">
        <v>1806</v>
      </c>
      <c r="L566" s="6" t="s">
        <v>623</v>
      </c>
      <c r="M566" s="14">
        <v>45901.636111111111</v>
      </c>
      <c r="N566" s="6" t="s">
        <v>2007</v>
      </c>
      <c r="O566" s="6" t="s">
        <v>91</v>
      </c>
      <c r="P566" s="6" t="s">
        <v>276</v>
      </c>
      <c r="Q566" s="6" t="s">
        <v>268</v>
      </c>
      <c r="R566" s="6" t="s">
        <v>269</v>
      </c>
      <c r="S566" s="6" t="s">
        <v>7</v>
      </c>
      <c r="T566" s="6" t="s">
        <v>254</v>
      </c>
      <c r="U566" s="6" t="s">
        <v>158</v>
      </c>
      <c r="V566" s="6" t="s">
        <v>625</v>
      </c>
      <c r="W566" s="6" t="s">
        <v>91</v>
      </c>
      <c r="X566" s="6" t="s">
        <v>2009</v>
      </c>
      <c r="Y566" s="6">
        <v>2952935706</v>
      </c>
      <c r="Z566" s="6" t="s">
        <v>54</v>
      </c>
      <c r="AA566" s="6" t="s">
        <v>91</v>
      </c>
      <c r="AB566" s="6">
        <v>15888.49</v>
      </c>
      <c r="AC566" s="6">
        <v>0</v>
      </c>
      <c r="AD566" s="6">
        <v>818.36</v>
      </c>
      <c r="AE566" s="6">
        <v>0</v>
      </c>
      <c r="AF566" s="6">
        <v>59.54</v>
      </c>
      <c r="AG566" s="6">
        <v>0</v>
      </c>
      <c r="AH566" s="6">
        <v>0</v>
      </c>
      <c r="AI566" s="6" t="s">
        <v>288</v>
      </c>
      <c r="AJ566" s="6" t="s">
        <v>2010</v>
      </c>
      <c r="AK566" s="6" t="s">
        <v>16</v>
      </c>
      <c r="AL566" s="6" t="s">
        <v>69</v>
      </c>
      <c r="AM566" s="6" t="s">
        <v>67</v>
      </c>
      <c r="AN566" s="6" t="s">
        <v>20</v>
      </c>
      <c r="AO566" s="6" t="s">
        <v>272</v>
      </c>
      <c r="AP566" s="6" t="s">
        <v>260</v>
      </c>
      <c r="AQ566" s="6" t="s">
        <v>24</v>
      </c>
    </row>
    <row r="567" spans="1:43" x14ac:dyDescent="0.25">
      <c r="A567" s="6">
        <v>22889118</v>
      </c>
      <c r="B567" s="6">
        <v>23664611</v>
      </c>
      <c r="C567" s="6" t="s">
        <v>248</v>
      </c>
      <c r="D567" s="14">
        <v>45908.547685185193</v>
      </c>
      <c r="E567" s="14">
        <v>45911.561203703714</v>
      </c>
      <c r="F567" s="6" t="s">
        <v>17</v>
      </c>
      <c r="G567" s="6" t="s">
        <v>19</v>
      </c>
      <c r="H567" s="6" t="s">
        <v>2012</v>
      </c>
      <c r="I567" s="6" t="s">
        <v>16</v>
      </c>
      <c r="J567" s="6" t="s">
        <v>2013</v>
      </c>
      <c r="K567" s="6" t="s">
        <v>1649</v>
      </c>
      <c r="L567" s="6" t="s">
        <v>1928</v>
      </c>
      <c r="M567" s="14">
        <v>45902.361805555563</v>
      </c>
      <c r="N567" s="6" t="s">
        <v>2012</v>
      </c>
      <c r="O567" s="6" t="s">
        <v>91</v>
      </c>
      <c r="P567" s="6" t="s">
        <v>276</v>
      </c>
      <c r="Q567" s="6" t="s">
        <v>268</v>
      </c>
      <c r="R567" s="6" t="s">
        <v>269</v>
      </c>
      <c r="S567" s="6" t="s">
        <v>7</v>
      </c>
      <c r="T567" s="6" t="s">
        <v>254</v>
      </c>
      <c r="U567" s="6" t="s">
        <v>194</v>
      </c>
      <c r="V567" s="6" t="s">
        <v>1734</v>
      </c>
      <c r="W567" s="6" t="s">
        <v>91</v>
      </c>
      <c r="X567" s="6" t="s">
        <v>2014</v>
      </c>
      <c r="Y567" s="6">
        <v>2952935708</v>
      </c>
      <c r="Z567" s="6" t="s">
        <v>91</v>
      </c>
      <c r="AA567" s="6" t="s">
        <v>91</v>
      </c>
      <c r="AB567" s="6">
        <v>724.98</v>
      </c>
      <c r="AC567" s="6">
        <v>59.54</v>
      </c>
      <c r="AD567" s="6">
        <v>178.76</v>
      </c>
      <c r="AE567" s="6">
        <v>0</v>
      </c>
      <c r="AF567" s="6">
        <v>59.54</v>
      </c>
      <c r="AG567" s="6">
        <v>0</v>
      </c>
      <c r="AH567" s="6">
        <v>0</v>
      </c>
      <c r="AI567" s="6" t="s">
        <v>288</v>
      </c>
      <c r="AJ567" s="6" t="s">
        <v>2015</v>
      </c>
      <c r="AK567" s="6" t="s">
        <v>16</v>
      </c>
      <c r="AL567" s="6" t="s">
        <v>53</v>
      </c>
      <c r="AM567" s="6" t="s">
        <v>67</v>
      </c>
      <c r="AN567" s="6" t="s">
        <v>20</v>
      </c>
      <c r="AO567" s="6" t="s">
        <v>272</v>
      </c>
      <c r="AP567" s="6" t="s">
        <v>260</v>
      </c>
      <c r="AQ567" s="6" t="s">
        <v>24</v>
      </c>
    </row>
    <row r="568" spans="1:43" x14ac:dyDescent="0.25">
      <c r="A568" s="6">
        <v>22905519</v>
      </c>
      <c r="B568" s="6">
        <v>23679457</v>
      </c>
      <c r="C568" s="6" t="s">
        <v>248</v>
      </c>
      <c r="D568" s="14">
        <v>45910.941250000003</v>
      </c>
      <c r="E568" s="14">
        <v>45911.575057870366</v>
      </c>
      <c r="F568" s="6" t="s">
        <v>17</v>
      </c>
      <c r="G568" s="6" t="s">
        <v>17</v>
      </c>
      <c r="H568" s="6" t="s">
        <v>2016</v>
      </c>
      <c r="I568" s="6" t="s">
        <v>16</v>
      </c>
      <c r="J568" s="6" t="s">
        <v>2017</v>
      </c>
      <c r="K568" s="6" t="s">
        <v>374</v>
      </c>
      <c r="L568" s="6" t="s">
        <v>374</v>
      </c>
      <c r="M568" s="14">
        <v>45909.708333333343</v>
      </c>
      <c r="N568" s="6" t="s">
        <v>2018</v>
      </c>
      <c r="O568" s="6" t="s">
        <v>91</v>
      </c>
      <c r="P568" s="6" t="s">
        <v>276</v>
      </c>
      <c r="Q568" s="6" t="s">
        <v>268</v>
      </c>
      <c r="R568" s="6" t="s">
        <v>269</v>
      </c>
      <c r="S568" s="6" t="s">
        <v>9</v>
      </c>
      <c r="T568" s="6" t="s">
        <v>254</v>
      </c>
      <c r="U568" s="6" t="s">
        <v>134</v>
      </c>
      <c r="V568" s="6" t="s">
        <v>524</v>
      </c>
      <c r="W568" s="6" t="s">
        <v>391</v>
      </c>
      <c r="X568" s="6" t="s">
        <v>2019</v>
      </c>
      <c r="Y568" s="6" t="s">
        <v>91</v>
      </c>
      <c r="Z568" s="6" t="s">
        <v>76</v>
      </c>
      <c r="AA568" s="6" t="s">
        <v>91</v>
      </c>
      <c r="AB568" s="6">
        <v>1971</v>
      </c>
      <c r="AC568" s="6">
        <v>0</v>
      </c>
      <c r="AD568" s="6">
        <v>0</v>
      </c>
      <c r="AE568" s="6">
        <v>0</v>
      </c>
      <c r="AF568" s="6">
        <v>0</v>
      </c>
      <c r="AG568" s="6">
        <v>0</v>
      </c>
      <c r="AH568" s="6">
        <v>0</v>
      </c>
      <c r="AI568" s="6" t="s">
        <v>288</v>
      </c>
      <c r="AJ568" s="6" t="s">
        <v>1516</v>
      </c>
      <c r="AK568" s="6" t="s">
        <v>16</v>
      </c>
      <c r="AL568" s="6" t="s">
        <v>59</v>
      </c>
      <c r="AM568" s="6" t="s">
        <v>67</v>
      </c>
      <c r="AN568" s="6" t="s">
        <v>20</v>
      </c>
      <c r="AO568" s="6" t="s">
        <v>272</v>
      </c>
      <c r="AP568" s="6" t="s">
        <v>273</v>
      </c>
      <c r="AQ568" s="6" t="s">
        <v>34</v>
      </c>
    </row>
    <row r="569" spans="1:43" x14ac:dyDescent="0.25">
      <c r="A569" s="6">
        <v>22912002</v>
      </c>
      <c r="B569" s="6">
        <v>23685092</v>
      </c>
      <c r="C569" s="6" t="s">
        <v>248</v>
      </c>
      <c r="D569" s="14">
        <v>45911.903275462973</v>
      </c>
      <c r="E569" s="14">
        <v>45912.22252314815</v>
      </c>
      <c r="F569" s="6" t="s">
        <v>17</v>
      </c>
      <c r="G569" s="6" t="s">
        <v>17</v>
      </c>
      <c r="H569" s="6" t="s">
        <v>2020</v>
      </c>
      <c r="I569" s="6" t="s">
        <v>16</v>
      </c>
      <c r="J569" s="6" t="s">
        <v>2021</v>
      </c>
      <c r="K569" s="6" t="s">
        <v>374</v>
      </c>
      <c r="L569" s="6" t="s">
        <v>374</v>
      </c>
      <c r="M569" s="14">
        <v>45911.678472222222</v>
      </c>
      <c r="N569" s="6" t="s">
        <v>2022</v>
      </c>
      <c r="O569" s="6" t="s">
        <v>91</v>
      </c>
      <c r="P569" s="6" t="s">
        <v>276</v>
      </c>
      <c r="Q569" s="6" t="s">
        <v>253</v>
      </c>
      <c r="R569" s="6" t="s">
        <v>253</v>
      </c>
      <c r="S569" s="6" t="s">
        <v>9</v>
      </c>
      <c r="T569" s="6" t="s">
        <v>254</v>
      </c>
      <c r="U569" s="6" t="s">
        <v>134</v>
      </c>
      <c r="V569" s="6" t="s">
        <v>524</v>
      </c>
      <c r="W569" s="6" t="s">
        <v>391</v>
      </c>
      <c r="X569" s="6" t="s">
        <v>2023</v>
      </c>
      <c r="Y569" s="6" t="s">
        <v>91</v>
      </c>
      <c r="Z569" s="6" t="s">
        <v>76</v>
      </c>
      <c r="AA569" s="6" t="s">
        <v>91</v>
      </c>
      <c r="AB569" s="6">
        <v>405.99</v>
      </c>
      <c r="AC569" s="6">
        <v>20.3</v>
      </c>
      <c r="AD569" s="6">
        <v>0</v>
      </c>
      <c r="AE569" s="6">
        <v>0</v>
      </c>
      <c r="AF569" s="6">
        <v>0</v>
      </c>
      <c r="AG569" s="6">
        <v>0</v>
      </c>
      <c r="AH569" s="6">
        <v>13</v>
      </c>
      <c r="AI569" s="6" t="s">
        <v>288</v>
      </c>
      <c r="AJ569" s="6" t="s">
        <v>1516</v>
      </c>
      <c r="AK569" s="6" t="s">
        <v>16</v>
      </c>
      <c r="AL569" s="6" t="s">
        <v>59</v>
      </c>
      <c r="AM569" s="6" t="s">
        <v>67</v>
      </c>
      <c r="AN569" s="6" t="s">
        <v>20</v>
      </c>
      <c r="AO569" s="6" t="s">
        <v>272</v>
      </c>
      <c r="AP569" s="6" t="s">
        <v>273</v>
      </c>
      <c r="AQ569" s="6" t="s">
        <v>34</v>
      </c>
    </row>
    <row r="570" spans="1:43" x14ac:dyDescent="0.25">
      <c r="A570" s="6">
        <v>22834448</v>
      </c>
      <c r="B570" s="6">
        <v>23619168</v>
      </c>
      <c r="C570" s="6" t="s">
        <v>248</v>
      </c>
      <c r="D570" s="14">
        <v>45898.62363425926</v>
      </c>
      <c r="E570" s="14">
        <v>45903.58699074074</v>
      </c>
      <c r="F570" s="6" t="s">
        <v>23</v>
      </c>
      <c r="G570" s="6" t="s">
        <v>23</v>
      </c>
      <c r="H570" s="6" t="s">
        <v>2024</v>
      </c>
      <c r="I570" s="6" t="s">
        <v>15</v>
      </c>
      <c r="J570" s="6" t="s">
        <v>2025</v>
      </c>
      <c r="K570" s="6" t="s">
        <v>344</v>
      </c>
      <c r="L570" s="6" t="s">
        <v>2026</v>
      </c>
      <c r="M570" s="14">
        <v>45897.54583333333</v>
      </c>
      <c r="N570" s="6">
        <v>3972</v>
      </c>
      <c r="O570" s="6" t="s">
        <v>2027</v>
      </c>
      <c r="P570" s="6" t="s">
        <v>252</v>
      </c>
      <c r="Q570" s="6" t="s">
        <v>268</v>
      </c>
      <c r="R570" s="6" t="s">
        <v>269</v>
      </c>
      <c r="S570" s="6" t="s">
        <v>8</v>
      </c>
      <c r="T570" s="6" t="s">
        <v>1859</v>
      </c>
      <c r="U570" s="6" t="s">
        <v>125</v>
      </c>
      <c r="V570" s="6" t="s">
        <v>340</v>
      </c>
      <c r="W570" s="6" t="s">
        <v>91</v>
      </c>
      <c r="X570" s="6" t="s">
        <v>2028</v>
      </c>
      <c r="Y570" s="6" t="s">
        <v>91</v>
      </c>
      <c r="Z570" s="6" t="s">
        <v>68</v>
      </c>
      <c r="AA570" s="6" t="s">
        <v>91</v>
      </c>
      <c r="AB570" s="6">
        <v>564.78</v>
      </c>
      <c r="AC570" s="6">
        <v>0</v>
      </c>
      <c r="AD570" s="6">
        <v>0</v>
      </c>
      <c r="AE570" s="6">
        <v>0</v>
      </c>
      <c r="AF570" s="6">
        <v>0</v>
      </c>
      <c r="AG570" s="6">
        <v>0</v>
      </c>
      <c r="AH570" s="6">
        <v>0</v>
      </c>
      <c r="AI570" s="6" t="s">
        <v>2029</v>
      </c>
      <c r="AJ570" s="6" t="s">
        <v>1935</v>
      </c>
      <c r="AK570" s="6" t="s">
        <v>15</v>
      </c>
      <c r="AL570" s="6" t="s">
        <v>67</v>
      </c>
      <c r="AM570" s="6" t="s">
        <v>53</v>
      </c>
      <c r="AN570" s="6" t="s">
        <v>20</v>
      </c>
      <c r="AO570" s="6" t="s">
        <v>259</v>
      </c>
      <c r="AP570" s="6" t="s">
        <v>273</v>
      </c>
      <c r="AQ570" s="6" t="s">
        <v>18</v>
      </c>
    </row>
    <row r="571" spans="1:43" x14ac:dyDescent="0.25">
      <c r="A571" s="6">
        <v>22826117</v>
      </c>
      <c r="B571" s="6">
        <v>23611361</v>
      </c>
      <c r="C571" s="6" t="s">
        <v>248</v>
      </c>
      <c r="D571" s="14">
        <v>45897.42763888889</v>
      </c>
      <c r="E571" s="14">
        <v>45903.573425925933</v>
      </c>
      <c r="F571" s="6" t="s">
        <v>23</v>
      </c>
      <c r="G571" s="6" t="s">
        <v>23</v>
      </c>
      <c r="H571" s="6" t="s">
        <v>2030</v>
      </c>
      <c r="I571" s="6" t="s">
        <v>15</v>
      </c>
      <c r="J571" s="6" t="s">
        <v>2025</v>
      </c>
      <c r="K571" s="6" t="s">
        <v>344</v>
      </c>
      <c r="L571" s="6" t="s">
        <v>344</v>
      </c>
      <c r="M571" s="14">
        <v>45896.54583333333</v>
      </c>
      <c r="N571" s="6">
        <v>3972</v>
      </c>
      <c r="O571" s="6" t="s">
        <v>2027</v>
      </c>
      <c r="P571" s="6" t="s">
        <v>252</v>
      </c>
      <c r="Q571" s="6" t="s">
        <v>268</v>
      </c>
      <c r="R571" s="6" t="s">
        <v>269</v>
      </c>
      <c r="S571" s="6" t="s">
        <v>8</v>
      </c>
      <c r="T571" s="6" t="s">
        <v>254</v>
      </c>
      <c r="U571" s="6" t="s">
        <v>125</v>
      </c>
      <c r="V571" s="6" t="s">
        <v>340</v>
      </c>
      <c r="W571" s="6" t="s">
        <v>91</v>
      </c>
      <c r="X571" s="6" t="s">
        <v>2028</v>
      </c>
      <c r="Y571" s="6" t="s">
        <v>91</v>
      </c>
      <c r="Z571" s="6" t="s">
        <v>68</v>
      </c>
      <c r="AA571" s="6" t="s">
        <v>91</v>
      </c>
      <c r="AB571" s="6">
        <v>564.78</v>
      </c>
      <c r="AC571" s="6">
        <v>0</v>
      </c>
      <c r="AD571" s="6">
        <v>0</v>
      </c>
      <c r="AE571" s="6">
        <v>0</v>
      </c>
      <c r="AF571" s="6">
        <v>0</v>
      </c>
      <c r="AG571" s="6">
        <v>0</v>
      </c>
      <c r="AH571" s="6">
        <v>0</v>
      </c>
      <c r="AI571" s="6" t="s">
        <v>2029</v>
      </c>
      <c r="AJ571" s="6" t="s">
        <v>1935</v>
      </c>
      <c r="AK571" s="6" t="s">
        <v>15</v>
      </c>
      <c r="AL571" s="6" t="s">
        <v>67</v>
      </c>
      <c r="AM571" s="6" t="s">
        <v>53</v>
      </c>
      <c r="AN571" s="6" t="s">
        <v>20</v>
      </c>
      <c r="AO571" s="6" t="s">
        <v>259</v>
      </c>
      <c r="AP571" s="6" t="s">
        <v>273</v>
      </c>
      <c r="AQ571" s="6" t="s">
        <v>18</v>
      </c>
    </row>
    <row r="572" spans="1:43" x14ac:dyDescent="0.25">
      <c r="A572" s="6">
        <v>22911994</v>
      </c>
      <c r="B572" s="6">
        <v>23685081</v>
      </c>
      <c r="C572" s="6" t="s">
        <v>248</v>
      </c>
      <c r="D572" s="14">
        <v>45911.901643518519</v>
      </c>
      <c r="E572" s="14">
        <v>45911.906701388893</v>
      </c>
      <c r="F572" s="6" t="s">
        <v>17</v>
      </c>
      <c r="G572" s="6" t="s">
        <v>17</v>
      </c>
      <c r="H572" s="6" t="s">
        <v>2031</v>
      </c>
      <c r="I572" s="6" t="s">
        <v>16</v>
      </c>
      <c r="J572" s="6" t="s">
        <v>1654</v>
      </c>
      <c r="K572" s="6" t="s">
        <v>1655</v>
      </c>
      <c r="L572" s="6" t="s">
        <v>1655</v>
      </c>
      <c r="M572" s="14">
        <v>45910.55</v>
      </c>
      <c r="N572" s="6" t="s">
        <v>1653</v>
      </c>
      <c r="O572" s="6" t="s">
        <v>91</v>
      </c>
      <c r="P572" s="6" t="s">
        <v>276</v>
      </c>
      <c r="Q572" s="6" t="s">
        <v>253</v>
      </c>
      <c r="R572" s="6" t="s">
        <v>253</v>
      </c>
      <c r="S572" s="6" t="s">
        <v>9</v>
      </c>
      <c r="T572" s="6" t="s">
        <v>254</v>
      </c>
      <c r="U572" s="6" t="s">
        <v>118</v>
      </c>
      <c r="V572" s="6" t="s">
        <v>1214</v>
      </c>
      <c r="W572" s="6" t="s">
        <v>91</v>
      </c>
      <c r="X572" s="6" t="s">
        <v>2032</v>
      </c>
      <c r="Y572" s="6" t="s">
        <v>91</v>
      </c>
      <c r="Z572" s="6" t="s">
        <v>58</v>
      </c>
      <c r="AA572" s="6" t="s">
        <v>91</v>
      </c>
      <c r="AB572" s="6">
        <v>2030</v>
      </c>
      <c r="AC572" s="6">
        <v>101.5</v>
      </c>
      <c r="AD572" s="6">
        <v>0</v>
      </c>
      <c r="AE572" s="6">
        <v>0</v>
      </c>
      <c r="AF572" s="6">
        <v>0</v>
      </c>
      <c r="AG572" s="6">
        <v>0</v>
      </c>
      <c r="AH572" s="6">
        <v>0</v>
      </c>
      <c r="AI572" s="6" t="s">
        <v>288</v>
      </c>
      <c r="AJ572" s="6" t="s">
        <v>482</v>
      </c>
      <c r="AK572" s="6" t="s">
        <v>16</v>
      </c>
      <c r="AL572" s="6" t="s">
        <v>53</v>
      </c>
      <c r="AM572" s="6" t="s">
        <v>67</v>
      </c>
      <c r="AN572" s="6" t="s">
        <v>20</v>
      </c>
      <c r="AO572" s="6" t="s">
        <v>272</v>
      </c>
      <c r="AP572" s="6" t="s">
        <v>273</v>
      </c>
      <c r="AQ572" s="6" t="s">
        <v>90</v>
      </c>
    </row>
    <row r="573" spans="1:43" x14ac:dyDescent="0.25">
      <c r="A573" s="6">
        <v>22902605</v>
      </c>
      <c r="B573" s="6">
        <v>23676677</v>
      </c>
      <c r="C573" s="6" t="s">
        <v>248</v>
      </c>
      <c r="D573" s="14">
        <v>45910.622361111113</v>
      </c>
      <c r="E573" s="14">
        <v>45911.168055555558</v>
      </c>
      <c r="F573" s="6" t="s">
        <v>17</v>
      </c>
      <c r="G573" s="6" t="s">
        <v>17</v>
      </c>
      <c r="H573" s="6" t="s">
        <v>2033</v>
      </c>
      <c r="I573" s="6" t="s">
        <v>13</v>
      </c>
      <c r="J573" s="6" t="s">
        <v>2034</v>
      </c>
      <c r="K573" s="6" t="s">
        <v>2035</v>
      </c>
      <c r="L573" s="6" t="s">
        <v>2035</v>
      </c>
      <c r="M573" s="14">
        <v>45910.611805555563</v>
      </c>
      <c r="N573" s="6">
        <v>4595529</v>
      </c>
      <c r="O573" s="6" t="s">
        <v>91</v>
      </c>
      <c r="P573" s="6" t="s">
        <v>252</v>
      </c>
      <c r="Q573" s="6" t="s">
        <v>268</v>
      </c>
      <c r="R573" s="6" t="s">
        <v>253</v>
      </c>
      <c r="S573" s="6" t="s">
        <v>9</v>
      </c>
      <c r="T573" s="6" t="s">
        <v>254</v>
      </c>
      <c r="U573" s="6" t="s">
        <v>152</v>
      </c>
      <c r="V573" s="6" t="s">
        <v>1178</v>
      </c>
      <c r="W573" s="6" t="s">
        <v>91</v>
      </c>
      <c r="X573" s="6" t="s">
        <v>2036</v>
      </c>
      <c r="Y573" s="6" t="s">
        <v>91</v>
      </c>
      <c r="Z573" s="6" t="s">
        <v>92</v>
      </c>
      <c r="AA573" s="6" t="s">
        <v>91</v>
      </c>
      <c r="AB573" s="6">
        <v>680</v>
      </c>
      <c r="AC573" s="6">
        <v>0</v>
      </c>
      <c r="AD573" s="6">
        <v>0</v>
      </c>
      <c r="AE573" s="6">
        <v>0</v>
      </c>
      <c r="AF573" s="6">
        <v>0</v>
      </c>
      <c r="AG573" s="6">
        <v>0</v>
      </c>
      <c r="AH573" s="6">
        <v>0</v>
      </c>
      <c r="AI573" s="6" t="s">
        <v>2037</v>
      </c>
      <c r="AJ573" s="6" t="s">
        <v>1611</v>
      </c>
      <c r="AK573" s="6" t="s">
        <v>13</v>
      </c>
      <c r="AL573" s="6" t="s">
        <v>65</v>
      </c>
      <c r="AM573" s="6" t="s">
        <v>394</v>
      </c>
      <c r="AN573" s="6" t="s">
        <v>20</v>
      </c>
      <c r="AO573" s="6" t="s">
        <v>272</v>
      </c>
      <c r="AP573" s="6" t="s">
        <v>273</v>
      </c>
      <c r="AQ573" s="6" t="s">
        <v>34</v>
      </c>
    </row>
    <row r="574" spans="1:43" x14ac:dyDescent="0.25">
      <c r="A574" s="6">
        <v>22829835</v>
      </c>
      <c r="B574" s="6">
        <v>23615261</v>
      </c>
      <c r="C574" s="6" t="s">
        <v>248</v>
      </c>
      <c r="D574" s="14">
        <v>45897.78837962963</v>
      </c>
      <c r="E574" s="14">
        <v>45897.792592592603</v>
      </c>
      <c r="F574" s="6" t="s">
        <v>23</v>
      </c>
      <c r="G574" s="6" t="s">
        <v>23</v>
      </c>
      <c r="H574" s="6">
        <v>5007631</v>
      </c>
      <c r="I574" s="6" t="s">
        <v>13</v>
      </c>
      <c r="J574" s="6" t="s">
        <v>2038</v>
      </c>
      <c r="K574" s="6" t="s">
        <v>300</v>
      </c>
      <c r="L574" s="6" t="s">
        <v>300</v>
      </c>
      <c r="M574" s="14">
        <v>45897</v>
      </c>
      <c r="N574" s="6">
        <v>4589678</v>
      </c>
      <c r="O574" s="6" t="s">
        <v>91</v>
      </c>
      <c r="P574" s="6" t="s">
        <v>252</v>
      </c>
      <c r="Q574" s="6" t="s">
        <v>268</v>
      </c>
      <c r="R574" s="6" t="s">
        <v>269</v>
      </c>
      <c r="S574" s="6" t="s">
        <v>9</v>
      </c>
      <c r="T574" s="6" t="s">
        <v>254</v>
      </c>
      <c r="U574" s="6" t="s">
        <v>148</v>
      </c>
      <c r="V574" s="6" t="s">
        <v>2039</v>
      </c>
      <c r="W574" s="6" t="s">
        <v>91</v>
      </c>
      <c r="X574" s="6" t="s">
        <v>2040</v>
      </c>
      <c r="Y574" s="6" t="s">
        <v>91</v>
      </c>
      <c r="Z574" s="6" t="s">
        <v>87</v>
      </c>
      <c r="AA574" s="6" t="s">
        <v>91</v>
      </c>
      <c r="AB574" s="6">
        <v>724.5</v>
      </c>
      <c r="AC574" s="6">
        <v>0</v>
      </c>
      <c r="AD574" s="6">
        <v>0</v>
      </c>
      <c r="AE574" s="6">
        <v>0</v>
      </c>
      <c r="AF574" s="6">
        <v>0</v>
      </c>
      <c r="AG574" s="6">
        <v>0</v>
      </c>
      <c r="AH574" s="6">
        <v>0</v>
      </c>
      <c r="AI574" s="6" t="s">
        <v>2041</v>
      </c>
      <c r="AJ574" s="6" t="s">
        <v>2042</v>
      </c>
      <c r="AK574" s="6" t="s">
        <v>13</v>
      </c>
      <c r="AL574" s="6" t="s">
        <v>63</v>
      </c>
      <c r="AM574" s="6" t="s">
        <v>1581</v>
      </c>
      <c r="AN574" s="6" t="s">
        <v>20</v>
      </c>
      <c r="AO574" s="6" t="s">
        <v>272</v>
      </c>
      <c r="AP574" s="6" t="s">
        <v>273</v>
      </c>
      <c r="AQ574" s="6" t="s">
        <v>18</v>
      </c>
    </row>
    <row r="575" spans="1:43" x14ac:dyDescent="0.25">
      <c r="A575" s="6">
        <v>22905638</v>
      </c>
      <c r="B575" s="6">
        <v>23679590</v>
      </c>
      <c r="C575" s="6" t="s">
        <v>638</v>
      </c>
      <c r="D575" s="14">
        <v>45910.948472222219</v>
      </c>
      <c r="E575" s="14">
        <v>45910.953553240739</v>
      </c>
      <c r="F575" s="6" t="s">
        <v>17</v>
      </c>
      <c r="G575" s="6" t="s">
        <v>17</v>
      </c>
      <c r="H575" s="6" t="s">
        <v>1266</v>
      </c>
      <c r="I575" s="6" t="s">
        <v>16</v>
      </c>
      <c r="J575" s="6" t="s">
        <v>1258</v>
      </c>
      <c r="K575" s="6" t="s">
        <v>1212</v>
      </c>
      <c r="L575" s="6" t="s">
        <v>1212</v>
      </c>
      <c r="M575" s="14">
        <v>45905.595138888893</v>
      </c>
      <c r="N575" s="6" t="s">
        <v>1267</v>
      </c>
      <c r="O575" s="6" t="s">
        <v>91</v>
      </c>
      <c r="P575" s="6" t="s">
        <v>252</v>
      </c>
      <c r="Q575" s="6" t="s">
        <v>253</v>
      </c>
      <c r="R575" s="6" t="s">
        <v>253</v>
      </c>
      <c r="S575" s="6" t="s">
        <v>9</v>
      </c>
      <c r="T575" s="6" t="s">
        <v>254</v>
      </c>
      <c r="U575" s="6" t="s">
        <v>118</v>
      </c>
      <c r="V575" s="6" t="s">
        <v>1214</v>
      </c>
      <c r="W575" s="6" t="s">
        <v>91</v>
      </c>
      <c r="X575" s="6" t="s">
        <v>2043</v>
      </c>
      <c r="Y575" s="6" t="s">
        <v>91</v>
      </c>
      <c r="Z575" s="6" t="s">
        <v>58</v>
      </c>
      <c r="AA575" s="6" t="s">
        <v>91</v>
      </c>
      <c r="AB575" s="6">
        <v>170</v>
      </c>
      <c r="AC575" s="6">
        <v>0</v>
      </c>
      <c r="AD575" s="6">
        <v>0</v>
      </c>
      <c r="AE575" s="6">
        <v>0</v>
      </c>
      <c r="AF575" s="6">
        <v>0</v>
      </c>
      <c r="AG575" s="6">
        <v>0</v>
      </c>
      <c r="AH575" s="6">
        <v>0</v>
      </c>
      <c r="AI575" s="6" t="s">
        <v>288</v>
      </c>
      <c r="AJ575" s="6" t="s">
        <v>257</v>
      </c>
      <c r="AK575" s="6" t="s">
        <v>16</v>
      </c>
      <c r="AL575" s="6" t="s">
        <v>48</v>
      </c>
      <c r="AM575" s="6" t="s">
        <v>258</v>
      </c>
      <c r="AN575" s="6" t="s">
        <v>20</v>
      </c>
      <c r="AO575" s="6" t="s">
        <v>272</v>
      </c>
      <c r="AP575" s="6" t="s">
        <v>273</v>
      </c>
      <c r="AQ575" s="6" t="s">
        <v>18</v>
      </c>
    </row>
    <row r="576" spans="1:43" x14ac:dyDescent="0.25">
      <c r="A576" s="6">
        <v>22876719</v>
      </c>
      <c r="B576" s="6">
        <v>23655327</v>
      </c>
      <c r="C576" s="6" t="s">
        <v>248</v>
      </c>
      <c r="D576" s="14">
        <v>45905.751921296287</v>
      </c>
      <c r="E576" s="14">
        <v>45905.754872685182</v>
      </c>
      <c r="F576" s="6" t="s">
        <v>21</v>
      </c>
      <c r="G576" s="6" t="s">
        <v>21</v>
      </c>
      <c r="H576" s="6" t="s">
        <v>2044</v>
      </c>
      <c r="I576" s="6" t="s">
        <v>14</v>
      </c>
      <c r="J576" s="6" t="s">
        <v>2045</v>
      </c>
      <c r="K576" s="6" t="s">
        <v>2046</v>
      </c>
      <c r="L576" s="6" t="s">
        <v>2046</v>
      </c>
      <c r="M576" s="14">
        <v>45905</v>
      </c>
      <c r="N576" s="6">
        <v>17474494</v>
      </c>
      <c r="O576" s="6" t="s">
        <v>91</v>
      </c>
      <c r="P576" s="6" t="s">
        <v>276</v>
      </c>
      <c r="Q576" s="6" t="s">
        <v>268</v>
      </c>
      <c r="R576" s="6" t="s">
        <v>269</v>
      </c>
      <c r="S576" s="6" t="s">
        <v>9</v>
      </c>
      <c r="T576" s="6" t="s">
        <v>254</v>
      </c>
      <c r="U576" s="6" t="s">
        <v>186</v>
      </c>
      <c r="V576" s="6" t="s">
        <v>1547</v>
      </c>
      <c r="W576" s="6" t="s">
        <v>91</v>
      </c>
      <c r="X576" s="6" t="s">
        <v>2047</v>
      </c>
      <c r="Y576" s="6" t="s">
        <v>91</v>
      </c>
      <c r="Z576" s="6" t="s">
        <v>137</v>
      </c>
      <c r="AA576" s="6" t="s">
        <v>91</v>
      </c>
      <c r="AB576" s="6">
        <v>300</v>
      </c>
      <c r="AC576" s="6">
        <v>0</v>
      </c>
      <c r="AD576" s="6">
        <v>0</v>
      </c>
      <c r="AE576" s="6">
        <v>0</v>
      </c>
      <c r="AF576" s="6">
        <v>0</v>
      </c>
      <c r="AG576" s="6">
        <v>0</v>
      </c>
      <c r="AH576" s="6">
        <v>0</v>
      </c>
      <c r="AI576" s="6" t="s">
        <v>2048</v>
      </c>
      <c r="AJ576" s="6" t="s">
        <v>1819</v>
      </c>
      <c r="AK576" s="6" t="s">
        <v>14</v>
      </c>
      <c r="AL576" s="6" t="s">
        <v>69</v>
      </c>
      <c r="AM576" s="6" t="s">
        <v>67</v>
      </c>
      <c r="AN576" s="6" t="s">
        <v>20</v>
      </c>
      <c r="AO576" s="6" t="s">
        <v>272</v>
      </c>
      <c r="AP576" s="6" t="s">
        <v>273</v>
      </c>
      <c r="AQ576" s="6" t="s">
        <v>90</v>
      </c>
    </row>
    <row r="577" spans="1:43" x14ac:dyDescent="0.25">
      <c r="A577" s="6">
        <v>22833314</v>
      </c>
      <c r="B577" s="6">
        <v>23618084</v>
      </c>
      <c r="C577" s="6" t="s">
        <v>248</v>
      </c>
      <c r="D577" s="14">
        <v>45898.498182870368</v>
      </c>
      <c r="E577" s="14">
        <v>45898.538321759261</v>
      </c>
      <c r="F577" s="6" t="s">
        <v>23</v>
      </c>
      <c r="G577" s="6" t="s">
        <v>23</v>
      </c>
      <c r="H577" s="6">
        <v>19779693</v>
      </c>
      <c r="I577" s="6" t="s">
        <v>13</v>
      </c>
      <c r="J577" s="6" t="s">
        <v>2049</v>
      </c>
      <c r="K577" s="6" t="s">
        <v>275</v>
      </c>
      <c r="L577" s="6" t="s">
        <v>275</v>
      </c>
      <c r="M577" s="14">
        <v>45898.488888888889</v>
      </c>
      <c r="N577" s="6">
        <v>4590013</v>
      </c>
      <c r="O577" s="6" t="s">
        <v>91</v>
      </c>
      <c r="P577" s="6" t="s">
        <v>276</v>
      </c>
      <c r="Q577" s="6" t="s">
        <v>318</v>
      </c>
      <c r="R577" s="6" t="s">
        <v>318</v>
      </c>
      <c r="S577" s="6" t="s">
        <v>9</v>
      </c>
      <c r="T577" s="6" t="s">
        <v>254</v>
      </c>
      <c r="U577" s="6" t="s">
        <v>170</v>
      </c>
      <c r="V577" s="6" t="s">
        <v>2050</v>
      </c>
      <c r="W577" s="6" t="s">
        <v>391</v>
      </c>
      <c r="X577" s="6" t="s">
        <v>2051</v>
      </c>
      <c r="Y577" s="6" t="s">
        <v>91</v>
      </c>
      <c r="Z577" s="6" t="s">
        <v>98</v>
      </c>
      <c r="AA577" s="6" t="s">
        <v>91</v>
      </c>
      <c r="AB577" s="6">
        <v>1080</v>
      </c>
      <c r="AC577" s="6">
        <v>32.4</v>
      </c>
      <c r="AD577" s="6">
        <v>0</v>
      </c>
      <c r="AE577" s="6">
        <v>0</v>
      </c>
      <c r="AF577" s="6">
        <v>0</v>
      </c>
      <c r="AG577" s="6">
        <v>0</v>
      </c>
      <c r="AH577" s="6">
        <v>0</v>
      </c>
      <c r="AI577" s="6" t="s">
        <v>2052</v>
      </c>
      <c r="AJ577" s="6" t="s">
        <v>393</v>
      </c>
      <c r="AK577" s="6" t="s">
        <v>13</v>
      </c>
      <c r="AL577" s="6" t="s">
        <v>61</v>
      </c>
      <c r="AM577" s="6" t="s">
        <v>394</v>
      </c>
      <c r="AN577" s="6" t="s">
        <v>20</v>
      </c>
      <c r="AO577" s="6" t="s">
        <v>259</v>
      </c>
      <c r="AP577" s="6" t="s">
        <v>260</v>
      </c>
      <c r="AQ577" s="6" t="s">
        <v>31</v>
      </c>
    </row>
    <row r="578" spans="1:43" x14ac:dyDescent="0.25">
      <c r="A578" s="6">
        <v>22847886</v>
      </c>
      <c r="B578" s="6">
        <v>23629437</v>
      </c>
      <c r="C578" s="6" t="s">
        <v>248</v>
      </c>
      <c r="D578" s="14">
        <v>45901.54047453704</v>
      </c>
      <c r="E578" s="14">
        <v>45902.819988425923</v>
      </c>
      <c r="F578" s="6" t="s">
        <v>23</v>
      </c>
      <c r="G578" s="6" t="s">
        <v>23</v>
      </c>
      <c r="H578" s="6" t="s">
        <v>2053</v>
      </c>
      <c r="I578" s="6" t="s">
        <v>337</v>
      </c>
      <c r="J578" s="6" t="s">
        <v>2054</v>
      </c>
      <c r="K578" s="6" t="s">
        <v>2055</v>
      </c>
      <c r="L578" s="6" t="s">
        <v>2055</v>
      </c>
      <c r="M578" s="14">
        <v>45901.511111111111</v>
      </c>
      <c r="N578" s="6">
        <v>11375</v>
      </c>
      <c r="O578" s="6" t="s">
        <v>2056</v>
      </c>
      <c r="P578" s="6" t="s">
        <v>252</v>
      </c>
      <c r="Q578" s="6" t="s">
        <v>268</v>
      </c>
      <c r="R578" s="6" t="s">
        <v>269</v>
      </c>
      <c r="S578" s="6" t="s">
        <v>8</v>
      </c>
      <c r="T578" s="6" t="s">
        <v>254</v>
      </c>
      <c r="U578" s="6" t="s">
        <v>125</v>
      </c>
      <c r="V578" s="6" t="s">
        <v>340</v>
      </c>
      <c r="W578" s="6" t="s">
        <v>91</v>
      </c>
      <c r="X578" s="6" t="s">
        <v>2057</v>
      </c>
      <c r="Y578" s="6" t="s">
        <v>91</v>
      </c>
      <c r="Z578" s="6" t="s">
        <v>68</v>
      </c>
      <c r="AA578" s="6" t="s">
        <v>91</v>
      </c>
      <c r="AB578" s="6">
        <v>3048</v>
      </c>
      <c r="AC578" s="6">
        <v>0</v>
      </c>
      <c r="AD578" s="6">
        <v>0</v>
      </c>
      <c r="AE578" s="6">
        <v>0</v>
      </c>
      <c r="AF578" s="6">
        <v>0</v>
      </c>
      <c r="AG578" s="6">
        <v>0</v>
      </c>
      <c r="AH578" s="6">
        <v>0</v>
      </c>
      <c r="AI578" s="6" t="s">
        <v>2058</v>
      </c>
      <c r="AJ578" s="6" t="s">
        <v>1935</v>
      </c>
      <c r="AK578" s="6" t="s">
        <v>12</v>
      </c>
      <c r="AL578" s="6" t="s">
        <v>67</v>
      </c>
      <c r="AM578" s="6" t="s">
        <v>53</v>
      </c>
      <c r="AN578" s="6" t="s">
        <v>20</v>
      </c>
      <c r="AO578" s="6" t="s">
        <v>259</v>
      </c>
      <c r="AP578" s="6" t="s">
        <v>273</v>
      </c>
      <c r="AQ578" s="6" t="s">
        <v>18</v>
      </c>
    </row>
    <row r="579" spans="1:43" x14ac:dyDescent="0.25">
      <c r="A579" s="6">
        <v>22815024</v>
      </c>
      <c r="B579" s="6">
        <v>23601789</v>
      </c>
      <c r="C579" s="6" t="s">
        <v>248</v>
      </c>
      <c r="D579" s="14">
        <v>45895.689432870371</v>
      </c>
      <c r="E579" s="14">
        <v>45895.694224537037</v>
      </c>
      <c r="F579" s="46" t="s">
        <v>25</v>
      </c>
      <c r="G579" s="46" t="s">
        <v>25</v>
      </c>
      <c r="H579" s="6" t="s">
        <v>1277</v>
      </c>
      <c r="I579" s="6" t="s">
        <v>16</v>
      </c>
      <c r="J579" s="6" t="s">
        <v>1275</v>
      </c>
      <c r="K579" s="6" t="s">
        <v>1212</v>
      </c>
      <c r="L579" s="6" t="s">
        <v>1212</v>
      </c>
      <c r="M579" s="14">
        <v>45895.6</v>
      </c>
      <c r="N579" s="6" t="s">
        <v>1278</v>
      </c>
      <c r="O579" s="6" t="s">
        <v>91</v>
      </c>
      <c r="P579" s="6" t="s">
        <v>252</v>
      </c>
      <c r="Q579" s="6" t="s">
        <v>253</v>
      </c>
      <c r="R579" s="6" t="s">
        <v>253</v>
      </c>
      <c r="S579" s="6" t="s">
        <v>9</v>
      </c>
      <c r="T579" s="6" t="s">
        <v>254</v>
      </c>
      <c r="U579" s="6" t="s">
        <v>118</v>
      </c>
      <c r="V579" s="6" t="s">
        <v>1214</v>
      </c>
      <c r="W579" s="6" t="s">
        <v>91</v>
      </c>
      <c r="X579" s="6" t="s">
        <v>2059</v>
      </c>
      <c r="Y579" s="6" t="s">
        <v>91</v>
      </c>
      <c r="Z579" s="6" t="s">
        <v>58</v>
      </c>
      <c r="AA579" s="6" t="s">
        <v>91</v>
      </c>
      <c r="AB579" s="6">
        <v>294</v>
      </c>
      <c r="AC579" s="6">
        <v>0</v>
      </c>
      <c r="AD579" s="6">
        <v>0</v>
      </c>
      <c r="AE579" s="6">
        <v>0</v>
      </c>
      <c r="AF579" s="6">
        <v>0</v>
      </c>
      <c r="AG579" s="6">
        <v>0</v>
      </c>
      <c r="AH579" s="6">
        <v>0</v>
      </c>
      <c r="AI579" s="6" t="s">
        <v>288</v>
      </c>
      <c r="AJ579" s="6" t="s">
        <v>692</v>
      </c>
      <c r="AK579" s="6" t="s">
        <v>16</v>
      </c>
      <c r="AL579" s="6" t="s">
        <v>48</v>
      </c>
      <c r="AM579" s="6" t="s">
        <v>258</v>
      </c>
      <c r="AN579" s="6" t="s">
        <v>20</v>
      </c>
      <c r="AO579" s="6" t="s">
        <v>272</v>
      </c>
      <c r="AP579" s="6" t="s">
        <v>273</v>
      </c>
      <c r="AQ579" s="6" t="s">
        <v>18</v>
      </c>
    </row>
    <row r="580" spans="1:43" x14ac:dyDescent="0.25">
      <c r="A580" s="6">
        <v>22905638</v>
      </c>
      <c r="B580" s="6">
        <v>23679591</v>
      </c>
      <c r="C580" s="6" t="s">
        <v>639</v>
      </c>
      <c r="D580" s="14">
        <v>45910.948472222219</v>
      </c>
      <c r="E580" s="14">
        <v>45910.953553240739</v>
      </c>
      <c r="F580" s="6" t="s">
        <v>17</v>
      </c>
      <c r="G580" s="6" t="s">
        <v>17</v>
      </c>
      <c r="H580" s="6" t="s">
        <v>1266</v>
      </c>
      <c r="I580" s="6" t="s">
        <v>16</v>
      </c>
      <c r="J580" s="6" t="s">
        <v>1258</v>
      </c>
      <c r="K580" s="6" t="s">
        <v>1212</v>
      </c>
      <c r="L580" s="6" t="s">
        <v>1212</v>
      </c>
      <c r="M580" s="14">
        <v>45905.595138888893</v>
      </c>
      <c r="N580" s="6" t="s">
        <v>1267</v>
      </c>
      <c r="O580" s="6" t="s">
        <v>91</v>
      </c>
      <c r="P580" s="6" t="s">
        <v>252</v>
      </c>
      <c r="Q580" s="6" t="s">
        <v>253</v>
      </c>
      <c r="R580" s="6" t="s">
        <v>253</v>
      </c>
      <c r="S580" s="6" t="s">
        <v>9</v>
      </c>
      <c r="T580" s="6" t="s">
        <v>254</v>
      </c>
      <c r="U580" s="6" t="s">
        <v>118</v>
      </c>
      <c r="V580" s="6" t="s">
        <v>1214</v>
      </c>
      <c r="W580" s="6" t="s">
        <v>91</v>
      </c>
      <c r="X580" s="6" t="s">
        <v>2060</v>
      </c>
      <c r="Y580" s="6" t="s">
        <v>91</v>
      </c>
      <c r="Z580" s="6" t="s">
        <v>58</v>
      </c>
      <c r="AA580" s="6" t="s">
        <v>91</v>
      </c>
      <c r="AB580" s="6">
        <v>225</v>
      </c>
      <c r="AC580" s="6">
        <v>0</v>
      </c>
      <c r="AD580" s="6">
        <v>0</v>
      </c>
      <c r="AE580" s="6">
        <v>0</v>
      </c>
      <c r="AF580" s="6">
        <v>0</v>
      </c>
      <c r="AG580" s="6">
        <v>0</v>
      </c>
      <c r="AH580" s="6">
        <v>0</v>
      </c>
      <c r="AI580" s="6" t="s">
        <v>288</v>
      </c>
      <c r="AJ580" s="6" t="s">
        <v>257</v>
      </c>
      <c r="AK580" s="6" t="s">
        <v>16</v>
      </c>
      <c r="AL580" s="6" t="s">
        <v>48</v>
      </c>
      <c r="AM580" s="6" t="s">
        <v>258</v>
      </c>
      <c r="AN580" s="6" t="s">
        <v>20</v>
      </c>
      <c r="AO580" s="6" t="s">
        <v>272</v>
      </c>
      <c r="AP580" s="6" t="s">
        <v>273</v>
      </c>
      <c r="AQ580" s="6" t="s">
        <v>18</v>
      </c>
    </row>
    <row r="581" spans="1:43" x14ac:dyDescent="0.25">
      <c r="A581" s="6">
        <v>22899370</v>
      </c>
      <c r="B581" s="6">
        <v>23674036</v>
      </c>
      <c r="C581" s="6" t="s">
        <v>248</v>
      </c>
      <c r="D581" s="14">
        <v>45910.026122685187</v>
      </c>
      <c r="E581" s="14">
        <v>45911.599189814813</v>
      </c>
      <c r="F581" s="6" t="s">
        <v>17</v>
      </c>
      <c r="G581" s="6" t="s">
        <v>17</v>
      </c>
      <c r="H581" s="6" t="s">
        <v>2061</v>
      </c>
      <c r="I581" s="6" t="s">
        <v>337</v>
      </c>
      <c r="J581" s="6" t="s">
        <v>2062</v>
      </c>
      <c r="K581" s="6" t="s">
        <v>1131</v>
      </c>
      <c r="L581" s="6" t="s">
        <v>1131</v>
      </c>
      <c r="M581" s="14">
        <v>45909.834722222222</v>
      </c>
      <c r="N581" s="6">
        <v>23923</v>
      </c>
      <c r="O581" s="6" t="s">
        <v>91</v>
      </c>
      <c r="P581" s="6" t="s">
        <v>252</v>
      </c>
      <c r="Q581" s="6" t="s">
        <v>268</v>
      </c>
      <c r="R581" s="6" t="s">
        <v>269</v>
      </c>
      <c r="S581" s="6" t="s">
        <v>3</v>
      </c>
      <c r="T581" s="6" t="s">
        <v>254</v>
      </c>
      <c r="U581" s="6" t="s">
        <v>139</v>
      </c>
      <c r="V581" s="6" t="s">
        <v>2063</v>
      </c>
      <c r="W581" s="6" t="s">
        <v>91</v>
      </c>
      <c r="X581" s="6" t="s">
        <v>2064</v>
      </c>
      <c r="Y581" s="6" t="s">
        <v>91</v>
      </c>
      <c r="Z581" s="6" t="s">
        <v>80</v>
      </c>
      <c r="AA581" s="6" t="s">
        <v>91</v>
      </c>
      <c r="AB581" s="6">
        <v>156.30000000000001</v>
      </c>
      <c r="AC581" s="6">
        <v>0</v>
      </c>
      <c r="AD581" s="6">
        <v>0</v>
      </c>
      <c r="AE581" s="6">
        <v>0</v>
      </c>
      <c r="AF581" s="6">
        <v>0</v>
      </c>
      <c r="AG581" s="6">
        <v>0</v>
      </c>
      <c r="AH581" s="6">
        <v>0</v>
      </c>
      <c r="AI581" s="6" t="s">
        <v>2065</v>
      </c>
      <c r="AJ581" s="6" t="s">
        <v>2066</v>
      </c>
      <c r="AK581" s="6" t="s">
        <v>12</v>
      </c>
      <c r="AL581" s="6" t="s">
        <v>63</v>
      </c>
      <c r="AM581" s="6" t="s">
        <v>1581</v>
      </c>
      <c r="AN581" s="6" t="s">
        <v>20</v>
      </c>
      <c r="AO581" s="6" t="s">
        <v>272</v>
      </c>
      <c r="AP581" s="6" t="s">
        <v>273</v>
      </c>
      <c r="AQ581" s="6" t="s">
        <v>18</v>
      </c>
    </row>
    <row r="582" spans="1:43" x14ac:dyDescent="0.25">
      <c r="A582" s="6">
        <v>22913667</v>
      </c>
      <c r="B582" s="6">
        <v>23686259</v>
      </c>
      <c r="C582" s="6" t="s">
        <v>248</v>
      </c>
      <c r="D582" s="14">
        <v>45912.284513888888</v>
      </c>
      <c r="E582" s="14">
        <v>45912.289386574077</v>
      </c>
      <c r="F582" s="6" t="s">
        <v>17</v>
      </c>
      <c r="G582" s="6" t="s">
        <v>17</v>
      </c>
      <c r="H582" s="6" t="s">
        <v>2067</v>
      </c>
      <c r="I582" s="6" t="s">
        <v>16</v>
      </c>
      <c r="J582" s="6" t="s">
        <v>2068</v>
      </c>
      <c r="K582" s="6" t="s">
        <v>704</v>
      </c>
      <c r="L582" s="6" t="s">
        <v>704</v>
      </c>
      <c r="M582" s="14">
        <v>45911.390972222223</v>
      </c>
      <c r="N582" s="6" t="s">
        <v>254</v>
      </c>
      <c r="O582" s="6" t="s">
        <v>477</v>
      </c>
      <c r="P582" s="6" t="s">
        <v>252</v>
      </c>
      <c r="Q582" s="6" t="s">
        <v>268</v>
      </c>
      <c r="R582" s="6" t="s">
        <v>269</v>
      </c>
      <c r="S582" s="6" t="s">
        <v>8</v>
      </c>
      <c r="T582" s="6" t="s">
        <v>254</v>
      </c>
      <c r="U582" s="6" t="s">
        <v>116</v>
      </c>
      <c r="V582" s="6" t="s">
        <v>633</v>
      </c>
      <c r="W582" s="6" t="s">
        <v>91</v>
      </c>
      <c r="X582" s="6" t="s">
        <v>2069</v>
      </c>
      <c r="Y582" s="6" t="s">
        <v>91</v>
      </c>
      <c r="Z582" s="6" t="s">
        <v>56</v>
      </c>
      <c r="AA582" s="6" t="s">
        <v>91</v>
      </c>
      <c r="AB582" s="6">
        <v>350.91</v>
      </c>
      <c r="AC582" s="6">
        <v>430.82</v>
      </c>
      <c r="AD582" s="6">
        <v>0</v>
      </c>
      <c r="AE582" s="6">
        <v>0</v>
      </c>
      <c r="AF582" s="6">
        <v>0</v>
      </c>
      <c r="AG582" s="6">
        <v>0</v>
      </c>
      <c r="AH582" s="6">
        <v>0</v>
      </c>
      <c r="AI582" s="6" t="s">
        <v>288</v>
      </c>
      <c r="AJ582" s="6" t="s">
        <v>2070</v>
      </c>
      <c r="AK582" s="6" t="s">
        <v>16</v>
      </c>
      <c r="AL582" s="6" t="s">
        <v>2071</v>
      </c>
      <c r="AM582" s="6" t="s">
        <v>67</v>
      </c>
      <c r="AN582" s="6" t="s">
        <v>20</v>
      </c>
      <c r="AO582" s="6" t="s">
        <v>272</v>
      </c>
      <c r="AP582" s="6" t="s">
        <v>273</v>
      </c>
      <c r="AQ582" s="6" t="s">
        <v>34</v>
      </c>
    </row>
    <row r="583" spans="1:43" x14ac:dyDescent="0.25">
      <c r="A583" s="6">
        <v>22860126</v>
      </c>
      <c r="B583" s="6">
        <v>23640147</v>
      </c>
      <c r="C583" s="6" t="s">
        <v>248</v>
      </c>
      <c r="D583" s="14">
        <v>45903.428194444437</v>
      </c>
      <c r="E583" s="14">
        <v>45903.448217592602</v>
      </c>
      <c r="F583" s="6" t="s">
        <v>23</v>
      </c>
      <c r="G583" s="6" t="s">
        <v>23</v>
      </c>
      <c r="H583" s="6">
        <v>19839915</v>
      </c>
      <c r="I583" s="6" t="s">
        <v>13</v>
      </c>
      <c r="J583" s="6" t="s">
        <v>2072</v>
      </c>
      <c r="K583" s="6" t="s">
        <v>275</v>
      </c>
      <c r="L583" s="6" t="s">
        <v>275</v>
      </c>
      <c r="M583" s="14">
        <v>45903.419444444437</v>
      </c>
      <c r="N583" s="6">
        <v>4591932</v>
      </c>
      <c r="O583" s="6" t="s">
        <v>91</v>
      </c>
      <c r="P583" s="6" t="s">
        <v>276</v>
      </c>
      <c r="Q583" s="6" t="s">
        <v>318</v>
      </c>
      <c r="R583" s="6" t="s">
        <v>318</v>
      </c>
      <c r="S583" s="6" t="s">
        <v>9</v>
      </c>
      <c r="T583" s="6" t="s">
        <v>254</v>
      </c>
      <c r="U583" s="6" t="s">
        <v>170</v>
      </c>
      <c r="V583" s="6" t="s">
        <v>2050</v>
      </c>
      <c r="W583" s="6" t="s">
        <v>391</v>
      </c>
      <c r="X583" s="6" t="s">
        <v>2073</v>
      </c>
      <c r="Y583" s="6" t="s">
        <v>91</v>
      </c>
      <c r="Z583" s="6" t="s">
        <v>98</v>
      </c>
      <c r="AA583" s="6" t="s">
        <v>91</v>
      </c>
      <c r="AB583" s="6">
        <v>660</v>
      </c>
      <c r="AC583" s="6">
        <v>0</v>
      </c>
      <c r="AD583" s="6">
        <v>0</v>
      </c>
      <c r="AE583" s="6">
        <v>0</v>
      </c>
      <c r="AF583" s="6">
        <v>0</v>
      </c>
      <c r="AG583" s="6">
        <v>0</v>
      </c>
      <c r="AH583" s="6">
        <v>0</v>
      </c>
      <c r="AI583" s="6" t="s">
        <v>2074</v>
      </c>
      <c r="AJ583" s="6" t="s">
        <v>393</v>
      </c>
      <c r="AK583" s="6" t="s">
        <v>13</v>
      </c>
      <c r="AL583" s="6" t="s">
        <v>61</v>
      </c>
      <c r="AM583" s="6" t="s">
        <v>394</v>
      </c>
      <c r="AN583" s="6" t="s">
        <v>20</v>
      </c>
      <c r="AO583" s="6" t="s">
        <v>259</v>
      </c>
      <c r="AP583" s="6" t="s">
        <v>260</v>
      </c>
      <c r="AQ583" s="6" t="s">
        <v>31</v>
      </c>
    </row>
    <row r="584" spans="1:43" x14ac:dyDescent="0.25">
      <c r="A584" s="6">
        <v>22910035</v>
      </c>
      <c r="B584" s="6">
        <v>23683243</v>
      </c>
      <c r="C584" s="6" t="s">
        <v>248</v>
      </c>
      <c r="D584" s="14">
        <v>45911.719317129631</v>
      </c>
      <c r="E584" s="14">
        <v>45911.753842592603</v>
      </c>
      <c r="F584" s="6" t="s">
        <v>17</v>
      </c>
      <c r="G584" s="6" t="s">
        <v>17</v>
      </c>
      <c r="H584" s="6" t="s">
        <v>2075</v>
      </c>
      <c r="I584" s="6" t="s">
        <v>13</v>
      </c>
      <c r="J584" s="6" t="s">
        <v>2076</v>
      </c>
      <c r="K584" s="6" t="s">
        <v>291</v>
      </c>
      <c r="L584" s="6" t="s">
        <v>291</v>
      </c>
      <c r="M584" s="14">
        <v>45911.710416666669</v>
      </c>
      <c r="N584" s="6">
        <v>4596380</v>
      </c>
      <c r="O584" s="6" t="s">
        <v>2077</v>
      </c>
      <c r="P584" s="6" t="s">
        <v>252</v>
      </c>
      <c r="Q584" s="6" t="s">
        <v>268</v>
      </c>
      <c r="R584" s="6" t="s">
        <v>269</v>
      </c>
      <c r="S584" s="6" t="s">
        <v>8</v>
      </c>
      <c r="T584" s="6" t="s">
        <v>254</v>
      </c>
      <c r="U584" s="6" t="s">
        <v>195</v>
      </c>
      <c r="V584" s="6" t="s">
        <v>1458</v>
      </c>
      <c r="W584" s="6" t="s">
        <v>91</v>
      </c>
      <c r="X584" s="6" t="s">
        <v>2078</v>
      </c>
      <c r="Y584" s="6" t="s">
        <v>91</v>
      </c>
      <c r="Z584" s="6" t="s">
        <v>60</v>
      </c>
      <c r="AA584" s="6" t="s">
        <v>91</v>
      </c>
      <c r="AB584" s="6">
        <v>3063.39</v>
      </c>
      <c r="AC584" s="6">
        <v>0</v>
      </c>
      <c r="AD584" s="6">
        <v>0</v>
      </c>
      <c r="AE584" s="6">
        <v>0</v>
      </c>
      <c r="AF584" s="6">
        <v>0</v>
      </c>
      <c r="AG584" s="6">
        <v>0</v>
      </c>
      <c r="AH584" s="6">
        <v>0</v>
      </c>
      <c r="AI584" s="6" t="s">
        <v>2079</v>
      </c>
      <c r="AJ584" s="6" t="s">
        <v>2080</v>
      </c>
      <c r="AK584" s="6" t="s">
        <v>13</v>
      </c>
      <c r="AL584" s="6" t="s">
        <v>63</v>
      </c>
      <c r="AM584" s="6" t="s">
        <v>1581</v>
      </c>
      <c r="AN584" s="6" t="s">
        <v>20</v>
      </c>
      <c r="AO584" s="6" t="s">
        <v>272</v>
      </c>
      <c r="AP584" s="6" t="s">
        <v>273</v>
      </c>
      <c r="AQ584" s="6" t="s">
        <v>18</v>
      </c>
    </row>
    <row r="585" spans="1:43" x14ac:dyDescent="0.25">
      <c r="A585" s="6">
        <v>22834460</v>
      </c>
      <c r="B585" s="6">
        <v>23619182</v>
      </c>
      <c r="C585" s="6" t="s">
        <v>248</v>
      </c>
      <c r="D585" s="14">
        <v>45898.626932870371</v>
      </c>
      <c r="E585" s="14">
        <v>45898.632164351853</v>
      </c>
      <c r="F585" s="6" t="s">
        <v>23</v>
      </c>
      <c r="G585" s="6" t="s">
        <v>23</v>
      </c>
      <c r="H585" s="6" t="s">
        <v>2024</v>
      </c>
      <c r="I585" s="6" t="s">
        <v>15</v>
      </c>
      <c r="J585" s="6" t="s">
        <v>2025</v>
      </c>
      <c r="K585" s="6" t="s">
        <v>344</v>
      </c>
      <c r="L585" s="6" t="s">
        <v>2026</v>
      </c>
      <c r="M585" s="14">
        <v>45897.54583333333</v>
      </c>
      <c r="N585" s="6">
        <v>3972</v>
      </c>
      <c r="O585" s="6" t="s">
        <v>2027</v>
      </c>
      <c r="P585" s="6" t="s">
        <v>252</v>
      </c>
      <c r="Q585" s="6" t="s">
        <v>268</v>
      </c>
      <c r="R585" s="6" t="s">
        <v>269</v>
      </c>
      <c r="S585" s="6" t="s">
        <v>8</v>
      </c>
      <c r="T585" s="6" t="s">
        <v>1859</v>
      </c>
      <c r="U585" s="6" t="s">
        <v>125</v>
      </c>
      <c r="V585" s="6" t="s">
        <v>340</v>
      </c>
      <c r="W585" s="6" t="s">
        <v>91</v>
      </c>
      <c r="X585" s="6" t="s">
        <v>2081</v>
      </c>
      <c r="Y585" s="6" t="s">
        <v>91</v>
      </c>
      <c r="Z585" s="6" t="s">
        <v>68</v>
      </c>
      <c r="AA585" s="6" t="s">
        <v>91</v>
      </c>
      <c r="AB585" s="6">
        <v>564.78</v>
      </c>
      <c r="AC585" s="6">
        <v>0</v>
      </c>
      <c r="AD585" s="6">
        <v>0</v>
      </c>
      <c r="AE585" s="6">
        <v>0</v>
      </c>
      <c r="AF585" s="6">
        <v>0</v>
      </c>
      <c r="AG585" s="6">
        <v>0</v>
      </c>
      <c r="AH585" s="6">
        <v>0</v>
      </c>
      <c r="AI585" s="6" t="s">
        <v>2029</v>
      </c>
      <c r="AJ585" s="6" t="s">
        <v>1935</v>
      </c>
      <c r="AK585" s="6" t="s">
        <v>15</v>
      </c>
      <c r="AL585" s="6" t="s">
        <v>67</v>
      </c>
      <c r="AM585" s="6" t="s">
        <v>53</v>
      </c>
      <c r="AN585" s="6" t="s">
        <v>20</v>
      </c>
      <c r="AO585" s="6" t="s">
        <v>259</v>
      </c>
      <c r="AP585" s="6" t="s">
        <v>273</v>
      </c>
      <c r="AQ585" s="6" t="s">
        <v>18</v>
      </c>
    </row>
    <row r="586" spans="1:43" x14ac:dyDescent="0.25">
      <c r="A586" s="6">
        <v>22835394</v>
      </c>
      <c r="B586" s="6">
        <v>23620092</v>
      </c>
      <c r="C586" s="6" t="s">
        <v>248</v>
      </c>
      <c r="D586" s="14">
        <v>45898.738796296297</v>
      </c>
      <c r="E586" s="14">
        <v>45910.73060185185</v>
      </c>
      <c r="F586" s="6" t="s">
        <v>17</v>
      </c>
      <c r="G586" s="6" t="s">
        <v>23</v>
      </c>
      <c r="H586" s="6" t="s">
        <v>2024</v>
      </c>
      <c r="I586" s="6" t="s">
        <v>15</v>
      </c>
      <c r="J586" s="6" t="s">
        <v>2025</v>
      </c>
      <c r="K586" s="6" t="s">
        <v>344</v>
      </c>
      <c r="L586" s="6" t="s">
        <v>2026</v>
      </c>
      <c r="M586" s="14">
        <v>45897.54583333333</v>
      </c>
      <c r="N586" s="6">
        <v>3972</v>
      </c>
      <c r="O586" s="6" t="s">
        <v>2027</v>
      </c>
      <c r="P586" s="6" t="s">
        <v>252</v>
      </c>
      <c r="Q586" s="6" t="s">
        <v>268</v>
      </c>
      <c r="R586" s="6" t="s">
        <v>269</v>
      </c>
      <c r="S586" s="6" t="s">
        <v>8</v>
      </c>
      <c r="T586" s="6" t="s">
        <v>1859</v>
      </c>
      <c r="U586" s="6" t="s">
        <v>125</v>
      </c>
      <c r="V586" s="6" t="s">
        <v>340</v>
      </c>
      <c r="W586" s="6" t="s">
        <v>91</v>
      </c>
      <c r="X586" s="6" t="s">
        <v>2081</v>
      </c>
      <c r="Y586" s="6" t="s">
        <v>91</v>
      </c>
      <c r="Z586" s="6" t="s">
        <v>68</v>
      </c>
      <c r="AA586" s="6" t="s">
        <v>91</v>
      </c>
      <c r="AB586" s="6">
        <v>564.78</v>
      </c>
      <c r="AC586" s="6">
        <v>0</v>
      </c>
      <c r="AD586" s="6">
        <v>0</v>
      </c>
      <c r="AE586" s="6">
        <v>0</v>
      </c>
      <c r="AF586" s="6">
        <v>0</v>
      </c>
      <c r="AG586" s="6">
        <v>0</v>
      </c>
      <c r="AH586" s="6">
        <v>0</v>
      </c>
      <c r="AI586" s="6" t="s">
        <v>2029</v>
      </c>
      <c r="AJ586" s="6" t="s">
        <v>1935</v>
      </c>
      <c r="AK586" s="6" t="s">
        <v>15</v>
      </c>
      <c r="AL586" s="6" t="s">
        <v>67</v>
      </c>
      <c r="AM586" s="6" t="s">
        <v>53</v>
      </c>
      <c r="AN586" s="6" t="s">
        <v>20</v>
      </c>
      <c r="AO586" s="6" t="s">
        <v>259</v>
      </c>
      <c r="AP586" s="6" t="s">
        <v>273</v>
      </c>
      <c r="AQ586" s="6" t="s">
        <v>18</v>
      </c>
    </row>
    <row r="587" spans="1:43" x14ac:dyDescent="0.25">
      <c r="A587" s="6">
        <v>22910159</v>
      </c>
      <c r="B587" s="6">
        <v>23683369</v>
      </c>
      <c r="C587" s="6" t="s">
        <v>248</v>
      </c>
      <c r="D587" s="14">
        <v>45911.737268518518</v>
      </c>
      <c r="E587" s="14">
        <v>45911.739583333343</v>
      </c>
      <c r="F587" s="6" t="s">
        <v>17</v>
      </c>
      <c r="G587" s="6" t="s">
        <v>17</v>
      </c>
      <c r="H587" s="6" t="s">
        <v>2030</v>
      </c>
      <c r="I587" s="6" t="s">
        <v>15</v>
      </c>
      <c r="J587" s="6" t="s">
        <v>2025</v>
      </c>
      <c r="K587" s="6" t="s">
        <v>344</v>
      </c>
      <c r="L587" s="6" t="s">
        <v>344</v>
      </c>
      <c r="M587" s="14">
        <v>45909.54583333333</v>
      </c>
      <c r="N587" s="6">
        <v>3972</v>
      </c>
      <c r="O587" s="6" t="s">
        <v>2027</v>
      </c>
      <c r="P587" s="6" t="s">
        <v>252</v>
      </c>
      <c r="Q587" s="6" t="s">
        <v>268</v>
      </c>
      <c r="R587" s="6" t="s">
        <v>269</v>
      </c>
      <c r="S587" s="6" t="s">
        <v>8</v>
      </c>
      <c r="T587" s="6" t="s">
        <v>254</v>
      </c>
      <c r="U587" s="6" t="s">
        <v>125</v>
      </c>
      <c r="V587" s="6" t="s">
        <v>340</v>
      </c>
      <c r="W587" s="6" t="s">
        <v>91</v>
      </c>
      <c r="X587" s="6" t="s">
        <v>2081</v>
      </c>
      <c r="Y587" s="6" t="s">
        <v>91</v>
      </c>
      <c r="Z587" s="6" t="s">
        <v>68</v>
      </c>
      <c r="AA587" s="6" t="s">
        <v>91</v>
      </c>
      <c r="AB587" s="6">
        <v>564.78</v>
      </c>
      <c r="AC587" s="6">
        <v>0</v>
      </c>
      <c r="AD587" s="6">
        <v>0</v>
      </c>
      <c r="AE587" s="6">
        <v>0</v>
      </c>
      <c r="AF587" s="6">
        <v>0</v>
      </c>
      <c r="AG587" s="6">
        <v>0</v>
      </c>
      <c r="AH587" s="6">
        <v>0</v>
      </c>
      <c r="AI587" s="6" t="s">
        <v>2029</v>
      </c>
      <c r="AJ587" s="6" t="s">
        <v>1935</v>
      </c>
      <c r="AK587" s="6" t="s">
        <v>15</v>
      </c>
      <c r="AL587" s="6" t="s">
        <v>67</v>
      </c>
      <c r="AM587" s="6" t="s">
        <v>53</v>
      </c>
      <c r="AN587" s="6" t="s">
        <v>20</v>
      </c>
      <c r="AO587" s="6" t="s">
        <v>259</v>
      </c>
      <c r="AP587" s="6" t="s">
        <v>273</v>
      </c>
      <c r="AQ587" s="6" t="s">
        <v>18</v>
      </c>
    </row>
    <row r="588" spans="1:43" x14ac:dyDescent="0.25">
      <c r="A588" s="6">
        <v>22833316</v>
      </c>
      <c r="B588" s="6">
        <v>23618085</v>
      </c>
      <c r="C588" s="6" t="s">
        <v>248</v>
      </c>
      <c r="D588" s="14">
        <v>45898.498194444437</v>
      </c>
      <c r="E588" s="14">
        <v>45898.538321759261</v>
      </c>
      <c r="F588" s="6" t="s">
        <v>23</v>
      </c>
      <c r="G588" s="6" t="s">
        <v>23</v>
      </c>
      <c r="H588" s="6">
        <v>19779807</v>
      </c>
      <c r="I588" s="6" t="s">
        <v>13</v>
      </c>
      <c r="J588" s="6" t="s">
        <v>2049</v>
      </c>
      <c r="K588" s="6" t="s">
        <v>275</v>
      </c>
      <c r="L588" s="6" t="s">
        <v>275</v>
      </c>
      <c r="M588" s="14">
        <v>45898.492361111108</v>
      </c>
      <c r="N588" s="6">
        <v>4590020</v>
      </c>
      <c r="O588" s="6" t="s">
        <v>91</v>
      </c>
      <c r="P588" s="6" t="s">
        <v>276</v>
      </c>
      <c r="Q588" s="6" t="s">
        <v>318</v>
      </c>
      <c r="R588" s="6" t="s">
        <v>318</v>
      </c>
      <c r="S588" s="6" t="s">
        <v>9</v>
      </c>
      <c r="T588" s="6" t="s">
        <v>254</v>
      </c>
      <c r="U588" s="6" t="s">
        <v>170</v>
      </c>
      <c r="V588" s="6" t="s">
        <v>2050</v>
      </c>
      <c r="W588" s="6" t="s">
        <v>391</v>
      </c>
      <c r="X588" s="6" t="s">
        <v>2082</v>
      </c>
      <c r="Y588" s="6" t="s">
        <v>91</v>
      </c>
      <c r="Z588" s="6" t="s">
        <v>98</v>
      </c>
      <c r="AA588" s="6" t="s">
        <v>91</v>
      </c>
      <c r="AB588" s="6">
        <v>408</v>
      </c>
      <c r="AC588" s="6">
        <v>12.24</v>
      </c>
      <c r="AD588" s="6">
        <v>0</v>
      </c>
      <c r="AE588" s="6">
        <v>0</v>
      </c>
      <c r="AF588" s="6">
        <v>0</v>
      </c>
      <c r="AG588" s="6">
        <v>0</v>
      </c>
      <c r="AH588" s="6">
        <v>0</v>
      </c>
      <c r="AI588" s="6" t="s">
        <v>2083</v>
      </c>
      <c r="AJ588" s="6" t="s">
        <v>393</v>
      </c>
      <c r="AK588" s="6" t="s">
        <v>13</v>
      </c>
      <c r="AL588" s="6" t="s">
        <v>61</v>
      </c>
      <c r="AM588" s="6" t="s">
        <v>394</v>
      </c>
      <c r="AN588" s="6" t="s">
        <v>20</v>
      </c>
      <c r="AO588" s="6" t="s">
        <v>259</v>
      </c>
      <c r="AP588" s="6" t="s">
        <v>260</v>
      </c>
      <c r="AQ588" s="6" t="s">
        <v>31</v>
      </c>
    </row>
    <row r="589" spans="1:43" x14ac:dyDescent="0.25">
      <c r="A589" s="6">
        <v>22894440</v>
      </c>
      <c r="B589" s="6">
        <v>23669359</v>
      </c>
      <c r="C589" s="6" t="s">
        <v>248</v>
      </c>
      <c r="D589" s="14">
        <v>45909.415891203702</v>
      </c>
      <c r="E589" s="14">
        <v>45909.448194444441</v>
      </c>
      <c r="F589" s="6" t="s">
        <v>19</v>
      </c>
      <c r="G589" s="6" t="s">
        <v>19</v>
      </c>
      <c r="H589" s="6">
        <v>19916771</v>
      </c>
      <c r="I589" s="6" t="s">
        <v>13</v>
      </c>
      <c r="J589" s="6" t="s">
        <v>2049</v>
      </c>
      <c r="K589" s="6" t="s">
        <v>275</v>
      </c>
      <c r="L589" s="6" t="s">
        <v>275</v>
      </c>
      <c r="M589" s="14">
        <v>45909.40625</v>
      </c>
      <c r="N589" s="6">
        <v>4594646</v>
      </c>
      <c r="O589" s="6" t="s">
        <v>91</v>
      </c>
      <c r="P589" s="6" t="s">
        <v>276</v>
      </c>
      <c r="Q589" s="6" t="s">
        <v>318</v>
      </c>
      <c r="R589" s="6" t="s">
        <v>318</v>
      </c>
      <c r="S589" s="6" t="s">
        <v>9</v>
      </c>
      <c r="T589" s="6" t="s">
        <v>254</v>
      </c>
      <c r="U589" s="6" t="s">
        <v>170</v>
      </c>
      <c r="V589" s="6" t="s">
        <v>2050</v>
      </c>
      <c r="W589" s="6" t="s">
        <v>391</v>
      </c>
      <c r="X589" s="6" t="s">
        <v>2082</v>
      </c>
      <c r="Y589" s="6" t="s">
        <v>91</v>
      </c>
      <c r="Z589" s="6" t="s">
        <v>98</v>
      </c>
      <c r="AA589" s="6" t="s">
        <v>91</v>
      </c>
      <c r="AB589" s="6">
        <v>417</v>
      </c>
      <c r="AC589" s="6">
        <v>12.51</v>
      </c>
      <c r="AD589" s="6">
        <v>0</v>
      </c>
      <c r="AE589" s="6">
        <v>0</v>
      </c>
      <c r="AF589" s="6">
        <v>0</v>
      </c>
      <c r="AG589" s="6">
        <v>0</v>
      </c>
      <c r="AH589" s="6">
        <v>0</v>
      </c>
      <c r="AI589" s="6" t="s">
        <v>2084</v>
      </c>
      <c r="AJ589" s="6" t="s">
        <v>393</v>
      </c>
      <c r="AK589" s="6" t="s">
        <v>13</v>
      </c>
      <c r="AL589" s="6" t="s">
        <v>61</v>
      </c>
      <c r="AM589" s="6" t="s">
        <v>394</v>
      </c>
      <c r="AN589" s="6" t="s">
        <v>20</v>
      </c>
      <c r="AO589" s="6" t="s">
        <v>259</v>
      </c>
      <c r="AP589" s="6" t="s">
        <v>260</v>
      </c>
      <c r="AQ589" s="6" t="s">
        <v>31</v>
      </c>
    </row>
    <row r="590" spans="1:43" x14ac:dyDescent="0.25">
      <c r="A590" s="6">
        <v>22905051</v>
      </c>
      <c r="B590" s="6">
        <v>23679024</v>
      </c>
      <c r="C590" s="6" t="s">
        <v>248</v>
      </c>
      <c r="D590" s="14">
        <v>45910.880023148151</v>
      </c>
      <c r="E590" s="14">
        <v>45911.561018518521</v>
      </c>
      <c r="F590" s="6" t="s">
        <v>17</v>
      </c>
      <c r="G590" s="6" t="s">
        <v>17</v>
      </c>
      <c r="H590" s="6" t="s">
        <v>2085</v>
      </c>
      <c r="I590" s="6" t="s">
        <v>16</v>
      </c>
      <c r="J590" s="6" t="s">
        <v>2086</v>
      </c>
      <c r="K590" s="6" t="s">
        <v>1721</v>
      </c>
      <c r="L590" s="6" t="s">
        <v>1721</v>
      </c>
      <c r="M590" s="14">
        <v>45908.356249999997</v>
      </c>
      <c r="N590" s="6" t="s">
        <v>2087</v>
      </c>
      <c r="O590" s="6" t="s">
        <v>91</v>
      </c>
      <c r="P590" s="6" t="s">
        <v>276</v>
      </c>
      <c r="Q590" s="6" t="s">
        <v>268</v>
      </c>
      <c r="R590" s="6" t="s">
        <v>269</v>
      </c>
      <c r="S590" s="6" t="s">
        <v>9</v>
      </c>
      <c r="T590" s="6" t="s">
        <v>254</v>
      </c>
      <c r="U590" s="6" t="s">
        <v>130</v>
      </c>
      <c r="V590" s="6" t="s">
        <v>504</v>
      </c>
      <c r="W590" s="6" t="s">
        <v>391</v>
      </c>
      <c r="X590" s="6" t="s">
        <v>2088</v>
      </c>
      <c r="Y590" s="6" t="s">
        <v>91</v>
      </c>
      <c r="Z590" s="6" t="s">
        <v>54</v>
      </c>
      <c r="AA590" s="6" t="s">
        <v>91</v>
      </c>
      <c r="AB590" s="6">
        <v>426</v>
      </c>
      <c r="AC590" s="6">
        <v>0</v>
      </c>
      <c r="AD590" s="6">
        <v>0</v>
      </c>
      <c r="AE590" s="6">
        <v>0</v>
      </c>
      <c r="AF590" s="6">
        <v>0</v>
      </c>
      <c r="AG590" s="6">
        <v>0</v>
      </c>
      <c r="AH590" s="6">
        <v>0</v>
      </c>
      <c r="AI590" s="6" t="s">
        <v>288</v>
      </c>
      <c r="AJ590" s="6" t="s">
        <v>1516</v>
      </c>
      <c r="AK590" s="6" t="s">
        <v>16</v>
      </c>
      <c r="AL590" s="6" t="s">
        <v>59</v>
      </c>
      <c r="AM590" s="6" t="s">
        <v>67</v>
      </c>
      <c r="AN590" s="6" t="s">
        <v>20</v>
      </c>
      <c r="AO590" s="6" t="s">
        <v>272</v>
      </c>
      <c r="AP590" s="6" t="s">
        <v>273</v>
      </c>
      <c r="AQ590" s="6" t="s">
        <v>34</v>
      </c>
    </row>
    <row r="591" spans="1:43" x14ac:dyDescent="0.25">
      <c r="A591" s="6">
        <v>22905059</v>
      </c>
      <c r="B591" s="6">
        <v>23679032</v>
      </c>
      <c r="C591" s="6" t="s">
        <v>248</v>
      </c>
      <c r="D591" s="14">
        <v>45910.880972222221</v>
      </c>
      <c r="E591" s="14">
        <v>45911.563773148147</v>
      </c>
      <c r="F591" s="6" t="s">
        <v>17</v>
      </c>
      <c r="G591" s="6" t="s">
        <v>17</v>
      </c>
      <c r="H591" s="6" t="s">
        <v>2089</v>
      </c>
      <c r="I591" s="6" t="s">
        <v>16</v>
      </c>
      <c r="J591" s="6" t="s">
        <v>2090</v>
      </c>
      <c r="K591" s="6" t="s">
        <v>1721</v>
      </c>
      <c r="L591" s="6" t="s">
        <v>1721</v>
      </c>
      <c r="M591" s="14">
        <v>45908.353472222218</v>
      </c>
      <c r="N591" s="6" t="s">
        <v>2091</v>
      </c>
      <c r="O591" s="6" t="s">
        <v>91</v>
      </c>
      <c r="P591" s="6" t="s">
        <v>276</v>
      </c>
      <c r="Q591" s="6" t="s">
        <v>268</v>
      </c>
      <c r="R591" s="6" t="s">
        <v>269</v>
      </c>
      <c r="S591" s="6" t="s">
        <v>9</v>
      </c>
      <c r="T591" s="6" t="s">
        <v>254</v>
      </c>
      <c r="U591" s="6" t="s">
        <v>130</v>
      </c>
      <c r="V591" s="6" t="s">
        <v>504</v>
      </c>
      <c r="W591" s="6" t="s">
        <v>391</v>
      </c>
      <c r="X591" s="6" t="s">
        <v>2088</v>
      </c>
      <c r="Y591" s="6" t="s">
        <v>91</v>
      </c>
      <c r="Z591" s="6" t="s">
        <v>54</v>
      </c>
      <c r="AA591" s="6" t="s">
        <v>91</v>
      </c>
      <c r="AB591" s="6">
        <v>426</v>
      </c>
      <c r="AC591" s="6">
        <v>0</v>
      </c>
      <c r="AD591" s="6">
        <v>0</v>
      </c>
      <c r="AE591" s="6">
        <v>0</v>
      </c>
      <c r="AF591" s="6">
        <v>0</v>
      </c>
      <c r="AG591" s="6">
        <v>0</v>
      </c>
      <c r="AH591" s="6">
        <v>0</v>
      </c>
      <c r="AI591" s="6" t="s">
        <v>288</v>
      </c>
      <c r="AJ591" s="6" t="s">
        <v>1516</v>
      </c>
      <c r="AK591" s="6" t="s">
        <v>16</v>
      </c>
      <c r="AL591" s="6" t="s">
        <v>59</v>
      </c>
      <c r="AM591" s="6" t="s">
        <v>67</v>
      </c>
      <c r="AN591" s="6" t="s">
        <v>20</v>
      </c>
      <c r="AO591" s="6" t="s">
        <v>272</v>
      </c>
      <c r="AP591" s="6" t="s">
        <v>273</v>
      </c>
      <c r="AQ591" s="6" t="s">
        <v>34</v>
      </c>
    </row>
    <row r="592" spans="1:43" x14ac:dyDescent="0.25">
      <c r="A592" s="6">
        <v>22876132</v>
      </c>
      <c r="B592" s="6">
        <v>23654682</v>
      </c>
      <c r="C592" s="6" t="s">
        <v>637</v>
      </c>
      <c r="D592" s="14">
        <v>45905.690092592587</v>
      </c>
      <c r="E592" s="14">
        <v>45905.69425925926</v>
      </c>
      <c r="F592" s="6" t="s">
        <v>21</v>
      </c>
      <c r="G592" s="6" t="s">
        <v>21</v>
      </c>
      <c r="H592" s="6" t="s">
        <v>1287</v>
      </c>
      <c r="I592" s="6" t="s">
        <v>16</v>
      </c>
      <c r="J592" s="6" t="s">
        <v>1288</v>
      </c>
      <c r="K592" s="6" t="s">
        <v>1212</v>
      </c>
      <c r="L592" s="6" t="s">
        <v>1212</v>
      </c>
      <c r="M592" s="14">
        <v>45905.585416666669</v>
      </c>
      <c r="N592" s="6" t="s">
        <v>1289</v>
      </c>
      <c r="O592" s="6" t="s">
        <v>91</v>
      </c>
      <c r="P592" s="6" t="s">
        <v>252</v>
      </c>
      <c r="Q592" s="6" t="s">
        <v>253</v>
      </c>
      <c r="R592" s="6" t="s">
        <v>253</v>
      </c>
      <c r="S592" s="6" t="s">
        <v>9</v>
      </c>
      <c r="T592" s="6" t="s">
        <v>254</v>
      </c>
      <c r="U592" s="6" t="s">
        <v>118</v>
      </c>
      <c r="V592" s="6" t="s">
        <v>1214</v>
      </c>
      <c r="W592" s="6" t="s">
        <v>91</v>
      </c>
      <c r="X592" s="6" t="s">
        <v>2092</v>
      </c>
      <c r="Y592" s="6" t="s">
        <v>91</v>
      </c>
      <c r="Z592" s="6" t="s">
        <v>58</v>
      </c>
      <c r="AA592" s="6" t="s">
        <v>91</v>
      </c>
      <c r="AB592" s="6">
        <v>6888.96</v>
      </c>
      <c r="AC592" s="6">
        <v>0</v>
      </c>
      <c r="AD592" s="6">
        <v>0</v>
      </c>
      <c r="AE592" s="6">
        <v>0</v>
      </c>
      <c r="AF592" s="6">
        <v>0</v>
      </c>
      <c r="AG592" s="6">
        <v>0</v>
      </c>
      <c r="AH592" s="6">
        <v>0</v>
      </c>
      <c r="AI592" s="6" t="s">
        <v>288</v>
      </c>
      <c r="AJ592" s="6" t="s">
        <v>257</v>
      </c>
      <c r="AK592" s="6" t="s">
        <v>16</v>
      </c>
      <c r="AL592" s="6" t="s">
        <v>48</v>
      </c>
      <c r="AM592" s="6" t="s">
        <v>258</v>
      </c>
      <c r="AN592" s="6" t="s">
        <v>20</v>
      </c>
      <c r="AO592" s="6" t="s">
        <v>272</v>
      </c>
      <c r="AP592" s="6" t="s">
        <v>273</v>
      </c>
      <c r="AQ592" s="6" t="s">
        <v>18</v>
      </c>
    </row>
    <row r="593" spans="1:43" x14ac:dyDescent="0.25">
      <c r="A593" s="6">
        <v>22848692</v>
      </c>
      <c r="B593" s="6">
        <v>23630269</v>
      </c>
      <c r="C593" s="6" t="s">
        <v>248</v>
      </c>
      <c r="D593" s="14">
        <v>45901.667638888888</v>
      </c>
      <c r="E593" s="14">
        <v>45911.56690972222</v>
      </c>
      <c r="F593" s="6" t="s">
        <v>17</v>
      </c>
      <c r="G593" s="6" t="s">
        <v>23</v>
      </c>
      <c r="H593" s="6" t="s">
        <v>698</v>
      </c>
      <c r="I593" s="6" t="s">
        <v>16</v>
      </c>
      <c r="J593" s="6" t="s">
        <v>699</v>
      </c>
      <c r="K593" s="6" t="s">
        <v>495</v>
      </c>
      <c r="L593" s="6" t="s">
        <v>495</v>
      </c>
      <c r="M593" s="14">
        <v>45901.371527777781</v>
      </c>
      <c r="N593" s="6" t="s">
        <v>700</v>
      </c>
      <c r="O593" s="6" t="s">
        <v>91</v>
      </c>
      <c r="P593" s="6" t="s">
        <v>276</v>
      </c>
      <c r="Q593" s="6" t="s">
        <v>318</v>
      </c>
      <c r="R593" s="6" t="s">
        <v>318</v>
      </c>
      <c r="S593" s="6" t="s">
        <v>9</v>
      </c>
      <c r="T593" s="6" t="s">
        <v>254</v>
      </c>
      <c r="U593" s="6" t="s">
        <v>116</v>
      </c>
      <c r="V593" s="6" t="s">
        <v>633</v>
      </c>
      <c r="W593" s="6" t="s">
        <v>91</v>
      </c>
      <c r="X593" s="6" t="s">
        <v>2093</v>
      </c>
      <c r="Y593" s="6" t="s">
        <v>91</v>
      </c>
      <c r="Z593" s="6" t="s">
        <v>56</v>
      </c>
      <c r="AA593" s="6" t="s">
        <v>91</v>
      </c>
      <c r="AB593" s="6">
        <v>1397.7375999999999</v>
      </c>
      <c r="AC593" s="6">
        <v>0</v>
      </c>
      <c r="AD593" s="6">
        <v>0</v>
      </c>
      <c r="AE593" s="6">
        <v>0</v>
      </c>
      <c r="AF593" s="6">
        <v>0</v>
      </c>
      <c r="AG593" s="6">
        <v>0</v>
      </c>
      <c r="AH593" s="6">
        <v>0</v>
      </c>
      <c r="AI593" s="6" t="s">
        <v>288</v>
      </c>
      <c r="AJ593" s="6" t="s">
        <v>701</v>
      </c>
      <c r="AK593" s="6" t="s">
        <v>16</v>
      </c>
      <c r="AL593" s="6" t="s">
        <v>48</v>
      </c>
      <c r="AM593" s="6" t="s">
        <v>258</v>
      </c>
      <c r="AN593" s="6" t="s">
        <v>20</v>
      </c>
      <c r="AO593" s="6" t="s">
        <v>259</v>
      </c>
      <c r="AP593" s="6" t="s">
        <v>260</v>
      </c>
      <c r="AQ593" s="6" t="s">
        <v>31</v>
      </c>
    </row>
    <row r="594" spans="1:43" x14ac:dyDescent="0.25">
      <c r="A594" s="6">
        <v>22848692</v>
      </c>
      <c r="B594" s="6">
        <v>23630270</v>
      </c>
      <c r="C594" s="6" t="s">
        <v>637</v>
      </c>
      <c r="D594" s="14">
        <v>45901.667638888888</v>
      </c>
      <c r="E594" s="14">
        <v>45911.56690972222</v>
      </c>
      <c r="F594" s="6" t="s">
        <v>17</v>
      </c>
      <c r="G594" s="6" t="s">
        <v>23</v>
      </c>
      <c r="H594" s="6" t="s">
        <v>698</v>
      </c>
      <c r="I594" s="6" t="s">
        <v>16</v>
      </c>
      <c r="J594" s="6" t="s">
        <v>699</v>
      </c>
      <c r="K594" s="6" t="s">
        <v>495</v>
      </c>
      <c r="L594" s="6" t="s">
        <v>495</v>
      </c>
      <c r="M594" s="14">
        <v>45901.371527777781</v>
      </c>
      <c r="N594" s="6" t="s">
        <v>700</v>
      </c>
      <c r="O594" s="6" t="s">
        <v>91</v>
      </c>
      <c r="P594" s="6" t="s">
        <v>276</v>
      </c>
      <c r="Q594" s="6" t="s">
        <v>318</v>
      </c>
      <c r="R594" s="6" t="s">
        <v>318</v>
      </c>
      <c r="S594" s="6" t="s">
        <v>9</v>
      </c>
      <c r="T594" s="6" t="s">
        <v>254</v>
      </c>
      <c r="U594" s="6" t="s">
        <v>116</v>
      </c>
      <c r="V594" s="6" t="s">
        <v>633</v>
      </c>
      <c r="W594" s="6" t="s">
        <v>91</v>
      </c>
      <c r="X594" s="6" t="s">
        <v>2094</v>
      </c>
      <c r="Y594" s="6" t="s">
        <v>91</v>
      </c>
      <c r="Z594" s="6" t="s">
        <v>56</v>
      </c>
      <c r="AA594" s="6" t="s">
        <v>91</v>
      </c>
      <c r="AB594" s="6">
        <v>1021.8243</v>
      </c>
      <c r="AC594" s="6">
        <v>22.6</v>
      </c>
      <c r="AD594" s="6">
        <v>0</v>
      </c>
      <c r="AE594" s="6">
        <v>0</v>
      </c>
      <c r="AF594" s="6">
        <v>0</v>
      </c>
      <c r="AG594" s="6">
        <v>0</v>
      </c>
      <c r="AH594" s="6">
        <v>0</v>
      </c>
      <c r="AI594" s="6" t="s">
        <v>288</v>
      </c>
      <c r="AJ594" s="6" t="s">
        <v>701</v>
      </c>
      <c r="AK594" s="6" t="s">
        <v>16</v>
      </c>
      <c r="AL594" s="6" t="s">
        <v>48</v>
      </c>
      <c r="AM594" s="6" t="s">
        <v>258</v>
      </c>
      <c r="AN594" s="6" t="s">
        <v>20</v>
      </c>
      <c r="AO594" s="6" t="s">
        <v>259</v>
      </c>
      <c r="AP594" s="6" t="s">
        <v>260</v>
      </c>
      <c r="AQ594" s="6" t="s">
        <v>31</v>
      </c>
    </row>
  </sheetData>
  <autoFilter ref="A1:AQ2062" xr:uid="{00000000-0009-0000-0000-000002000000}">
    <sortState xmlns:xlrd2="http://schemas.microsoft.com/office/spreadsheetml/2017/richdata2" ref="A2:AQ2062">
      <sortCondition descending="1" ref="D1:D2062"/>
    </sortState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205</v>
      </c>
      <c r="B1" s="10" t="s">
        <v>2095</v>
      </c>
      <c r="C1" s="11" t="s">
        <v>244</v>
      </c>
      <c r="D1" s="11" t="s">
        <v>2096</v>
      </c>
      <c r="E1" s="11" t="s">
        <v>2097</v>
      </c>
      <c r="F1" s="11" t="s">
        <v>247</v>
      </c>
    </row>
    <row r="2" spans="1:6" x14ac:dyDescent="0.25">
      <c r="A2" t="s">
        <v>275</v>
      </c>
      <c r="B2">
        <v>15</v>
      </c>
      <c r="C2" t="s">
        <v>49</v>
      </c>
      <c r="D2" t="s">
        <v>2098</v>
      </c>
      <c r="E2" t="s">
        <v>2099</v>
      </c>
      <c r="F2" t="s">
        <v>2100</v>
      </c>
    </row>
    <row r="3" spans="1:6" x14ac:dyDescent="0.25">
      <c r="A3" t="s">
        <v>275</v>
      </c>
      <c r="B3">
        <v>1</v>
      </c>
      <c r="C3" t="s">
        <v>2101</v>
      </c>
      <c r="D3" t="s">
        <v>2102</v>
      </c>
      <c r="E3" t="s">
        <v>2103</v>
      </c>
      <c r="F3" t="s">
        <v>2100</v>
      </c>
    </row>
    <row r="4" spans="1:6" x14ac:dyDescent="0.25">
      <c r="A4" t="s">
        <v>275</v>
      </c>
      <c r="B4">
        <v>1</v>
      </c>
      <c r="C4" t="s">
        <v>2104</v>
      </c>
      <c r="D4" t="s">
        <v>2105</v>
      </c>
      <c r="E4" t="s">
        <v>2106</v>
      </c>
      <c r="F4" t="s">
        <v>2107</v>
      </c>
    </row>
    <row r="5" spans="1:6" x14ac:dyDescent="0.25">
      <c r="A5" t="s">
        <v>275</v>
      </c>
      <c r="B5">
        <v>1</v>
      </c>
      <c r="C5" t="s">
        <v>2108</v>
      </c>
      <c r="D5" t="s">
        <v>2109</v>
      </c>
      <c r="E5" t="s">
        <v>2110</v>
      </c>
      <c r="F5" t="s">
        <v>18</v>
      </c>
    </row>
    <row r="6" spans="1:6" x14ac:dyDescent="0.25">
      <c r="A6" t="s">
        <v>275</v>
      </c>
      <c r="B6">
        <v>16</v>
      </c>
      <c r="C6" t="s">
        <v>55</v>
      </c>
      <c r="D6" t="s">
        <v>2111</v>
      </c>
      <c r="E6" t="s">
        <v>2112</v>
      </c>
      <c r="F6" t="s">
        <v>2107</v>
      </c>
    </row>
    <row r="7" spans="1:6" x14ac:dyDescent="0.25">
      <c r="A7" t="s">
        <v>275</v>
      </c>
      <c r="B7">
        <v>71</v>
      </c>
      <c r="C7" t="s">
        <v>48</v>
      </c>
      <c r="D7" t="s">
        <v>2113</v>
      </c>
      <c r="E7" t="s">
        <v>2114</v>
      </c>
      <c r="F7" t="s">
        <v>31</v>
      </c>
    </row>
    <row r="8" spans="1:6" x14ac:dyDescent="0.25">
      <c r="A8" t="s">
        <v>275</v>
      </c>
      <c r="B8">
        <v>108</v>
      </c>
      <c r="C8" t="s">
        <v>67</v>
      </c>
      <c r="D8" t="s">
        <v>2115</v>
      </c>
      <c r="E8" t="s">
        <v>2116</v>
      </c>
      <c r="F8" t="s">
        <v>18</v>
      </c>
    </row>
    <row r="9" spans="1:6" x14ac:dyDescent="0.25">
      <c r="A9" t="s">
        <v>275</v>
      </c>
      <c r="B9">
        <v>2</v>
      </c>
      <c r="C9" t="s">
        <v>57</v>
      </c>
      <c r="D9" t="s">
        <v>2117</v>
      </c>
      <c r="E9" t="s">
        <v>2117</v>
      </c>
      <c r="F9" t="s">
        <v>31</v>
      </c>
    </row>
    <row r="10" spans="1:6" x14ac:dyDescent="0.25">
      <c r="A10" t="s">
        <v>275</v>
      </c>
      <c r="B10">
        <v>4</v>
      </c>
      <c r="C10" t="s">
        <v>61</v>
      </c>
      <c r="D10" t="s">
        <v>2118</v>
      </c>
      <c r="E10" t="s">
        <v>2119</v>
      </c>
      <c r="F10" t="s">
        <v>31</v>
      </c>
    </row>
    <row r="11" spans="1:6" x14ac:dyDescent="0.25">
      <c r="A11" t="s">
        <v>275</v>
      </c>
      <c r="B11">
        <v>1</v>
      </c>
      <c r="C11" t="s">
        <v>2120</v>
      </c>
      <c r="D11" t="s">
        <v>2121</v>
      </c>
      <c r="E11" t="s">
        <v>2122</v>
      </c>
      <c r="F11" t="s">
        <v>31</v>
      </c>
    </row>
    <row r="12" spans="1:6" x14ac:dyDescent="0.25">
      <c r="A12" t="s">
        <v>2123</v>
      </c>
      <c r="B12">
        <v>5</v>
      </c>
      <c r="C12" t="s">
        <v>49</v>
      </c>
      <c r="D12" t="s">
        <v>2098</v>
      </c>
      <c r="E12" t="s">
        <v>2099</v>
      </c>
      <c r="F12" t="s">
        <v>2100</v>
      </c>
    </row>
    <row r="13" spans="1:6" x14ac:dyDescent="0.25">
      <c r="A13" t="s">
        <v>2123</v>
      </c>
      <c r="B13">
        <v>78</v>
      </c>
      <c r="C13" t="s">
        <v>48</v>
      </c>
      <c r="D13" t="s">
        <v>2113</v>
      </c>
      <c r="E13" t="s">
        <v>2114</v>
      </c>
      <c r="F13" t="s">
        <v>31</v>
      </c>
    </row>
    <row r="14" spans="1:6" x14ac:dyDescent="0.25">
      <c r="A14" t="s">
        <v>2123</v>
      </c>
      <c r="B14">
        <v>21</v>
      </c>
      <c r="C14" t="s">
        <v>67</v>
      </c>
      <c r="D14" t="s">
        <v>2115</v>
      </c>
      <c r="E14" t="s">
        <v>2116</v>
      </c>
      <c r="F14" t="s">
        <v>18</v>
      </c>
    </row>
    <row r="15" spans="1:6" x14ac:dyDescent="0.25">
      <c r="A15" t="s">
        <v>2124</v>
      </c>
      <c r="B15">
        <v>13</v>
      </c>
      <c r="C15" t="s">
        <v>49</v>
      </c>
      <c r="D15" t="s">
        <v>2098</v>
      </c>
      <c r="E15" t="s">
        <v>2099</v>
      </c>
      <c r="F15" t="s">
        <v>2100</v>
      </c>
    </row>
    <row r="16" spans="1:6" x14ac:dyDescent="0.25">
      <c r="A16" t="s">
        <v>2124</v>
      </c>
      <c r="B16">
        <v>1</v>
      </c>
      <c r="C16" t="s">
        <v>2101</v>
      </c>
      <c r="D16" t="s">
        <v>2102</v>
      </c>
      <c r="E16" t="s">
        <v>2103</v>
      </c>
      <c r="F16" t="s">
        <v>2100</v>
      </c>
    </row>
    <row r="17" spans="1:6" x14ac:dyDescent="0.25">
      <c r="A17" t="s">
        <v>2124</v>
      </c>
      <c r="B17">
        <v>25</v>
      </c>
      <c r="C17" t="s">
        <v>48</v>
      </c>
      <c r="D17" t="s">
        <v>2113</v>
      </c>
      <c r="E17" t="s">
        <v>2114</v>
      </c>
      <c r="F17" t="s">
        <v>31</v>
      </c>
    </row>
    <row r="18" spans="1:6" x14ac:dyDescent="0.25">
      <c r="A18" t="s">
        <v>2124</v>
      </c>
      <c r="B18">
        <v>311</v>
      </c>
      <c r="C18" t="s">
        <v>67</v>
      </c>
      <c r="D18" t="s">
        <v>2115</v>
      </c>
      <c r="E18" t="s">
        <v>2116</v>
      </c>
      <c r="F18" t="s">
        <v>18</v>
      </c>
    </row>
    <row r="19" spans="1:6" x14ac:dyDescent="0.25">
      <c r="A19" t="s">
        <v>2124</v>
      </c>
      <c r="B19">
        <v>114</v>
      </c>
      <c r="C19" t="s">
        <v>65</v>
      </c>
      <c r="D19" t="s">
        <v>2125</v>
      </c>
      <c r="E19" t="s">
        <v>2126</v>
      </c>
      <c r="F19" t="s">
        <v>2107</v>
      </c>
    </row>
    <row r="20" spans="1:6" x14ac:dyDescent="0.25">
      <c r="A20" t="s">
        <v>751</v>
      </c>
      <c r="B20">
        <v>1</v>
      </c>
      <c r="C20" t="s">
        <v>49</v>
      </c>
      <c r="D20" t="s">
        <v>2098</v>
      </c>
      <c r="E20" t="s">
        <v>2099</v>
      </c>
      <c r="F20" t="s">
        <v>2100</v>
      </c>
    </row>
    <row r="21" spans="1:6" x14ac:dyDescent="0.25">
      <c r="A21" t="s">
        <v>751</v>
      </c>
      <c r="B21">
        <v>3</v>
      </c>
      <c r="C21" t="s">
        <v>48</v>
      </c>
      <c r="D21" t="s">
        <v>2113</v>
      </c>
      <c r="E21" t="s">
        <v>2114</v>
      </c>
      <c r="F21" t="s">
        <v>31</v>
      </c>
    </row>
    <row r="22" spans="1:6" x14ac:dyDescent="0.25">
      <c r="A22" t="s">
        <v>751</v>
      </c>
      <c r="B22">
        <v>45</v>
      </c>
      <c r="C22" t="s">
        <v>67</v>
      </c>
      <c r="D22" t="s">
        <v>2115</v>
      </c>
      <c r="E22" t="s">
        <v>2116</v>
      </c>
      <c r="F22" t="s">
        <v>18</v>
      </c>
    </row>
    <row r="23" spans="1:6" x14ac:dyDescent="0.25">
      <c r="A23" t="s">
        <v>751</v>
      </c>
      <c r="B23">
        <v>3</v>
      </c>
      <c r="C23" t="s">
        <v>65</v>
      </c>
      <c r="D23" t="s">
        <v>2125</v>
      </c>
      <c r="E23" t="s">
        <v>2126</v>
      </c>
      <c r="F23" t="s">
        <v>2107</v>
      </c>
    </row>
    <row r="24" spans="1:6" x14ac:dyDescent="0.25">
      <c r="A24" t="s">
        <v>2127</v>
      </c>
      <c r="B24">
        <v>14</v>
      </c>
      <c r="C24" t="s">
        <v>2128</v>
      </c>
      <c r="D24" t="s">
        <v>2129</v>
      </c>
      <c r="E24" t="s">
        <v>2130</v>
      </c>
      <c r="F24" t="s">
        <v>31</v>
      </c>
    </row>
    <row r="25" spans="1:6" x14ac:dyDescent="0.25">
      <c r="A25" t="s">
        <v>2127</v>
      </c>
      <c r="B25">
        <v>24</v>
      </c>
      <c r="C25" t="s">
        <v>49</v>
      </c>
      <c r="D25" t="s">
        <v>2098</v>
      </c>
      <c r="E25" t="s">
        <v>2099</v>
      </c>
      <c r="F25" t="s">
        <v>2100</v>
      </c>
    </row>
    <row r="26" spans="1:6" x14ac:dyDescent="0.25">
      <c r="A26" t="s">
        <v>2127</v>
      </c>
      <c r="B26">
        <v>3</v>
      </c>
      <c r="C26" t="s">
        <v>2131</v>
      </c>
      <c r="D26" t="s">
        <v>2132</v>
      </c>
      <c r="E26" t="s">
        <v>2133</v>
      </c>
      <c r="F26" t="s">
        <v>18</v>
      </c>
    </row>
    <row r="27" spans="1:6" x14ac:dyDescent="0.25">
      <c r="A27" t="s">
        <v>2127</v>
      </c>
      <c r="B27">
        <v>4</v>
      </c>
      <c r="C27" t="s">
        <v>55</v>
      </c>
      <c r="D27" t="s">
        <v>2111</v>
      </c>
      <c r="E27" t="s">
        <v>2112</v>
      </c>
      <c r="F27" t="s">
        <v>2107</v>
      </c>
    </row>
    <row r="28" spans="1:6" x14ac:dyDescent="0.25">
      <c r="A28" t="s">
        <v>2127</v>
      </c>
      <c r="B28">
        <v>6</v>
      </c>
      <c r="C28" t="s">
        <v>67</v>
      </c>
      <c r="D28" t="s">
        <v>2115</v>
      </c>
      <c r="E28" t="s">
        <v>2116</v>
      </c>
      <c r="F28" t="s">
        <v>18</v>
      </c>
    </row>
    <row r="29" spans="1:6" x14ac:dyDescent="0.25">
      <c r="A29" t="s">
        <v>2127</v>
      </c>
      <c r="B29">
        <v>6</v>
      </c>
      <c r="C29" t="s">
        <v>65</v>
      </c>
      <c r="D29" t="s">
        <v>2125</v>
      </c>
      <c r="E29" t="s">
        <v>2126</v>
      </c>
      <c r="F29" t="s">
        <v>2107</v>
      </c>
    </row>
    <row r="30" spans="1:6" x14ac:dyDescent="0.25">
      <c r="A30" t="s">
        <v>2127</v>
      </c>
      <c r="B30">
        <v>1</v>
      </c>
      <c r="C30" t="s">
        <v>57</v>
      </c>
      <c r="D30" t="s">
        <v>2117</v>
      </c>
      <c r="E30" t="s">
        <v>2117</v>
      </c>
      <c r="F30" t="s">
        <v>31</v>
      </c>
    </row>
    <row r="31" spans="1:6" x14ac:dyDescent="0.25">
      <c r="A31" t="s">
        <v>2127</v>
      </c>
      <c r="B31">
        <v>2</v>
      </c>
      <c r="C31" t="s">
        <v>61</v>
      </c>
      <c r="D31" t="s">
        <v>2118</v>
      </c>
      <c r="E31" t="s">
        <v>2119</v>
      </c>
      <c r="F31" t="s">
        <v>31</v>
      </c>
    </row>
    <row r="32" spans="1:6" x14ac:dyDescent="0.25">
      <c r="A32" t="s">
        <v>2134</v>
      </c>
      <c r="B32">
        <v>8</v>
      </c>
      <c r="C32" t="s">
        <v>2128</v>
      </c>
      <c r="D32" t="s">
        <v>2129</v>
      </c>
      <c r="E32" t="s">
        <v>2130</v>
      </c>
      <c r="F32" t="s">
        <v>31</v>
      </c>
    </row>
    <row r="33" spans="1:6" x14ac:dyDescent="0.25">
      <c r="A33" t="s">
        <v>2134</v>
      </c>
      <c r="B33">
        <v>7</v>
      </c>
      <c r="C33" t="s">
        <v>49</v>
      </c>
      <c r="D33" t="s">
        <v>2098</v>
      </c>
      <c r="E33" t="s">
        <v>2099</v>
      </c>
      <c r="F33" t="s">
        <v>2100</v>
      </c>
    </row>
    <row r="34" spans="1:6" x14ac:dyDescent="0.25">
      <c r="A34" t="s">
        <v>2134</v>
      </c>
      <c r="B34">
        <v>1</v>
      </c>
      <c r="C34" t="s">
        <v>73</v>
      </c>
      <c r="D34" t="s">
        <v>2135</v>
      </c>
      <c r="E34" t="s">
        <v>2136</v>
      </c>
      <c r="F34" t="s">
        <v>2137</v>
      </c>
    </row>
    <row r="35" spans="1:6" x14ac:dyDescent="0.25">
      <c r="A35" t="s">
        <v>2134</v>
      </c>
      <c r="B35">
        <v>2</v>
      </c>
      <c r="C35" t="s">
        <v>55</v>
      </c>
      <c r="D35" t="s">
        <v>2111</v>
      </c>
      <c r="E35" t="s">
        <v>2112</v>
      </c>
      <c r="F35" t="s">
        <v>2107</v>
      </c>
    </row>
    <row r="36" spans="1:6" x14ac:dyDescent="0.25">
      <c r="A36" t="s">
        <v>2134</v>
      </c>
      <c r="B36">
        <v>40</v>
      </c>
      <c r="C36" t="s">
        <v>67</v>
      </c>
      <c r="D36" t="s">
        <v>2115</v>
      </c>
      <c r="E36" t="s">
        <v>2116</v>
      </c>
      <c r="F36" t="s">
        <v>18</v>
      </c>
    </row>
    <row r="37" spans="1:6" x14ac:dyDescent="0.25">
      <c r="A37" t="s">
        <v>2134</v>
      </c>
      <c r="B37">
        <v>21</v>
      </c>
      <c r="C37" t="s">
        <v>61</v>
      </c>
      <c r="D37" t="s">
        <v>2118</v>
      </c>
      <c r="E37" t="s">
        <v>2119</v>
      </c>
      <c r="F37" t="s">
        <v>31</v>
      </c>
    </row>
    <row r="38" spans="1:6" x14ac:dyDescent="0.25">
      <c r="A38" t="s">
        <v>1505</v>
      </c>
      <c r="B38">
        <v>4</v>
      </c>
      <c r="C38" t="s">
        <v>49</v>
      </c>
      <c r="D38" t="s">
        <v>2098</v>
      </c>
      <c r="E38" t="s">
        <v>2099</v>
      </c>
      <c r="F38" t="s">
        <v>2100</v>
      </c>
    </row>
    <row r="39" spans="1:6" x14ac:dyDescent="0.25">
      <c r="A39" t="s">
        <v>1505</v>
      </c>
      <c r="B39">
        <v>2</v>
      </c>
      <c r="C39" t="s">
        <v>2131</v>
      </c>
      <c r="D39" t="s">
        <v>2132</v>
      </c>
      <c r="E39" t="s">
        <v>2133</v>
      </c>
      <c r="F39" t="s">
        <v>18</v>
      </c>
    </row>
    <row r="40" spans="1:6" x14ac:dyDescent="0.25">
      <c r="A40" t="s">
        <v>1505</v>
      </c>
      <c r="B40">
        <v>1</v>
      </c>
      <c r="C40" t="s">
        <v>67</v>
      </c>
      <c r="D40" t="s">
        <v>2115</v>
      </c>
      <c r="E40" t="s">
        <v>2116</v>
      </c>
      <c r="F40" t="s">
        <v>18</v>
      </c>
    </row>
    <row r="41" spans="1:6" x14ac:dyDescent="0.25">
      <c r="A41" t="s">
        <v>1505</v>
      </c>
      <c r="B41">
        <v>17</v>
      </c>
      <c r="C41" t="s">
        <v>65</v>
      </c>
      <c r="D41" t="s">
        <v>2125</v>
      </c>
      <c r="E41" t="s">
        <v>2126</v>
      </c>
      <c r="F41" t="s">
        <v>2107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2025-09-12T10:42:22Z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